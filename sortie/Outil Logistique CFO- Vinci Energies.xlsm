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vincienergies-my.sharepoint.com/personal/nada_zennaba_vinci-energies_net/Documents/Bureau/logicast streamlit code/"/>
    </mc:Choice>
  </mc:AlternateContent>
  <xr:revisionPtr revIDLastSave="0" documentId="8_{11FC953C-E6F5-4B70-A885-BC2A7CC4C18F}" xr6:coauthVersionLast="47" xr6:coauthVersionMax="47" xr10:uidLastSave="{00000000-0000-0000-0000-000000000000}"/>
  <bookViews>
    <workbookView xWindow="-120" yWindow="-120" windowWidth="51840" windowHeight="21120" tabRatio="616" activeTab="2" xr2:uid="{00000000-000D-0000-FFFF-FFFF00000000}"/>
  </bookViews>
  <sheets>
    <sheet name="Paramétrage" sheetId="1" r:id="rId1"/>
    <sheet name="Données" sheetId="2" r:id="rId2"/>
    <sheet name="Tableau Source" sheetId="3" r:id="rId3"/>
    <sheet name="Bilan" sheetId="4" r:id="rId4"/>
    <sheet name="Livrable" sheetId="5" r:id="rId5"/>
    <sheet name="Matériel" sheetId="6" r:id="rId6"/>
    <sheet name="Manutention" sheetId="7" r:id="rId7"/>
    <sheet name="Camion" sheetId="8" r:id="rId8"/>
    <sheet name="Bilan Graphique" sheetId="9" r:id="rId9"/>
  </sheets>
  <functionGroups builtInGroupCount="19"/>
  <definedNames>
    <definedName name="_xlnm._FilterDatabase" localSheetId="2" hidden="1">'Tableau Source'!$A$1:$P$911</definedName>
    <definedName name="_xlnm.Print_Area" localSheetId="4">Livrable!$A$1:$X$50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11" i="3" l="1"/>
  <c r="K910" i="3"/>
  <c r="O909" i="3"/>
  <c r="N909" i="3"/>
  <c r="M909" i="3"/>
  <c r="K909" i="3"/>
  <c r="J909" i="3"/>
  <c r="I909" i="3"/>
  <c r="O908" i="3"/>
  <c r="N908" i="3"/>
  <c r="M908" i="3"/>
  <c r="K908" i="3"/>
  <c r="J908" i="3"/>
  <c r="I908" i="3"/>
  <c r="O907" i="3"/>
  <c r="N907" i="3"/>
  <c r="M907" i="3"/>
  <c r="K907" i="3"/>
  <c r="J907" i="3"/>
  <c r="I907" i="3"/>
  <c r="O906" i="3"/>
  <c r="N906" i="3"/>
  <c r="M906" i="3"/>
  <c r="K906" i="3"/>
  <c r="J906" i="3"/>
  <c r="I906" i="3"/>
  <c r="O905" i="3"/>
  <c r="N905" i="3"/>
  <c r="M905" i="3"/>
  <c r="K905" i="3"/>
  <c r="J905" i="3"/>
  <c r="I905" i="3"/>
  <c r="O904" i="3"/>
  <c r="N904" i="3"/>
  <c r="M904" i="3"/>
  <c r="K904" i="3"/>
  <c r="J904" i="3"/>
  <c r="I904" i="3"/>
  <c r="O903" i="3"/>
  <c r="N903" i="3"/>
  <c r="M903" i="3"/>
  <c r="K903" i="3"/>
  <c r="J903" i="3"/>
  <c r="I903" i="3"/>
  <c r="O902" i="3"/>
  <c r="N902" i="3"/>
  <c r="M902" i="3"/>
  <c r="K902" i="3"/>
  <c r="J902" i="3"/>
  <c r="I902" i="3"/>
  <c r="O901" i="3"/>
  <c r="N901" i="3"/>
  <c r="M901" i="3"/>
  <c r="K901" i="3"/>
  <c r="J901" i="3"/>
  <c r="I901" i="3"/>
  <c r="O900" i="3"/>
  <c r="N900" i="3"/>
  <c r="M900" i="3"/>
  <c r="K900" i="3"/>
  <c r="J900" i="3"/>
  <c r="I900" i="3"/>
  <c r="K899" i="3"/>
  <c r="K898" i="3"/>
  <c r="O897" i="3"/>
  <c r="N897" i="3"/>
  <c r="M897" i="3"/>
  <c r="K897" i="3"/>
  <c r="J897" i="3"/>
  <c r="I897" i="3"/>
  <c r="O896" i="3"/>
  <c r="N896" i="3"/>
  <c r="M896" i="3"/>
  <c r="K896" i="3"/>
  <c r="J896" i="3"/>
  <c r="I896" i="3"/>
  <c r="O895" i="3"/>
  <c r="N895" i="3"/>
  <c r="M895" i="3"/>
  <c r="K895" i="3"/>
  <c r="J895" i="3"/>
  <c r="I895" i="3"/>
  <c r="O894" i="3"/>
  <c r="N894" i="3"/>
  <c r="M894" i="3"/>
  <c r="K894" i="3"/>
  <c r="J894" i="3"/>
  <c r="I894" i="3"/>
  <c r="O893" i="3"/>
  <c r="N893" i="3"/>
  <c r="M893" i="3"/>
  <c r="K893" i="3"/>
  <c r="J893" i="3"/>
  <c r="I893" i="3"/>
  <c r="O892" i="3"/>
  <c r="N892" i="3"/>
  <c r="M892" i="3"/>
  <c r="K892" i="3"/>
  <c r="J892" i="3"/>
  <c r="I892" i="3"/>
  <c r="O891" i="3"/>
  <c r="N891" i="3"/>
  <c r="M891" i="3"/>
  <c r="K891" i="3"/>
  <c r="J891" i="3"/>
  <c r="I891" i="3"/>
  <c r="O890" i="3"/>
  <c r="N890" i="3"/>
  <c r="M890" i="3"/>
  <c r="K890" i="3"/>
  <c r="J890" i="3"/>
  <c r="I890" i="3"/>
  <c r="O889" i="3"/>
  <c r="N889" i="3"/>
  <c r="M889" i="3"/>
  <c r="K889" i="3"/>
  <c r="J889" i="3"/>
  <c r="I889" i="3"/>
  <c r="O888" i="3"/>
  <c r="N888" i="3"/>
  <c r="M888" i="3"/>
  <c r="K888" i="3"/>
  <c r="J888" i="3"/>
  <c r="I888" i="3"/>
  <c r="O887" i="3"/>
  <c r="N887" i="3"/>
  <c r="M887" i="3"/>
  <c r="K887" i="3"/>
  <c r="J887" i="3"/>
  <c r="I887" i="3"/>
  <c r="K886" i="3"/>
  <c r="K885" i="3"/>
  <c r="O884" i="3"/>
  <c r="N884" i="3"/>
  <c r="M884" i="3"/>
  <c r="K884" i="3"/>
  <c r="J884" i="3"/>
  <c r="I884" i="3"/>
  <c r="O883" i="3"/>
  <c r="N883" i="3"/>
  <c r="M883" i="3"/>
  <c r="K883" i="3"/>
  <c r="J883" i="3"/>
  <c r="I883" i="3"/>
  <c r="O882" i="3"/>
  <c r="N882" i="3"/>
  <c r="M882" i="3"/>
  <c r="K882" i="3"/>
  <c r="J882" i="3"/>
  <c r="I882" i="3"/>
  <c r="O881" i="3"/>
  <c r="N881" i="3"/>
  <c r="M881" i="3"/>
  <c r="K881" i="3"/>
  <c r="J881" i="3"/>
  <c r="I881" i="3"/>
  <c r="O880" i="3"/>
  <c r="N880" i="3"/>
  <c r="M880" i="3"/>
  <c r="K880" i="3"/>
  <c r="J880" i="3"/>
  <c r="I880" i="3"/>
  <c r="O879" i="3"/>
  <c r="N879" i="3"/>
  <c r="M879" i="3"/>
  <c r="K879" i="3"/>
  <c r="J879" i="3"/>
  <c r="I879" i="3"/>
  <c r="O878" i="3"/>
  <c r="N878" i="3"/>
  <c r="M878" i="3"/>
  <c r="K878" i="3"/>
  <c r="J878" i="3"/>
  <c r="I878" i="3"/>
  <c r="O877" i="3"/>
  <c r="N877" i="3"/>
  <c r="M877" i="3"/>
  <c r="K877" i="3"/>
  <c r="J877" i="3"/>
  <c r="I877" i="3"/>
  <c r="O876" i="3"/>
  <c r="N876" i="3"/>
  <c r="M876" i="3"/>
  <c r="K876" i="3"/>
  <c r="J876" i="3"/>
  <c r="I876" i="3"/>
  <c r="O875" i="3"/>
  <c r="N875" i="3"/>
  <c r="M875" i="3"/>
  <c r="K875" i="3"/>
  <c r="J875" i="3"/>
  <c r="I875" i="3"/>
  <c r="K874" i="3"/>
  <c r="K873" i="3"/>
  <c r="O872" i="3"/>
  <c r="N872" i="3"/>
  <c r="M872" i="3"/>
  <c r="K872" i="3"/>
  <c r="J872" i="3"/>
  <c r="I872" i="3"/>
  <c r="O871" i="3"/>
  <c r="N871" i="3"/>
  <c r="M871" i="3"/>
  <c r="K871" i="3"/>
  <c r="J871" i="3"/>
  <c r="I871" i="3"/>
  <c r="O870" i="3"/>
  <c r="N870" i="3"/>
  <c r="M870" i="3"/>
  <c r="K870" i="3"/>
  <c r="J870" i="3"/>
  <c r="I870" i="3"/>
  <c r="O869" i="3"/>
  <c r="N869" i="3"/>
  <c r="M869" i="3"/>
  <c r="K869" i="3"/>
  <c r="J869" i="3"/>
  <c r="I869" i="3"/>
  <c r="O868" i="3"/>
  <c r="N868" i="3"/>
  <c r="M868" i="3"/>
  <c r="K868" i="3"/>
  <c r="J868" i="3"/>
  <c r="I868" i="3"/>
  <c r="O867" i="3"/>
  <c r="N867" i="3"/>
  <c r="M867" i="3"/>
  <c r="K867" i="3"/>
  <c r="J867" i="3"/>
  <c r="I867" i="3"/>
  <c r="O866" i="3"/>
  <c r="N866" i="3"/>
  <c r="M866" i="3"/>
  <c r="K866" i="3"/>
  <c r="J866" i="3"/>
  <c r="I866" i="3"/>
  <c r="O865" i="3"/>
  <c r="N865" i="3"/>
  <c r="M865" i="3"/>
  <c r="K865" i="3"/>
  <c r="J865" i="3"/>
  <c r="I865" i="3"/>
  <c r="O864" i="3"/>
  <c r="N864" i="3"/>
  <c r="M864" i="3"/>
  <c r="K864" i="3"/>
  <c r="J864" i="3"/>
  <c r="I864" i="3"/>
  <c r="O863" i="3"/>
  <c r="N863" i="3"/>
  <c r="M863" i="3"/>
  <c r="K863" i="3"/>
  <c r="J863" i="3"/>
  <c r="I863" i="3"/>
  <c r="O862" i="3"/>
  <c r="N862" i="3"/>
  <c r="M862" i="3"/>
  <c r="K862" i="3"/>
  <c r="J862" i="3"/>
  <c r="I862" i="3"/>
  <c r="K861" i="3"/>
  <c r="K860" i="3"/>
  <c r="O859" i="3"/>
  <c r="N859" i="3"/>
  <c r="M859" i="3"/>
  <c r="K859" i="3"/>
  <c r="J859" i="3"/>
  <c r="I859" i="3"/>
  <c r="O858" i="3"/>
  <c r="N858" i="3"/>
  <c r="M858" i="3"/>
  <c r="K858" i="3"/>
  <c r="J858" i="3"/>
  <c r="I858" i="3"/>
  <c r="O857" i="3"/>
  <c r="N857" i="3"/>
  <c r="M857" i="3"/>
  <c r="K857" i="3"/>
  <c r="J857" i="3"/>
  <c r="I857" i="3"/>
  <c r="O856" i="3"/>
  <c r="N856" i="3"/>
  <c r="M856" i="3"/>
  <c r="K856" i="3"/>
  <c r="J856" i="3"/>
  <c r="I856" i="3"/>
  <c r="O855" i="3"/>
  <c r="N855" i="3"/>
  <c r="M855" i="3"/>
  <c r="K855" i="3"/>
  <c r="J855" i="3"/>
  <c r="I855" i="3"/>
  <c r="O854" i="3"/>
  <c r="N854" i="3"/>
  <c r="M854" i="3"/>
  <c r="K854" i="3"/>
  <c r="J854" i="3"/>
  <c r="I854" i="3"/>
  <c r="O853" i="3"/>
  <c r="N853" i="3"/>
  <c r="M853" i="3"/>
  <c r="K853" i="3"/>
  <c r="J853" i="3"/>
  <c r="I853" i="3"/>
  <c r="O852" i="3"/>
  <c r="N852" i="3"/>
  <c r="M852" i="3"/>
  <c r="K852" i="3"/>
  <c r="J852" i="3"/>
  <c r="I852" i="3"/>
  <c r="O851" i="3"/>
  <c r="N851" i="3"/>
  <c r="M851" i="3"/>
  <c r="K851" i="3"/>
  <c r="J851" i="3"/>
  <c r="I851" i="3"/>
  <c r="O850" i="3"/>
  <c r="N850" i="3"/>
  <c r="M850" i="3"/>
  <c r="K850" i="3"/>
  <c r="J850" i="3"/>
  <c r="I850" i="3"/>
  <c r="K849" i="3"/>
  <c r="K848" i="3"/>
  <c r="O847" i="3"/>
  <c r="N847" i="3"/>
  <c r="M847" i="3"/>
  <c r="K847" i="3"/>
  <c r="J847" i="3"/>
  <c r="I847" i="3"/>
  <c r="O846" i="3"/>
  <c r="N846" i="3"/>
  <c r="M846" i="3"/>
  <c r="K846" i="3"/>
  <c r="J846" i="3"/>
  <c r="I846" i="3"/>
  <c r="O845" i="3"/>
  <c r="N845" i="3"/>
  <c r="M845" i="3"/>
  <c r="K845" i="3"/>
  <c r="J845" i="3"/>
  <c r="I845" i="3"/>
  <c r="O844" i="3"/>
  <c r="N844" i="3"/>
  <c r="M844" i="3"/>
  <c r="K844" i="3"/>
  <c r="J844" i="3"/>
  <c r="I844" i="3"/>
  <c r="O843" i="3"/>
  <c r="N843" i="3"/>
  <c r="M843" i="3"/>
  <c r="K843" i="3"/>
  <c r="J843" i="3"/>
  <c r="I843" i="3"/>
  <c r="O842" i="3"/>
  <c r="N842" i="3"/>
  <c r="M842" i="3"/>
  <c r="K842" i="3"/>
  <c r="J842" i="3"/>
  <c r="I842" i="3"/>
  <c r="O841" i="3"/>
  <c r="N841" i="3"/>
  <c r="M841" i="3"/>
  <c r="K841" i="3"/>
  <c r="J841" i="3"/>
  <c r="I841" i="3"/>
  <c r="O840" i="3"/>
  <c r="N840" i="3"/>
  <c r="M840" i="3"/>
  <c r="K840" i="3"/>
  <c r="J840" i="3"/>
  <c r="I840" i="3"/>
  <c r="O839" i="3"/>
  <c r="N839" i="3"/>
  <c r="M839" i="3"/>
  <c r="K839" i="3"/>
  <c r="J839" i="3"/>
  <c r="I839" i="3"/>
  <c r="O838" i="3"/>
  <c r="N838" i="3"/>
  <c r="M838" i="3"/>
  <c r="K838" i="3"/>
  <c r="J838" i="3"/>
  <c r="I838" i="3"/>
  <c r="K837" i="3"/>
  <c r="K836" i="3"/>
  <c r="O835" i="3"/>
  <c r="N835" i="3"/>
  <c r="M835" i="3"/>
  <c r="K835" i="3"/>
  <c r="J835" i="3"/>
  <c r="I835" i="3"/>
  <c r="O834" i="3"/>
  <c r="N834" i="3"/>
  <c r="M834" i="3"/>
  <c r="K834" i="3"/>
  <c r="J834" i="3"/>
  <c r="I834" i="3"/>
  <c r="O833" i="3"/>
  <c r="N833" i="3"/>
  <c r="M833" i="3"/>
  <c r="K833" i="3"/>
  <c r="J833" i="3"/>
  <c r="I833" i="3"/>
  <c r="O832" i="3"/>
  <c r="N832" i="3"/>
  <c r="M832" i="3"/>
  <c r="K832" i="3"/>
  <c r="J832" i="3"/>
  <c r="I832" i="3"/>
  <c r="O831" i="3"/>
  <c r="N831" i="3"/>
  <c r="M831" i="3"/>
  <c r="K831" i="3"/>
  <c r="J831" i="3"/>
  <c r="I831" i="3"/>
  <c r="O830" i="3"/>
  <c r="N830" i="3"/>
  <c r="M830" i="3"/>
  <c r="K830" i="3"/>
  <c r="J830" i="3"/>
  <c r="I830" i="3"/>
  <c r="O829" i="3"/>
  <c r="N829" i="3"/>
  <c r="M829" i="3"/>
  <c r="K829" i="3"/>
  <c r="J829" i="3"/>
  <c r="I829" i="3"/>
  <c r="O828" i="3"/>
  <c r="N828" i="3"/>
  <c r="M828" i="3"/>
  <c r="K828" i="3"/>
  <c r="J828" i="3"/>
  <c r="I828" i="3"/>
  <c r="K827" i="3"/>
  <c r="K826" i="3"/>
  <c r="O825" i="3"/>
  <c r="N825" i="3"/>
  <c r="M825" i="3"/>
  <c r="K825" i="3"/>
  <c r="J825" i="3"/>
  <c r="I825" i="3"/>
  <c r="O824" i="3"/>
  <c r="N824" i="3"/>
  <c r="M824" i="3"/>
  <c r="K824" i="3"/>
  <c r="J824" i="3"/>
  <c r="I824" i="3"/>
  <c r="O823" i="3"/>
  <c r="N823" i="3"/>
  <c r="M823" i="3"/>
  <c r="K823" i="3"/>
  <c r="J823" i="3"/>
  <c r="I823" i="3"/>
  <c r="O822" i="3"/>
  <c r="N822" i="3"/>
  <c r="M822" i="3"/>
  <c r="K822" i="3"/>
  <c r="J822" i="3"/>
  <c r="I822" i="3"/>
  <c r="O821" i="3"/>
  <c r="N821" i="3"/>
  <c r="M821" i="3"/>
  <c r="K821" i="3"/>
  <c r="J821" i="3"/>
  <c r="I821" i="3"/>
  <c r="O820" i="3"/>
  <c r="N820" i="3"/>
  <c r="M820" i="3"/>
  <c r="K820" i="3"/>
  <c r="J820" i="3"/>
  <c r="I820" i="3"/>
  <c r="O819" i="3"/>
  <c r="N819" i="3"/>
  <c r="M819" i="3"/>
  <c r="K819" i="3"/>
  <c r="J819" i="3"/>
  <c r="I819" i="3"/>
  <c r="O818" i="3"/>
  <c r="N818" i="3"/>
  <c r="M818" i="3"/>
  <c r="K818" i="3"/>
  <c r="J818" i="3"/>
  <c r="I818" i="3"/>
  <c r="K817" i="3"/>
  <c r="K816" i="3"/>
  <c r="O815" i="3"/>
  <c r="N815" i="3"/>
  <c r="M815" i="3"/>
  <c r="K815" i="3"/>
  <c r="J815" i="3"/>
  <c r="I815" i="3"/>
  <c r="O814" i="3"/>
  <c r="N814" i="3"/>
  <c r="M814" i="3"/>
  <c r="K814" i="3"/>
  <c r="J814" i="3"/>
  <c r="I814" i="3"/>
  <c r="O813" i="3"/>
  <c r="N813" i="3"/>
  <c r="M813" i="3"/>
  <c r="K813" i="3"/>
  <c r="J813" i="3"/>
  <c r="I813" i="3"/>
  <c r="O812" i="3"/>
  <c r="N812" i="3"/>
  <c r="M812" i="3"/>
  <c r="K812" i="3"/>
  <c r="J812" i="3"/>
  <c r="I812" i="3"/>
  <c r="O811" i="3"/>
  <c r="N811" i="3"/>
  <c r="M811" i="3"/>
  <c r="K811" i="3"/>
  <c r="J811" i="3"/>
  <c r="I811" i="3"/>
  <c r="O810" i="3"/>
  <c r="N810" i="3"/>
  <c r="M810" i="3"/>
  <c r="K810" i="3"/>
  <c r="J810" i="3"/>
  <c r="I810" i="3"/>
  <c r="O809" i="3"/>
  <c r="N809" i="3"/>
  <c r="M809" i="3"/>
  <c r="K809" i="3"/>
  <c r="J809" i="3"/>
  <c r="I809" i="3"/>
  <c r="O808" i="3"/>
  <c r="N808" i="3"/>
  <c r="M808" i="3"/>
  <c r="K808" i="3"/>
  <c r="J808" i="3"/>
  <c r="I808" i="3"/>
  <c r="K807" i="3"/>
  <c r="K806" i="3"/>
  <c r="O805" i="3"/>
  <c r="N805" i="3"/>
  <c r="M805" i="3"/>
  <c r="K805" i="3"/>
  <c r="J805" i="3"/>
  <c r="I805" i="3"/>
  <c r="O804" i="3"/>
  <c r="N804" i="3"/>
  <c r="M804" i="3"/>
  <c r="K804" i="3"/>
  <c r="J804" i="3"/>
  <c r="I804" i="3"/>
  <c r="O803" i="3"/>
  <c r="N803" i="3"/>
  <c r="M803" i="3"/>
  <c r="K803" i="3"/>
  <c r="J803" i="3"/>
  <c r="I803" i="3"/>
  <c r="O802" i="3"/>
  <c r="N802" i="3"/>
  <c r="M802" i="3"/>
  <c r="K802" i="3"/>
  <c r="J802" i="3"/>
  <c r="I802" i="3"/>
  <c r="O801" i="3"/>
  <c r="N801" i="3"/>
  <c r="M801" i="3"/>
  <c r="K801" i="3"/>
  <c r="J801" i="3"/>
  <c r="I801" i="3"/>
  <c r="O800" i="3"/>
  <c r="N800" i="3"/>
  <c r="M800" i="3"/>
  <c r="K800" i="3"/>
  <c r="J800" i="3"/>
  <c r="I800" i="3"/>
  <c r="O799" i="3"/>
  <c r="N799" i="3"/>
  <c r="M799" i="3"/>
  <c r="K799" i="3"/>
  <c r="J799" i="3"/>
  <c r="I799" i="3"/>
  <c r="O798" i="3"/>
  <c r="N798" i="3"/>
  <c r="M798" i="3"/>
  <c r="K798" i="3"/>
  <c r="J798" i="3"/>
  <c r="I798" i="3"/>
  <c r="K797" i="3"/>
  <c r="K796" i="3"/>
  <c r="O795" i="3"/>
  <c r="N795" i="3"/>
  <c r="M795" i="3"/>
  <c r="K795" i="3"/>
  <c r="J795" i="3"/>
  <c r="I795" i="3"/>
  <c r="O794" i="3"/>
  <c r="N794" i="3"/>
  <c r="M794" i="3"/>
  <c r="K794" i="3"/>
  <c r="J794" i="3"/>
  <c r="I794" i="3"/>
  <c r="O793" i="3"/>
  <c r="N793" i="3"/>
  <c r="M793" i="3"/>
  <c r="K793" i="3"/>
  <c r="J793" i="3"/>
  <c r="I793" i="3"/>
  <c r="O792" i="3"/>
  <c r="N792" i="3"/>
  <c r="M792" i="3"/>
  <c r="K792" i="3"/>
  <c r="J792" i="3"/>
  <c r="I792" i="3"/>
  <c r="O791" i="3"/>
  <c r="N791" i="3"/>
  <c r="M791" i="3"/>
  <c r="K791" i="3"/>
  <c r="J791" i="3"/>
  <c r="I791" i="3"/>
  <c r="O790" i="3"/>
  <c r="N790" i="3"/>
  <c r="M790" i="3"/>
  <c r="K790" i="3"/>
  <c r="J790" i="3"/>
  <c r="I790" i="3"/>
  <c r="O789" i="3"/>
  <c r="N789" i="3"/>
  <c r="M789" i="3"/>
  <c r="K789" i="3"/>
  <c r="J789" i="3"/>
  <c r="I789" i="3"/>
  <c r="O788" i="3"/>
  <c r="N788" i="3"/>
  <c r="M788" i="3"/>
  <c r="K788" i="3"/>
  <c r="J788" i="3"/>
  <c r="I788" i="3"/>
  <c r="K787" i="3"/>
  <c r="K786" i="3"/>
  <c r="O785" i="3"/>
  <c r="N785" i="3"/>
  <c r="M785" i="3"/>
  <c r="K785" i="3"/>
  <c r="J785" i="3"/>
  <c r="I785" i="3"/>
  <c r="O784" i="3"/>
  <c r="N784" i="3"/>
  <c r="M784" i="3"/>
  <c r="K784" i="3"/>
  <c r="J784" i="3"/>
  <c r="I784" i="3"/>
  <c r="O783" i="3"/>
  <c r="N783" i="3"/>
  <c r="M783" i="3"/>
  <c r="K783" i="3"/>
  <c r="J783" i="3"/>
  <c r="I783" i="3"/>
  <c r="O782" i="3"/>
  <c r="N782" i="3"/>
  <c r="M782" i="3"/>
  <c r="K782" i="3"/>
  <c r="J782" i="3"/>
  <c r="I782" i="3"/>
  <c r="O781" i="3"/>
  <c r="N781" i="3"/>
  <c r="M781" i="3"/>
  <c r="K781" i="3"/>
  <c r="J781" i="3"/>
  <c r="I781" i="3"/>
  <c r="O780" i="3"/>
  <c r="N780" i="3"/>
  <c r="M780" i="3"/>
  <c r="K780" i="3"/>
  <c r="J780" i="3"/>
  <c r="I780" i="3"/>
  <c r="O779" i="3"/>
  <c r="N779" i="3"/>
  <c r="M779" i="3"/>
  <c r="K779" i="3"/>
  <c r="J779" i="3"/>
  <c r="I779" i="3"/>
  <c r="O778" i="3"/>
  <c r="N778" i="3"/>
  <c r="M778" i="3"/>
  <c r="K778" i="3"/>
  <c r="J778" i="3"/>
  <c r="I778" i="3"/>
  <c r="K777" i="3"/>
  <c r="K776" i="3"/>
  <c r="O775" i="3"/>
  <c r="N775" i="3"/>
  <c r="M775" i="3"/>
  <c r="K775" i="3"/>
  <c r="J775" i="3"/>
  <c r="I775" i="3"/>
  <c r="O774" i="3"/>
  <c r="N774" i="3"/>
  <c r="M774" i="3"/>
  <c r="K774" i="3"/>
  <c r="J774" i="3"/>
  <c r="I774" i="3"/>
  <c r="O773" i="3"/>
  <c r="N773" i="3"/>
  <c r="M773" i="3"/>
  <c r="K773" i="3"/>
  <c r="J773" i="3"/>
  <c r="I773" i="3"/>
  <c r="O772" i="3"/>
  <c r="N772" i="3"/>
  <c r="M772" i="3"/>
  <c r="K772" i="3"/>
  <c r="J772" i="3"/>
  <c r="I772" i="3"/>
  <c r="O771" i="3"/>
  <c r="N771" i="3"/>
  <c r="M771" i="3"/>
  <c r="K771" i="3"/>
  <c r="J771" i="3"/>
  <c r="I771" i="3"/>
  <c r="O770" i="3"/>
  <c r="N770" i="3"/>
  <c r="M770" i="3"/>
  <c r="K770" i="3"/>
  <c r="J770" i="3"/>
  <c r="I770" i="3"/>
  <c r="O769" i="3"/>
  <c r="N769" i="3"/>
  <c r="M769" i="3"/>
  <c r="K769" i="3"/>
  <c r="J769" i="3"/>
  <c r="I769" i="3"/>
  <c r="O768" i="3"/>
  <c r="N768" i="3"/>
  <c r="M768" i="3"/>
  <c r="K768" i="3"/>
  <c r="J768" i="3"/>
  <c r="I768" i="3"/>
  <c r="K767" i="3"/>
  <c r="K766" i="3"/>
  <c r="O765" i="3"/>
  <c r="N765" i="3"/>
  <c r="M765" i="3"/>
  <c r="K765" i="3"/>
  <c r="J765" i="3"/>
  <c r="I765" i="3"/>
  <c r="O764" i="3"/>
  <c r="N764" i="3"/>
  <c r="M764" i="3"/>
  <c r="K764" i="3"/>
  <c r="J764" i="3"/>
  <c r="I764" i="3"/>
  <c r="O763" i="3"/>
  <c r="N763" i="3"/>
  <c r="M763" i="3"/>
  <c r="K763" i="3"/>
  <c r="J763" i="3"/>
  <c r="I763" i="3"/>
  <c r="O762" i="3"/>
  <c r="N762" i="3"/>
  <c r="M762" i="3"/>
  <c r="K762" i="3"/>
  <c r="J762" i="3"/>
  <c r="I762" i="3"/>
  <c r="O761" i="3"/>
  <c r="N761" i="3"/>
  <c r="M761" i="3"/>
  <c r="K761" i="3"/>
  <c r="J761" i="3"/>
  <c r="I761" i="3"/>
  <c r="O760" i="3"/>
  <c r="N760" i="3"/>
  <c r="M760" i="3"/>
  <c r="K760" i="3"/>
  <c r="J760" i="3"/>
  <c r="I760" i="3"/>
  <c r="O759" i="3"/>
  <c r="N759" i="3"/>
  <c r="M759" i="3"/>
  <c r="K759" i="3"/>
  <c r="J759" i="3"/>
  <c r="I759" i="3"/>
  <c r="O758" i="3"/>
  <c r="N758" i="3"/>
  <c r="M758" i="3"/>
  <c r="K758" i="3"/>
  <c r="J758" i="3"/>
  <c r="I758" i="3"/>
  <c r="K757" i="3"/>
  <c r="K756" i="3"/>
  <c r="O755" i="3"/>
  <c r="N755" i="3"/>
  <c r="M755" i="3"/>
  <c r="K755" i="3"/>
  <c r="J755" i="3"/>
  <c r="I755" i="3"/>
  <c r="O754" i="3"/>
  <c r="N754" i="3"/>
  <c r="M754" i="3"/>
  <c r="K754" i="3"/>
  <c r="J754" i="3"/>
  <c r="I754" i="3"/>
  <c r="O753" i="3"/>
  <c r="N753" i="3"/>
  <c r="M753" i="3"/>
  <c r="K753" i="3"/>
  <c r="J753" i="3"/>
  <c r="I753" i="3"/>
  <c r="O752" i="3"/>
  <c r="N752" i="3"/>
  <c r="M752" i="3"/>
  <c r="K752" i="3"/>
  <c r="J752" i="3"/>
  <c r="I752" i="3"/>
  <c r="O751" i="3"/>
  <c r="N751" i="3"/>
  <c r="M751" i="3"/>
  <c r="K751" i="3"/>
  <c r="J751" i="3"/>
  <c r="I751" i="3"/>
  <c r="O750" i="3"/>
  <c r="N750" i="3"/>
  <c r="M750" i="3"/>
  <c r="K750" i="3"/>
  <c r="J750" i="3"/>
  <c r="I750" i="3"/>
  <c r="O749" i="3"/>
  <c r="N749" i="3"/>
  <c r="M749" i="3"/>
  <c r="K749" i="3"/>
  <c r="J749" i="3"/>
  <c r="I749" i="3"/>
  <c r="O748" i="3"/>
  <c r="N748" i="3"/>
  <c r="M748" i="3"/>
  <c r="K748" i="3"/>
  <c r="J748" i="3"/>
  <c r="I748" i="3"/>
  <c r="K747" i="3"/>
  <c r="K746" i="3"/>
  <c r="O745" i="3"/>
  <c r="N745" i="3"/>
  <c r="M745" i="3"/>
  <c r="K745" i="3"/>
  <c r="J745" i="3"/>
  <c r="I745" i="3"/>
  <c r="O744" i="3"/>
  <c r="N744" i="3"/>
  <c r="M744" i="3"/>
  <c r="K744" i="3"/>
  <c r="J744" i="3"/>
  <c r="I744" i="3"/>
  <c r="O743" i="3"/>
  <c r="N743" i="3"/>
  <c r="M743" i="3"/>
  <c r="K743" i="3"/>
  <c r="J743" i="3"/>
  <c r="I743" i="3"/>
  <c r="O742" i="3"/>
  <c r="N742" i="3"/>
  <c r="M742" i="3"/>
  <c r="K742" i="3"/>
  <c r="J742" i="3"/>
  <c r="I742" i="3"/>
  <c r="O741" i="3"/>
  <c r="N741" i="3"/>
  <c r="M741" i="3"/>
  <c r="K741" i="3"/>
  <c r="J741" i="3"/>
  <c r="I741" i="3"/>
  <c r="O740" i="3"/>
  <c r="N740" i="3"/>
  <c r="M740" i="3"/>
  <c r="K740" i="3"/>
  <c r="J740" i="3"/>
  <c r="I740" i="3"/>
  <c r="O739" i="3"/>
  <c r="N739" i="3"/>
  <c r="M739" i="3"/>
  <c r="K739" i="3"/>
  <c r="J739" i="3"/>
  <c r="I739" i="3"/>
  <c r="O738" i="3"/>
  <c r="N738" i="3"/>
  <c r="M738" i="3"/>
  <c r="K738" i="3"/>
  <c r="J738" i="3"/>
  <c r="I738" i="3"/>
  <c r="K737" i="3"/>
  <c r="K736" i="3"/>
  <c r="O735" i="3"/>
  <c r="N735" i="3"/>
  <c r="M735" i="3"/>
  <c r="K735" i="3"/>
  <c r="J735" i="3"/>
  <c r="I735" i="3"/>
  <c r="O734" i="3"/>
  <c r="N734" i="3"/>
  <c r="M734" i="3"/>
  <c r="K734" i="3"/>
  <c r="J734" i="3"/>
  <c r="I734" i="3"/>
  <c r="O733" i="3"/>
  <c r="N733" i="3"/>
  <c r="M733" i="3"/>
  <c r="K733" i="3"/>
  <c r="J733" i="3"/>
  <c r="I733" i="3"/>
  <c r="O732" i="3"/>
  <c r="N732" i="3"/>
  <c r="M732" i="3"/>
  <c r="K732" i="3"/>
  <c r="J732" i="3"/>
  <c r="I732" i="3"/>
  <c r="O731" i="3"/>
  <c r="N731" i="3"/>
  <c r="M731" i="3"/>
  <c r="K731" i="3"/>
  <c r="J731" i="3"/>
  <c r="I731" i="3"/>
  <c r="O730" i="3"/>
  <c r="N730" i="3"/>
  <c r="M730" i="3"/>
  <c r="K730" i="3"/>
  <c r="J730" i="3"/>
  <c r="I730" i="3"/>
  <c r="O729" i="3"/>
  <c r="N729" i="3"/>
  <c r="M729" i="3"/>
  <c r="K729" i="3"/>
  <c r="J729" i="3"/>
  <c r="I729" i="3"/>
  <c r="O728" i="3"/>
  <c r="N728" i="3"/>
  <c r="M728" i="3"/>
  <c r="K728" i="3"/>
  <c r="J728" i="3"/>
  <c r="I728" i="3"/>
  <c r="O727" i="3"/>
  <c r="N727" i="3"/>
  <c r="M727" i="3"/>
  <c r="K727" i="3"/>
  <c r="J727" i="3"/>
  <c r="I727" i="3"/>
  <c r="O726" i="3"/>
  <c r="N726" i="3"/>
  <c r="M726" i="3"/>
  <c r="K726" i="3"/>
  <c r="J726" i="3"/>
  <c r="I726" i="3"/>
  <c r="O725" i="3"/>
  <c r="N725" i="3"/>
  <c r="M725" i="3"/>
  <c r="K725" i="3"/>
  <c r="J725" i="3"/>
  <c r="I725" i="3"/>
  <c r="K724" i="3"/>
  <c r="K723" i="3"/>
  <c r="O722" i="3"/>
  <c r="N722" i="3"/>
  <c r="M722" i="3"/>
  <c r="K722" i="3"/>
  <c r="J722" i="3"/>
  <c r="I722" i="3"/>
  <c r="O721" i="3"/>
  <c r="N721" i="3"/>
  <c r="M721" i="3"/>
  <c r="K721" i="3"/>
  <c r="J721" i="3"/>
  <c r="I721" i="3"/>
  <c r="O720" i="3"/>
  <c r="N720" i="3"/>
  <c r="M720" i="3"/>
  <c r="K720" i="3"/>
  <c r="J720" i="3"/>
  <c r="I720" i="3"/>
  <c r="O719" i="3"/>
  <c r="N719" i="3"/>
  <c r="M719" i="3"/>
  <c r="K719" i="3"/>
  <c r="J719" i="3"/>
  <c r="I719" i="3"/>
  <c r="O718" i="3"/>
  <c r="N718" i="3"/>
  <c r="M718" i="3"/>
  <c r="K718" i="3"/>
  <c r="J718" i="3"/>
  <c r="I718" i="3"/>
  <c r="O717" i="3"/>
  <c r="N717" i="3"/>
  <c r="M717" i="3"/>
  <c r="K717" i="3"/>
  <c r="J717" i="3"/>
  <c r="I717" i="3"/>
  <c r="O716" i="3"/>
  <c r="N716" i="3"/>
  <c r="M716" i="3"/>
  <c r="K716" i="3"/>
  <c r="J716" i="3"/>
  <c r="I716" i="3"/>
  <c r="O715" i="3"/>
  <c r="N715" i="3"/>
  <c r="M715" i="3"/>
  <c r="K715" i="3"/>
  <c r="J715" i="3"/>
  <c r="I715" i="3"/>
  <c r="O714" i="3"/>
  <c r="N714" i="3"/>
  <c r="M714" i="3"/>
  <c r="K714" i="3"/>
  <c r="J714" i="3"/>
  <c r="I714" i="3"/>
  <c r="O713" i="3"/>
  <c r="N713" i="3"/>
  <c r="M713" i="3"/>
  <c r="K713" i="3"/>
  <c r="J713" i="3"/>
  <c r="I713" i="3"/>
  <c r="O712" i="3"/>
  <c r="N712" i="3"/>
  <c r="M712" i="3"/>
  <c r="K712" i="3"/>
  <c r="J712" i="3"/>
  <c r="I712" i="3"/>
  <c r="K711" i="3"/>
  <c r="N711" i="3" s="1"/>
  <c r="O711" i="3" s="1"/>
  <c r="K710" i="3"/>
  <c r="O709" i="3"/>
  <c r="N709" i="3"/>
  <c r="M709" i="3"/>
  <c r="K709" i="3"/>
  <c r="J709" i="3"/>
  <c r="I709" i="3"/>
  <c r="O708" i="3"/>
  <c r="N708" i="3"/>
  <c r="M708" i="3"/>
  <c r="K708" i="3"/>
  <c r="J708" i="3"/>
  <c r="I708" i="3"/>
  <c r="O707" i="3"/>
  <c r="N707" i="3"/>
  <c r="M707" i="3"/>
  <c r="K707" i="3"/>
  <c r="J707" i="3"/>
  <c r="I707" i="3"/>
  <c r="O706" i="3"/>
  <c r="N706" i="3"/>
  <c r="M706" i="3"/>
  <c r="K706" i="3"/>
  <c r="J706" i="3"/>
  <c r="I706" i="3"/>
  <c r="O705" i="3"/>
  <c r="N705" i="3"/>
  <c r="M705" i="3"/>
  <c r="K705" i="3"/>
  <c r="J705" i="3"/>
  <c r="I705" i="3"/>
  <c r="O704" i="3"/>
  <c r="N704" i="3"/>
  <c r="M704" i="3"/>
  <c r="K704" i="3"/>
  <c r="J704" i="3"/>
  <c r="I704" i="3"/>
  <c r="O703" i="3"/>
  <c r="N703" i="3"/>
  <c r="M703" i="3"/>
  <c r="K703" i="3"/>
  <c r="J703" i="3"/>
  <c r="I703" i="3"/>
  <c r="O702" i="3"/>
  <c r="N702" i="3"/>
  <c r="M702" i="3"/>
  <c r="K702" i="3"/>
  <c r="J702" i="3"/>
  <c r="I702" i="3"/>
  <c r="K701" i="3"/>
  <c r="K700" i="3"/>
  <c r="O699" i="3"/>
  <c r="N699" i="3"/>
  <c r="M699" i="3"/>
  <c r="K699" i="3"/>
  <c r="J699" i="3"/>
  <c r="I699" i="3"/>
  <c r="O698" i="3"/>
  <c r="N698" i="3"/>
  <c r="M698" i="3"/>
  <c r="K698" i="3"/>
  <c r="J698" i="3"/>
  <c r="I698" i="3"/>
  <c r="O697" i="3"/>
  <c r="N697" i="3"/>
  <c r="M697" i="3"/>
  <c r="K697" i="3"/>
  <c r="J697" i="3"/>
  <c r="I697" i="3"/>
  <c r="O696" i="3"/>
  <c r="N696" i="3"/>
  <c r="M696" i="3"/>
  <c r="K696" i="3"/>
  <c r="J696" i="3"/>
  <c r="I696" i="3"/>
  <c r="O695" i="3"/>
  <c r="N695" i="3"/>
  <c r="M695" i="3"/>
  <c r="K695" i="3"/>
  <c r="J695" i="3"/>
  <c r="I695" i="3"/>
  <c r="O694" i="3"/>
  <c r="N694" i="3"/>
  <c r="M694" i="3"/>
  <c r="K694" i="3"/>
  <c r="J694" i="3"/>
  <c r="I694" i="3"/>
  <c r="O693" i="3"/>
  <c r="N693" i="3"/>
  <c r="M693" i="3"/>
  <c r="K693" i="3"/>
  <c r="J693" i="3"/>
  <c r="I693" i="3"/>
  <c r="O692" i="3"/>
  <c r="N692" i="3"/>
  <c r="M692" i="3"/>
  <c r="K692" i="3"/>
  <c r="J692" i="3"/>
  <c r="I692" i="3"/>
  <c r="K691" i="3"/>
  <c r="K690" i="3"/>
  <c r="O689" i="3"/>
  <c r="N689" i="3"/>
  <c r="M689" i="3"/>
  <c r="K689" i="3"/>
  <c r="J689" i="3"/>
  <c r="I689" i="3"/>
  <c r="O688" i="3"/>
  <c r="N688" i="3"/>
  <c r="M688" i="3"/>
  <c r="K688" i="3"/>
  <c r="J688" i="3"/>
  <c r="I688" i="3"/>
  <c r="O687" i="3"/>
  <c r="N687" i="3"/>
  <c r="M687" i="3"/>
  <c r="K687" i="3"/>
  <c r="J687" i="3"/>
  <c r="I687" i="3"/>
  <c r="O686" i="3"/>
  <c r="N686" i="3"/>
  <c r="M686" i="3"/>
  <c r="K686" i="3"/>
  <c r="J686" i="3"/>
  <c r="I686" i="3"/>
  <c r="O685" i="3"/>
  <c r="N685" i="3"/>
  <c r="M685" i="3"/>
  <c r="K685" i="3"/>
  <c r="J685" i="3"/>
  <c r="I685" i="3"/>
  <c r="O684" i="3"/>
  <c r="N684" i="3"/>
  <c r="M684" i="3"/>
  <c r="K684" i="3"/>
  <c r="J684" i="3"/>
  <c r="I684" i="3"/>
  <c r="O683" i="3"/>
  <c r="N683" i="3"/>
  <c r="M683" i="3"/>
  <c r="K683" i="3"/>
  <c r="J683" i="3"/>
  <c r="I683" i="3"/>
  <c r="O682" i="3"/>
  <c r="N682" i="3"/>
  <c r="M682" i="3"/>
  <c r="K682" i="3"/>
  <c r="J682" i="3"/>
  <c r="I682" i="3"/>
  <c r="K681" i="3"/>
  <c r="K680" i="3"/>
  <c r="O679" i="3"/>
  <c r="N679" i="3"/>
  <c r="M679" i="3"/>
  <c r="K679" i="3"/>
  <c r="J679" i="3"/>
  <c r="I679" i="3"/>
  <c r="O678" i="3"/>
  <c r="N678" i="3"/>
  <c r="M678" i="3"/>
  <c r="K678" i="3"/>
  <c r="J678" i="3"/>
  <c r="I678" i="3"/>
  <c r="O677" i="3"/>
  <c r="N677" i="3"/>
  <c r="M677" i="3"/>
  <c r="K677" i="3"/>
  <c r="J677" i="3"/>
  <c r="I677" i="3"/>
  <c r="O676" i="3"/>
  <c r="N676" i="3"/>
  <c r="M676" i="3"/>
  <c r="K676" i="3"/>
  <c r="J676" i="3"/>
  <c r="I676" i="3"/>
  <c r="O675" i="3"/>
  <c r="N675" i="3"/>
  <c r="M675" i="3"/>
  <c r="K675" i="3"/>
  <c r="J675" i="3"/>
  <c r="I675" i="3"/>
  <c r="O674" i="3"/>
  <c r="N674" i="3"/>
  <c r="M674" i="3"/>
  <c r="K674" i="3"/>
  <c r="J674" i="3"/>
  <c r="I674" i="3"/>
  <c r="O673" i="3"/>
  <c r="N673" i="3"/>
  <c r="M673" i="3"/>
  <c r="K673" i="3"/>
  <c r="J673" i="3"/>
  <c r="I673" i="3"/>
  <c r="O672" i="3"/>
  <c r="N672" i="3"/>
  <c r="M672" i="3"/>
  <c r="K672" i="3"/>
  <c r="J672" i="3"/>
  <c r="I672" i="3"/>
  <c r="K671" i="3"/>
  <c r="K670" i="3"/>
  <c r="O669" i="3"/>
  <c r="N669" i="3"/>
  <c r="M669" i="3"/>
  <c r="K669" i="3"/>
  <c r="J669" i="3"/>
  <c r="I669" i="3"/>
  <c r="O668" i="3"/>
  <c r="N668" i="3"/>
  <c r="M668" i="3"/>
  <c r="K668" i="3"/>
  <c r="J668" i="3"/>
  <c r="I668" i="3"/>
  <c r="O667" i="3"/>
  <c r="N667" i="3"/>
  <c r="M667" i="3"/>
  <c r="K667" i="3"/>
  <c r="J667" i="3"/>
  <c r="I667" i="3"/>
  <c r="O666" i="3"/>
  <c r="N666" i="3"/>
  <c r="M666" i="3"/>
  <c r="K666" i="3"/>
  <c r="J666" i="3"/>
  <c r="I666" i="3"/>
  <c r="O665" i="3"/>
  <c r="N665" i="3"/>
  <c r="M665" i="3"/>
  <c r="K665" i="3"/>
  <c r="J665" i="3"/>
  <c r="I665" i="3"/>
  <c r="O664" i="3"/>
  <c r="N664" i="3"/>
  <c r="M664" i="3"/>
  <c r="K664" i="3"/>
  <c r="J664" i="3"/>
  <c r="I664" i="3"/>
  <c r="O663" i="3"/>
  <c r="N663" i="3"/>
  <c r="M663" i="3"/>
  <c r="K663" i="3"/>
  <c r="J663" i="3"/>
  <c r="I663" i="3"/>
  <c r="O662" i="3"/>
  <c r="N662" i="3"/>
  <c r="M662" i="3"/>
  <c r="K662" i="3"/>
  <c r="J662" i="3"/>
  <c r="I662" i="3"/>
  <c r="K661" i="3"/>
  <c r="M661" i="3" s="1"/>
  <c r="K660" i="3"/>
  <c r="O659" i="3"/>
  <c r="N659" i="3"/>
  <c r="M659" i="3"/>
  <c r="K659" i="3"/>
  <c r="J659" i="3"/>
  <c r="I659" i="3"/>
  <c r="O658" i="3"/>
  <c r="N658" i="3"/>
  <c r="M658" i="3"/>
  <c r="K658" i="3"/>
  <c r="J658" i="3"/>
  <c r="I658" i="3"/>
  <c r="O657" i="3"/>
  <c r="N657" i="3"/>
  <c r="M657" i="3"/>
  <c r="K657" i="3"/>
  <c r="J657" i="3"/>
  <c r="I657" i="3"/>
  <c r="O656" i="3"/>
  <c r="N656" i="3"/>
  <c r="M656" i="3"/>
  <c r="K656" i="3"/>
  <c r="J656" i="3"/>
  <c r="I656" i="3"/>
  <c r="O655" i="3"/>
  <c r="N655" i="3"/>
  <c r="M655" i="3"/>
  <c r="K655" i="3"/>
  <c r="J655" i="3"/>
  <c r="I655" i="3"/>
  <c r="O654" i="3"/>
  <c r="N654" i="3"/>
  <c r="M654" i="3"/>
  <c r="K654" i="3"/>
  <c r="J654" i="3"/>
  <c r="I654" i="3"/>
  <c r="O653" i="3"/>
  <c r="N653" i="3"/>
  <c r="M653" i="3"/>
  <c r="K653" i="3"/>
  <c r="J653" i="3"/>
  <c r="I653" i="3"/>
  <c r="O652" i="3"/>
  <c r="N652" i="3"/>
  <c r="M652" i="3"/>
  <c r="K652" i="3"/>
  <c r="J652" i="3"/>
  <c r="I652" i="3"/>
  <c r="K651" i="3"/>
  <c r="K650" i="3"/>
  <c r="O649" i="3"/>
  <c r="N649" i="3"/>
  <c r="M649" i="3"/>
  <c r="K649" i="3"/>
  <c r="J649" i="3"/>
  <c r="I649" i="3"/>
  <c r="O648" i="3"/>
  <c r="N648" i="3"/>
  <c r="M648" i="3"/>
  <c r="K648" i="3"/>
  <c r="J648" i="3"/>
  <c r="I648" i="3"/>
  <c r="O647" i="3"/>
  <c r="N647" i="3"/>
  <c r="M647" i="3"/>
  <c r="K647" i="3"/>
  <c r="J647" i="3"/>
  <c r="I647" i="3"/>
  <c r="O646" i="3"/>
  <c r="N646" i="3"/>
  <c r="M646" i="3"/>
  <c r="K646" i="3"/>
  <c r="J646" i="3"/>
  <c r="I646" i="3"/>
  <c r="O645" i="3"/>
  <c r="N645" i="3"/>
  <c r="M645" i="3"/>
  <c r="K645" i="3"/>
  <c r="J645" i="3"/>
  <c r="I645" i="3"/>
  <c r="O644" i="3"/>
  <c r="N644" i="3"/>
  <c r="M644" i="3"/>
  <c r="K644" i="3"/>
  <c r="J644" i="3"/>
  <c r="I644" i="3"/>
  <c r="O643" i="3"/>
  <c r="N643" i="3"/>
  <c r="M643" i="3"/>
  <c r="K643" i="3"/>
  <c r="J643" i="3"/>
  <c r="I643" i="3"/>
  <c r="O642" i="3"/>
  <c r="N642" i="3"/>
  <c r="M642" i="3"/>
  <c r="K642" i="3"/>
  <c r="J642" i="3"/>
  <c r="I642" i="3"/>
  <c r="K641" i="3"/>
  <c r="K640" i="3"/>
  <c r="O639" i="3"/>
  <c r="N639" i="3"/>
  <c r="M639" i="3"/>
  <c r="K639" i="3"/>
  <c r="J639" i="3"/>
  <c r="I639" i="3"/>
  <c r="O638" i="3"/>
  <c r="N638" i="3"/>
  <c r="M638" i="3"/>
  <c r="K638" i="3"/>
  <c r="J638" i="3"/>
  <c r="I638" i="3"/>
  <c r="O637" i="3"/>
  <c r="N637" i="3"/>
  <c r="M637" i="3"/>
  <c r="K637" i="3"/>
  <c r="J637" i="3"/>
  <c r="I637" i="3"/>
  <c r="O636" i="3"/>
  <c r="N636" i="3"/>
  <c r="M636" i="3"/>
  <c r="K636" i="3"/>
  <c r="J636" i="3"/>
  <c r="I636" i="3"/>
  <c r="O635" i="3"/>
  <c r="N635" i="3"/>
  <c r="M635" i="3"/>
  <c r="K635" i="3"/>
  <c r="J635" i="3"/>
  <c r="I635" i="3"/>
  <c r="O634" i="3"/>
  <c r="N634" i="3"/>
  <c r="M634" i="3"/>
  <c r="K634" i="3"/>
  <c r="J634" i="3"/>
  <c r="I634" i="3"/>
  <c r="O633" i="3"/>
  <c r="N633" i="3"/>
  <c r="M633" i="3"/>
  <c r="K633" i="3"/>
  <c r="J633" i="3"/>
  <c r="I633" i="3"/>
  <c r="O632" i="3"/>
  <c r="N632" i="3"/>
  <c r="M632" i="3"/>
  <c r="K632" i="3"/>
  <c r="J632" i="3"/>
  <c r="I632" i="3"/>
  <c r="K631" i="3"/>
  <c r="K630" i="3"/>
  <c r="O629" i="3"/>
  <c r="N629" i="3"/>
  <c r="M629" i="3"/>
  <c r="K629" i="3"/>
  <c r="J629" i="3"/>
  <c r="I629" i="3"/>
  <c r="O628" i="3"/>
  <c r="N628" i="3"/>
  <c r="M628" i="3"/>
  <c r="K628" i="3"/>
  <c r="J628" i="3"/>
  <c r="I628" i="3"/>
  <c r="O627" i="3"/>
  <c r="N627" i="3"/>
  <c r="M627" i="3"/>
  <c r="K627" i="3"/>
  <c r="J627" i="3"/>
  <c r="I627" i="3"/>
  <c r="O626" i="3"/>
  <c r="N626" i="3"/>
  <c r="M626" i="3"/>
  <c r="K626" i="3"/>
  <c r="J626" i="3"/>
  <c r="I626" i="3"/>
  <c r="O625" i="3"/>
  <c r="N625" i="3"/>
  <c r="M625" i="3"/>
  <c r="K625" i="3"/>
  <c r="J625" i="3"/>
  <c r="I625" i="3"/>
  <c r="O624" i="3"/>
  <c r="N624" i="3"/>
  <c r="M624" i="3"/>
  <c r="K624" i="3"/>
  <c r="J624" i="3"/>
  <c r="I624" i="3"/>
  <c r="O623" i="3"/>
  <c r="N623" i="3"/>
  <c r="M623" i="3"/>
  <c r="K623" i="3"/>
  <c r="J623" i="3"/>
  <c r="I623" i="3"/>
  <c r="O622" i="3"/>
  <c r="N622" i="3"/>
  <c r="M622" i="3"/>
  <c r="K622" i="3"/>
  <c r="J622" i="3"/>
  <c r="I622" i="3"/>
  <c r="K621" i="3"/>
  <c r="K620" i="3"/>
  <c r="O619" i="3"/>
  <c r="N619" i="3"/>
  <c r="M619" i="3"/>
  <c r="K619" i="3"/>
  <c r="J619" i="3"/>
  <c r="I619" i="3"/>
  <c r="O618" i="3"/>
  <c r="N618" i="3"/>
  <c r="M618" i="3"/>
  <c r="K618" i="3"/>
  <c r="J618" i="3"/>
  <c r="I618" i="3"/>
  <c r="O617" i="3"/>
  <c r="N617" i="3"/>
  <c r="M617" i="3"/>
  <c r="K617" i="3"/>
  <c r="J617" i="3"/>
  <c r="I617" i="3"/>
  <c r="O616" i="3"/>
  <c r="N616" i="3"/>
  <c r="M616" i="3"/>
  <c r="K616" i="3"/>
  <c r="J616" i="3"/>
  <c r="I616" i="3"/>
  <c r="O615" i="3"/>
  <c r="N615" i="3"/>
  <c r="M615" i="3"/>
  <c r="K615" i="3"/>
  <c r="J615" i="3"/>
  <c r="I615" i="3"/>
  <c r="O614" i="3"/>
  <c r="N614" i="3"/>
  <c r="M614" i="3"/>
  <c r="K614" i="3"/>
  <c r="J614" i="3"/>
  <c r="I614" i="3"/>
  <c r="O613" i="3"/>
  <c r="N613" i="3"/>
  <c r="M613" i="3"/>
  <c r="K613" i="3"/>
  <c r="J613" i="3"/>
  <c r="I613" i="3"/>
  <c r="O612" i="3"/>
  <c r="N612" i="3"/>
  <c r="M612" i="3"/>
  <c r="K612" i="3"/>
  <c r="J612" i="3"/>
  <c r="I612" i="3"/>
  <c r="K611" i="3"/>
  <c r="K610" i="3"/>
  <c r="O609" i="3"/>
  <c r="N609" i="3"/>
  <c r="M609" i="3"/>
  <c r="K609" i="3"/>
  <c r="J609" i="3"/>
  <c r="I609" i="3"/>
  <c r="O608" i="3"/>
  <c r="N608" i="3"/>
  <c r="M608" i="3"/>
  <c r="K608" i="3"/>
  <c r="J608" i="3"/>
  <c r="I608" i="3"/>
  <c r="O607" i="3"/>
  <c r="N607" i="3"/>
  <c r="M607" i="3"/>
  <c r="K607" i="3"/>
  <c r="J607" i="3"/>
  <c r="I607" i="3"/>
  <c r="O606" i="3"/>
  <c r="N606" i="3"/>
  <c r="M606" i="3"/>
  <c r="K606" i="3"/>
  <c r="J606" i="3"/>
  <c r="I606" i="3"/>
  <c r="O605" i="3"/>
  <c r="N605" i="3"/>
  <c r="M605" i="3"/>
  <c r="K605" i="3"/>
  <c r="J605" i="3"/>
  <c r="I605" i="3"/>
  <c r="O604" i="3"/>
  <c r="N604" i="3"/>
  <c r="M604" i="3"/>
  <c r="K604" i="3"/>
  <c r="J604" i="3"/>
  <c r="I604" i="3"/>
  <c r="O603" i="3"/>
  <c r="N603" i="3"/>
  <c r="M603" i="3"/>
  <c r="K603" i="3"/>
  <c r="J603" i="3"/>
  <c r="I603" i="3"/>
  <c r="O602" i="3"/>
  <c r="N602" i="3"/>
  <c r="M602" i="3"/>
  <c r="K602" i="3"/>
  <c r="J602" i="3"/>
  <c r="I602" i="3"/>
  <c r="K601" i="3"/>
  <c r="K600" i="3"/>
  <c r="O599" i="3"/>
  <c r="N599" i="3"/>
  <c r="M599" i="3"/>
  <c r="K599" i="3"/>
  <c r="J599" i="3"/>
  <c r="I599" i="3"/>
  <c r="O598" i="3"/>
  <c r="N598" i="3"/>
  <c r="M598" i="3"/>
  <c r="K598" i="3"/>
  <c r="J598" i="3"/>
  <c r="I598" i="3"/>
  <c r="O597" i="3"/>
  <c r="N597" i="3"/>
  <c r="M597" i="3"/>
  <c r="K597" i="3"/>
  <c r="J597" i="3"/>
  <c r="I597" i="3"/>
  <c r="O596" i="3"/>
  <c r="N596" i="3"/>
  <c r="M596" i="3"/>
  <c r="K596" i="3"/>
  <c r="J596" i="3"/>
  <c r="I596" i="3"/>
  <c r="O595" i="3"/>
  <c r="N595" i="3"/>
  <c r="M595" i="3"/>
  <c r="K595" i="3"/>
  <c r="J595" i="3"/>
  <c r="I595" i="3"/>
  <c r="O594" i="3"/>
  <c r="N594" i="3"/>
  <c r="M594" i="3"/>
  <c r="K594" i="3"/>
  <c r="J594" i="3"/>
  <c r="I594" i="3"/>
  <c r="O593" i="3"/>
  <c r="N593" i="3"/>
  <c r="M593" i="3"/>
  <c r="K593" i="3"/>
  <c r="J593" i="3"/>
  <c r="I593" i="3"/>
  <c r="O592" i="3"/>
  <c r="N592" i="3"/>
  <c r="M592" i="3"/>
  <c r="K592" i="3"/>
  <c r="J592" i="3"/>
  <c r="I592" i="3"/>
  <c r="K591" i="3"/>
  <c r="K590" i="3"/>
  <c r="O589" i="3"/>
  <c r="N589" i="3"/>
  <c r="M589" i="3"/>
  <c r="K589" i="3"/>
  <c r="J589" i="3"/>
  <c r="I589" i="3"/>
  <c r="O588" i="3"/>
  <c r="N588" i="3"/>
  <c r="M588" i="3"/>
  <c r="K588" i="3"/>
  <c r="J588" i="3"/>
  <c r="I588" i="3"/>
  <c r="O587" i="3"/>
  <c r="N587" i="3"/>
  <c r="M587" i="3"/>
  <c r="K587" i="3"/>
  <c r="J587" i="3"/>
  <c r="I587" i="3"/>
  <c r="O586" i="3"/>
  <c r="N586" i="3"/>
  <c r="M586" i="3"/>
  <c r="K586" i="3"/>
  <c r="J586" i="3"/>
  <c r="I586" i="3"/>
  <c r="O585" i="3"/>
  <c r="N585" i="3"/>
  <c r="M585" i="3"/>
  <c r="K585" i="3"/>
  <c r="J585" i="3"/>
  <c r="I585" i="3"/>
  <c r="O584" i="3"/>
  <c r="N584" i="3"/>
  <c r="M584" i="3"/>
  <c r="K584" i="3"/>
  <c r="J584" i="3"/>
  <c r="I584" i="3"/>
  <c r="O583" i="3"/>
  <c r="N583" i="3"/>
  <c r="M583" i="3"/>
  <c r="K583" i="3"/>
  <c r="J583" i="3"/>
  <c r="I583" i="3"/>
  <c r="O582" i="3"/>
  <c r="N582" i="3"/>
  <c r="M582" i="3"/>
  <c r="K582" i="3"/>
  <c r="J582" i="3"/>
  <c r="I582" i="3"/>
  <c r="K581" i="3"/>
  <c r="K580" i="3"/>
  <c r="O579" i="3"/>
  <c r="N579" i="3"/>
  <c r="M579" i="3"/>
  <c r="K579" i="3"/>
  <c r="J579" i="3"/>
  <c r="I579" i="3"/>
  <c r="O578" i="3"/>
  <c r="N578" i="3"/>
  <c r="M578" i="3"/>
  <c r="K578" i="3"/>
  <c r="J578" i="3"/>
  <c r="I578" i="3"/>
  <c r="O577" i="3"/>
  <c r="N577" i="3"/>
  <c r="M577" i="3"/>
  <c r="K577" i="3"/>
  <c r="J577" i="3"/>
  <c r="I577" i="3"/>
  <c r="O576" i="3"/>
  <c r="N576" i="3"/>
  <c r="M576" i="3"/>
  <c r="K576" i="3"/>
  <c r="J576" i="3"/>
  <c r="I576" i="3"/>
  <c r="O575" i="3"/>
  <c r="N575" i="3"/>
  <c r="M575" i="3"/>
  <c r="K575" i="3"/>
  <c r="J575" i="3"/>
  <c r="I575" i="3"/>
  <c r="O574" i="3"/>
  <c r="N574" i="3"/>
  <c r="M574" i="3"/>
  <c r="K574" i="3"/>
  <c r="J574" i="3"/>
  <c r="I574" i="3"/>
  <c r="O573" i="3"/>
  <c r="N573" i="3"/>
  <c r="M573" i="3"/>
  <c r="K573" i="3"/>
  <c r="J573" i="3"/>
  <c r="I573" i="3"/>
  <c r="O572" i="3"/>
  <c r="N572" i="3"/>
  <c r="M572" i="3"/>
  <c r="K572" i="3"/>
  <c r="J572" i="3"/>
  <c r="I572" i="3"/>
  <c r="K571" i="3"/>
  <c r="K570" i="3"/>
  <c r="O569" i="3"/>
  <c r="N569" i="3"/>
  <c r="M569" i="3"/>
  <c r="K569" i="3"/>
  <c r="J569" i="3"/>
  <c r="I569" i="3"/>
  <c r="O568" i="3"/>
  <c r="N568" i="3"/>
  <c r="M568" i="3"/>
  <c r="K568" i="3"/>
  <c r="J568" i="3"/>
  <c r="I568" i="3"/>
  <c r="O567" i="3"/>
  <c r="N567" i="3"/>
  <c r="M567" i="3"/>
  <c r="K567" i="3"/>
  <c r="J567" i="3"/>
  <c r="I567" i="3"/>
  <c r="O566" i="3"/>
  <c r="N566" i="3"/>
  <c r="M566" i="3"/>
  <c r="K566" i="3"/>
  <c r="J566" i="3"/>
  <c r="I566" i="3"/>
  <c r="O565" i="3"/>
  <c r="N565" i="3"/>
  <c r="M565" i="3"/>
  <c r="K565" i="3"/>
  <c r="J565" i="3"/>
  <c r="I565" i="3"/>
  <c r="O564" i="3"/>
  <c r="N564" i="3"/>
  <c r="M564" i="3"/>
  <c r="K564" i="3"/>
  <c r="J564" i="3"/>
  <c r="I564" i="3"/>
  <c r="O563" i="3"/>
  <c r="N563" i="3"/>
  <c r="M563" i="3"/>
  <c r="K563" i="3"/>
  <c r="J563" i="3"/>
  <c r="I563" i="3"/>
  <c r="O562" i="3"/>
  <c r="N562" i="3"/>
  <c r="M562" i="3"/>
  <c r="K562" i="3"/>
  <c r="J562" i="3"/>
  <c r="I562" i="3"/>
  <c r="K561" i="3"/>
  <c r="K560" i="3"/>
  <c r="O559" i="3"/>
  <c r="N559" i="3"/>
  <c r="M559" i="3"/>
  <c r="K559" i="3"/>
  <c r="J559" i="3"/>
  <c r="I559" i="3"/>
  <c r="O558" i="3"/>
  <c r="N558" i="3"/>
  <c r="M558" i="3"/>
  <c r="K558" i="3"/>
  <c r="J558" i="3"/>
  <c r="I558" i="3"/>
  <c r="O557" i="3"/>
  <c r="N557" i="3"/>
  <c r="M557" i="3"/>
  <c r="K557" i="3"/>
  <c r="J557" i="3"/>
  <c r="I557" i="3"/>
  <c r="O556" i="3"/>
  <c r="N556" i="3"/>
  <c r="M556" i="3"/>
  <c r="K556" i="3"/>
  <c r="J556" i="3"/>
  <c r="I556" i="3"/>
  <c r="O555" i="3"/>
  <c r="N555" i="3"/>
  <c r="M555" i="3"/>
  <c r="K555" i="3"/>
  <c r="J555" i="3"/>
  <c r="I555" i="3"/>
  <c r="O554" i="3"/>
  <c r="N554" i="3"/>
  <c r="M554" i="3"/>
  <c r="K554" i="3"/>
  <c r="J554" i="3"/>
  <c r="I554" i="3"/>
  <c r="O553" i="3"/>
  <c r="N553" i="3"/>
  <c r="M553" i="3"/>
  <c r="K553" i="3"/>
  <c r="J553" i="3"/>
  <c r="I553" i="3"/>
  <c r="O552" i="3"/>
  <c r="N552" i="3"/>
  <c r="M552" i="3"/>
  <c r="K552" i="3"/>
  <c r="J552" i="3"/>
  <c r="I552" i="3"/>
  <c r="K551" i="3"/>
  <c r="K550" i="3"/>
  <c r="O549" i="3"/>
  <c r="N549" i="3"/>
  <c r="M549" i="3"/>
  <c r="K549" i="3"/>
  <c r="J549" i="3"/>
  <c r="I549" i="3"/>
  <c r="O548" i="3"/>
  <c r="N548" i="3"/>
  <c r="M548" i="3"/>
  <c r="K548" i="3"/>
  <c r="J548" i="3"/>
  <c r="I548" i="3"/>
  <c r="O547" i="3"/>
  <c r="N547" i="3"/>
  <c r="M547" i="3"/>
  <c r="K547" i="3"/>
  <c r="J547" i="3"/>
  <c r="I547" i="3"/>
  <c r="O546" i="3"/>
  <c r="N546" i="3"/>
  <c r="M546" i="3"/>
  <c r="K546" i="3"/>
  <c r="J546" i="3"/>
  <c r="I546" i="3"/>
  <c r="O545" i="3"/>
  <c r="N545" i="3"/>
  <c r="M545" i="3"/>
  <c r="K545" i="3"/>
  <c r="J545" i="3"/>
  <c r="I545" i="3"/>
  <c r="O544" i="3"/>
  <c r="N544" i="3"/>
  <c r="M544" i="3"/>
  <c r="K544" i="3"/>
  <c r="J544" i="3"/>
  <c r="I544" i="3"/>
  <c r="O543" i="3"/>
  <c r="N543" i="3"/>
  <c r="M543" i="3"/>
  <c r="K543" i="3"/>
  <c r="J543" i="3"/>
  <c r="I543" i="3"/>
  <c r="O542" i="3"/>
  <c r="N542" i="3"/>
  <c r="M542" i="3"/>
  <c r="K542" i="3"/>
  <c r="J542" i="3"/>
  <c r="I542" i="3"/>
  <c r="K541" i="3"/>
  <c r="K540" i="3"/>
  <c r="O539" i="3"/>
  <c r="N539" i="3"/>
  <c r="M539" i="3"/>
  <c r="K539" i="3"/>
  <c r="J539" i="3"/>
  <c r="I539" i="3"/>
  <c r="O538" i="3"/>
  <c r="N538" i="3"/>
  <c r="M538" i="3"/>
  <c r="K538" i="3"/>
  <c r="J538" i="3"/>
  <c r="I538" i="3"/>
  <c r="O537" i="3"/>
  <c r="N537" i="3"/>
  <c r="M537" i="3"/>
  <c r="K537" i="3"/>
  <c r="J537" i="3"/>
  <c r="I537" i="3"/>
  <c r="O536" i="3"/>
  <c r="N536" i="3"/>
  <c r="M536" i="3"/>
  <c r="K536" i="3"/>
  <c r="J536" i="3"/>
  <c r="I536" i="3"/>
  <c r="O535" i="3"/>
  <c r="N535" i="3"/>
  <c r="M535" i="3"/>
  <c r="K535" i="3"/>
  <c r="J535" i="3"/>
  <c r="I535" i="3"/>
  <c r="O534" i="3"/>
  <c r="N534" i="3"/>
  <c r="M534" i="3"/>
  <c r="K534" i="3"/>
  <c r="J534" i="3"/>
  <c r="I534" i="3"/>
  <c r="O533" i="3"/>
  <c r="N533" i="3"/>
  <c r="M533" i="3"/>
  <c r="K533" i="3"/>
  <c r="J533" i="3"/>
  <c r="I533" i="3"/>
  <c r="O532" i="3"/>
  <c r="N532" i="3"/>
  <c r="M532" i="3"/>
  <c r="K532" i="3"/>
  <c r="J532" i="3"/>
  <c r="I532" i="3"/>
  <c r="K531" i="3"/>
  <c r="K530" i="3"/>
  <c r="O529" i="3"/>
  <c r="N529" i="3"/>
  <c r="M529" i="3"/>
  <c r="K529" i="3"/>
  <c r="J529" i="3"/>
  <c r="I529" i="3"/>
  <c r="O528" i="3"/>
  <c r="N528" i="3"/>
  <c r="M528" i="3"/>
  <c r="K528" i="3"/>
  <c r="J528" i="3"/>
  <c r="I528" i="3"/>
  <c r="O527" i="3"/>
  <c r="N527" i="3"/>
  <c r="M527" i="3"/>
  <c r="K527" i="3"/>
  <c r="J527" i="3"/>
  <c r="I527" i="3"/>
  <c r="O526" i="3"/>
  <c r="N526" i="3"/>
  <c r="M526" i="3"/>
  <c r="K526" i="3"/>
  <c r="J526" i="3"/>
  <c r="I526" i="3"/>
  <c r="O525" i="3"/>
  <c r="N525" i="3"/>
  <c r="M525" i="3"/>
  <c r="K525" i="3"/>
  <c r="J525" i="3"/>
  <c r="I525" i="3"/>
  <c r="O524" i="3"/>
  <c r="N524" i="3"/>
  <c r="M524" i="3"/>
  <c r="K524" i="3"/>
  <c r="J524" i="3"/>
  <c r="I524" i="3"/>
  <c r="O523" i="3"/>
  <c r="N523" i="3"/>
  <c r="M523" i="3"/>
  <c r="K523" i="3"/>
  <c r="J523" i="3"/>
  <c r="I523" i="3"/>
  <c r="O522" i="3"/>
  <c r="N522" i="3"/>
  <c r="M522" i="3"/>
  <c r="K522" i="3"/>
  <c r="J522" i="3"/>
  <c r="I522" i="3"/>
  <c r="K521" i="3"/>
  <c r="K520" i="3"/>
  <c r="O519" i="3"/>
  <c r="N519" i="3"/>
  <c r="M519" i="3"/>
  <c r="K519" i="3"/>
  <c r="J519" i="3"/>
  <c r="I519" i="3"/>
  <c r="O518" i="3"/>
  <c r="N518" i="3"/>
  <c r="M518" i="3"/>
  <c r="K518" i="3"/>
  <c r="J518" i="3"/>
  <c r="I518" i="3"/>
  <c r="O517" i="3"/>
  <c r="N517" i="3"/>
  <c r="M517" i="3"/>
  <c r="K517" i="3"/>
  <c r="J517" i="3"/>
  <c r="I517" i="3"/>
  <c r="O516" i="3"/>
  <c r="N516" i="3"/>
  <c r="M516" i="3"/>
  <c r="K516" i="3"/>
  <c r="J516" i="3"/>
  <c r="I516" i="3"/>
  <c r="O515" i="3"/>
  <c r="N515" i="3"/>
  <c r="M515" i="3"/>
  <c r="K515" i="3"/>
  <c r="J515" i="3"/>
  <c r="I515" i="3"/>
  <c r="O514" i="3"/>
  <c r="N514" i="3"/>
  <c r="M514" i="3"/>
  <c r="K514" i="3"/>
  <c r="J514" i="3"/>
  <c r="I514" i="3"/>
  <c r="O513" i="3"/>
  <c r="N513" i="3"/>
  <c r="M513" i="3"/>
  <c r="K513" i="3"/>
  <c r="J513" i="3"/>
  <c r="I513" i="3"/>
  <c r="O512" i="3"/>
  <c r="N512" i="3"/>
  <c r="M512" i="3"/>
  <c r="K512" i="3"/>
  <c r="J512" i="3"/>
  <c r="I512" i="3"/>
  <c r="K511" i="3"/>
  <c r="K510" i="3"/>
  <c r="O509" i="3"/>
  <c r="N509" i="3"/>
  <c r="M509" i="3"/>
  <c r="K509" i="3"/>
  <c r="J509" i="3"/>
  <c r="I509" i="3"/>
  <c r="O508" i="3"/>
  <c r="N508" i="3"/>
  <c r="M508" i="3"/>
  <c r="K508" i="3"/>
  <c r="J508" i="3"/>
  <c r="I508" i="3"/>
  <c r="O507" i="3"/>
  <c r="N507" i="3"/>
  <c r="M507" i="3"/>
  <c r="K507" i="3"/>
  <c r="J507" i="3"/>
  <c r="I507" i="3"/>
  <c r="O506" i="3"/>
  <c r="N506" i="3"/>
  <c r="M506" i="3"/>
  <c r="K506" i="3"/>
  <c r="J506" i="3"/>
  <c r="I506" i="3"/>
  <c r="O505" i="3"/>
  <c r="N505" i="3"/>
  <c r="M505" i="3"/>
  <c r="K505" i="3"/>
  <c r="J505" i="3"/>
  <c r="I505" i="3"/>
  <c r="O504" i="3"/>
  <c r="N504" i="3"/>
  <c r="M504" i="3"/>
  <c r="K504" i="3"/>
  <c r="J504" i="3"/>
  <c r="I504" i="3"/>
  <c r="O503" i="3"/>
  <c r="N503" i="3"/>
  <c r="M503" i="3"/>
  <c r="K503" i="3"/>
  <c r="J503" i="3"/>
  <c r="I503" i="3"/>
  <c r="O502" i="3"/>
  <c r="N502" i="3"/>
  <c r="M502" i="3"/>
  <c r="K502" i="3"/>
  <c r="J502" i="3"/>
  <c r="I502" i="3"/>
  <c r="K501" i="3"/>
  <c r="K500" i="3"/>
  <c r="O499" i="3"/>
  <c r="N499" i="3"/>
  <c r="M499" i="3"/>
  <c r="K499" i="3"/>
  <c r="J499" i="3"/>
  <c r="I499" i="3"/>
  <c r="O498" i="3"/>
  <c r="N498" i="3"/>
  <c r="M498" i="3"/>
  <c r="K498" i="3"/>
  <c r="J498" i="3"/>
  <c r="I498" i="3"/>
  <c r="O497" i="3"/>
  <c r="N497" i="3"/>
  <c r="M497" i="3"/>
  <c r="K497" i="3"/>
  <c r="J497" i="3"/>
  <c r="I497" i="3"/>
  <c r="O496" i="3"/>
  <c r="N496" i="3"/>
  <c r="M496" i="3"/>
  <c r="K496" i="3"/>
  <c r="J496" i="3"/>
  <c r="I496" i="3"/>
  <c r="O495" i="3"/>
  <c r="N495" i="3"/>
  <c r="M495" i="3"/>
  <c r="K495" i="3"/>
  <c r="J495" i="3"/>
  <c r="I495" i="3"/>
  <c r="O494" i="3"/>
  <c r="N494" i="3"/>
  <c r="M494" i="3"/>
  <c r="K494" i="3"/>
  <c r="J494" i="3"/>
  <c r="I494" i="3"/>
  <c r="O493" i="3"/>
  <c r="N493" i="3"/>
  <c r="M493" i="3"/>
  <c r="K493" i="3"/>
  <c r="J493" i="3"/>
  <c r="I493" i="3"/>
  <c r="O492" i="3"/>
  <c r="N492" i="3"/>
  <c r="M492" i="3"/>
  <c r="K492" i="3"/>
  <c r="J492" i="3"/>
  <c r="I492" i="3"/>
  <c r="K491" i="3"/>
  <c r="K490" i="3"/>
  <c r="O489" i="3"/>
  <c r="N489" i="3"/>
  <c r="M489" i="3"/>
  <c r="K489" i="3"/>
  <c r="J489" i="3"/>
  <c r="I489" i="3"/>
  <c r="O488" i="3"/>
  <c r="N488" i="3"/>
  <c r="M488" i="3"/>
  <c r="K488" i="3"/>
  <c r="J488" i="3"/>
  <c r="I488" i="3"/>
  <c r="O487" i="3"/>
  <c r="N487" i="3"/>
  <c r="M487" i="3"/>
  <c r="K487" i="3"/>
  <c r="J487" i="3"/>
  <c r="I487" i="3"/>
  <c r="O486" i="3"/>
  <c r="N486" i="3"/>
  <c r="M486" i="3"/>
  <c r="K486" i="3"/>
  <c r="J486" i="3"/>
  <c r="I486" i="3"/>
  <c r="O485" i="3"/>
  <c r="N485" i="3"/>
  <c r="M485" i="3"/>
  <c r="K485" i="3"/>
  <c r="J485" i="3"/>
  <c r="I485" i="3"/>
  <c r="O484" i="3"/>
  <c r="N484" i="3"/>
  <c r="M484" i="3"/>
  <c r="K484" i="3"/>
  <c r="J484" i="3"/>
  <c r="I484" i="3"/>
  <c r="O483" i="3"/>
  <c r="N483" i="3"/>
  <c r="M483" i="3"/>
  <c r="K483" i="3"/>
  <c r="J483" i="3"/>
  <c r="I483" i="3"/>
  <c r="O482" i="3"/>
  <c r="N482" i="3"/>
  <c r="M482" i="3"/>
  <c r="K482" i="3"/>
  <c r="J482" i="3"/>
  <c r="I482" i="3"/>
  <c r="K481" i="3"/>
  <c r="K480" i="3"/>
  <c r="O479" i="3"/>
  <c r="N479" i="3"/>
  <c r="M479" i="3"/>
  <c r="K479" i="3"/>
  <c r="J479" i="3"/>
  <c r="I479" i="3"/>
  <c r="O478" i="3"/>
  <c r="N478" i="3"/>
  <c r="M478" i="3"/>
  <c r="K478" i="3"/>
  <c r="J478" i="3"/>
  <c r="I478" i="3"/>
  <c r="O477" i="3"/>
  <c r="N477" i="3"/>
  <c r="M477" i="3"/>
  <c r="K477" i="3"/>
  <c r="J477" i="3"/>
  <c r="I477" i="3"/>
  <c r="O476" i="3"/>
  <c r="N476" i="3"/>
  <c r="M476" i="3"/>
  <c r="K476" i="3"/>
  <c r="J476" i="3"/>
  <c r="I476" i="3"/>
  <c r="O475" i="3"/>
  <c r="N475" i="3"/>
  <c r="M475" i="3"/>
  <c r="K475" i="3"/>
  <c r="J475" i="3"/>
  <c r="I475" i="3"/>
  <c r="O474" i="3"/>
  <c r="N474" i="3"/>
  <c r="M474" i="3"/>
  <c r="K474" i="3"/>
  <c r="J474" i="3"/>
  <c r="I474" i="3"/>
  <c r="O473" i="3"/>
  <c r="N473" i="3"/>
  <c r="M473" i="3"/>
  <c r="K473" i="3"/>
  <c r="J473" i="3"/>
  <c r="I473" i="3"/>
  <c r="O472" i="3"/>
  <c r="N472" i="3"/>
  <c r="M472" i="3"/>
  <c r="K472" i="3"/>
  <c r="J472" i="3"/>
  <c r="I472" i="3"/>
  <c r="K471" i="3"/>
  <c r="K470" i="3"/>
  <c r="O469" i="3"/>
  <c r="N469" i="3"/>
  <c r="M469" i="3"/>
  <c r="K469" i="3"/>
  <c r="J469" i="3"/>
  <c r="I469" i="3"/>
  <c r="O468" i="3"/>
  <c r="N468" i="3"/>
  <c r="M468" i="3"/>
  <c r="K468" i="3"/>
  <c r="J468" i="3"/>
  <c r="I468" i="3"/>
  <c r="O467" i="3"/>
  <c r="N467" i="3"/>
  <c r="M467" i="3"/>
  <c r="K467" i="3"/>
  <c r="J467" i="3"/>
  <c r="I467" i="3"/>
  <c r="O466" i="3"/>
  <c r="N466" i="3"/>
  <c r="M466" i="3"/>
  <c r="K466" i="3"/>
  <c r="J466" i="3"/>
  <c r="I466" i="3"/>
  <c r="O465" i="3"/>
  <c r="N465" i="3"/>
  <c r="M465" i="3"/>
  <c r="K465" i="3"/>
  <c r="J465" i="3"/>
  <c r="I465" i="3"/>
  <c r="O464" i="3"/>
  <c r="N464" i="3"/>
  <c r="M464" i="3"/>
  <c r="K464" i="3"/>
  <c r="J464" i="3"/>
  <c r="I464" i="3"/>
  <c r="O463" i="3"/>
  <c r="N463" i="3"/>
  <c r="M463" i="3"/>
  <c r="K463" i="3"/>
  <c r="J463" i="3"/>
  <c r="I463" i="3"/>
  <c r="O462" i="3"/>
  <c r="N462" i="3"/>
  <c r="M462" i="3"/>
  <c r="K462" i="3"/>
  <c r="J462" i="3"/>
  <c r="I462" i="3"/>
  <c r="K461" i="3"/>
  <c r="K460" i="3"/>
  <c r="O459" i="3"/>
  <c r="N459" i="3"/>
  <c r="M459" i="3"/>
  <c r="K459" i="3"/>
  <c r="J459" i="3"/>
  <c r="I459" i="3"/>
  <c r="O458" i="3"/>
  <c r="N458" i="3"/>
  <c r="M458" i="3"/>
  <c r="K458" i="3"/>
  <c r="J458" i="3"/>
  <c r="I458" i="3"/>
  <c r="O457" i="3"/>
  <c r="N457" i="3"/>
  <c r="M457" i="3"/>
  <c r="K457" i="3"/>
  <c r="J457" i="3"/>
  <c r="I457" i="3"/>
  <c r="O456" i="3"/>
  <c r="N456" i="3"/>
  <c r="M456" i="3"/>
  <c r="K456" i="3"/>
  <c r="J456" i="3"/>
  <c r="I456" i="3"/>
  <c r="O455" i="3"/>
  <c r="N455" i="3"/>
  <c r="M455" i="3"/>
  <c r="K455" i="3"/>
  <c r="J455" i="3"/>
  <c r="I455" i="3"/>
  <c r="O454" i="3"/>
  <c r="N454" i="3"/>
  <c r="M454" i="3"/>
  <c r="K454" i="3"/>
  <c r="J454" i="3"/>
  <c r="I454" i="3"/>
  <c r="O453" i="3"/>
  <c r="N453" i="3"/>
  <c r="M453" i="3"/>
  <c r="K453" i="3"/>
  <c r="J453" i="3"/>
  <c r="I453" i="3"/>
  <c r="O452" i="3"/>
  <c r="N452" i="3"/>
  <c r="M452" i="3"/>
  <c r="K452" i="3"/>
  <c r="J452" i="3"/>
  <c r="I452" i="3"/>
  <c r="K451" i="3"/>
  <c r="K450" i="3"/>
  <c r="O449" i="3"/>
  <c r="N449" i="3"/>
  <c r="M449" i="3"/>
  <c r="K449" i="3"/>
  <c r="J449" i="3"/>
  <c r="I449" i="3"/>
  <c r="O448" i="3"/>
  <c r="N448" i="3"/>
  <c r="M448" i="3"/>
  <c r="K448" i="3"/>
  <c r="J448" i="3"/>
  <c r="I448" i="3"/>
  <c r="O447" i="3"/>
  <c r="N447" i="3"/>
  <c r="M447" i="3"/>
  <c r="K447" i="3"/>
  <c r="J447" i="3"/>
  <c r="I447" i="3"/>
  <c r="O446" i="3"/>
  <c r="N446" i="3"/>
  <c r="M446" i="3"/>
  <c r="K446" i="3"/>
  <c r="J446" i="3"/>
  <c r="I446" i="3"/>
  <c r="O445" i="3"/>
  <c r="N445" i="3"/>
  <c r="M445" i="3"/>
  <c r="K445" i="3"/>
  <c r="J445" i="3"/>
  <c r="I445" i="3"/>
  <c r="O444" i="3"/>
  <c r="N444" i="3"/>
  <c r="M444" i="3"/>
  <c r="K444" i="3"/>
  <c r="J444" i="3"/>
  <c r="I444" i="3"/>
  <c r="O443" i="3"/>
  <c r="N443" i="3"/>
  <c r="M443" i="3"/>
  <c r="K443" i="3"/>
  <c r="J443" i="3"/>
  <c r="I443" i="3"/>
  <c r="O442" i="3"/>
  <c r="N442" i="3"/>
  <c r="M442" i="3"/>
  <c r="K442" i="3"/>
  <c r="J442" i="3"/>
  <c r="I442" i="3"/>
  <c r="K441" i="3"/>
  <c r="K440" i="3"/>
  <c r="O439" i="3"/>
  <c r="N439" i="3"/>
  <c r="M439" i="3"/>
  <c r="K439" i="3"/>
  <c r="J439" i="3"/>
  <c r="I439" i="3"/>
  <c r="O438" i="3"/>
  <c r="N438" i="3"/>
  <c r="M438" i="3"/>
  <c r="K438" i="3"/>
  <c r="J438" i="3"/>
  <c r="I438" i="3"/>
  <c r="O437" i="3"/>
  <c r="N437" i="3"/>
  <c r="M437" i="3"/>
  <c r="K437" i="3"/>
  <c r="J437" i="3"/>
  <c r="I437" i="3"/>
  <c r="O436" i="3"/>
  <c r="N436" i="3"/>
  <c r="M436" i="3"/>
  <c r="K436" i="3"/>
  <c r="J436" i="3"/>
  <c r="I436" i="3"/>
  <c r="O435" i="3"/>
  <c r="N435" i="3"/>
  <c r="M435" i="3"/>
  <c r="K435" i="3"/>
  <c r="J435" i="3"/>
  <c r="I435" i="3"/>
  <c r="O434" i="3"/>
  <c r="N434" i="3"/>
  <c r="M434" i="3"/>
  <c r="K434" i="3"/>
  <c r="J434" i="3"/>
  <c r="I434" i="3"/>
  <c r="O433" i="3"/>
  <c r="N433" i="3"/>
  <c r="M433" i="3"/>
  <c r="K433" i="3"/>
  <c r="J433" i="3"/>
  <c r="I433" i="3"/>
  <c r="O432" i="3"/>
  <c r="N432" i="3"/>
  <c r="M432" i="3"/>
  <c r="K432" i="3"/>
  <c r="J432" i="3"/>
  <c r="I432" i="3"/>
  <c r="K431" i="3"/>
  <c r="K430" i="3"/>
  <c r="O429" i="3"/>
  <c r="N429" i="3"/>
  <c r="M429" i="3"/>
  <c r="K429" i="3"/>
  <c r="J429" i="3"/>
  <c r="I429" i="3"/>
  <c r="O428" i="3"/>
  <c r="N428" i="3"/>
  <c r="M428" i="3"/>
  <c r="K428" i="3"/>
  <c r="J428" i="3"/>
  <c r="I428" i="3"/>
  <c r="O427" i="3"/>
  <c r="N427" i="3"/>
  <c r="M427" i="3"/>
  <c r="K427" i="3"/>
  <c r="J427" i="3"/>
  <c r="I427" i="3"/>
  <c r="O426" i="3"/>
  <c r="N426" i="3"/>
  <c r="M426" i="3"/>
  <c r="K426" i="3"/>
  <c r="J426" i="3"/>
  <c r="I426" i="3"/>
  <c r="O425" i="3"/>
  <c r="N425" i="3"/>
  <c r="M425" i="3"/>
  <c r="K425" i="3"/>
  <c r="J425" i="3"/>
  <c r="I425" i="3"/>
  <c r="O424" i="3"/>
  <c r="N424" i="3"/>
  <c r="M424" i="3"/>
  <c r="K424" i="3"/>
  <c r="J424" i="3"/>
  <c r="I424" i="3"/>
  <c r="O423" i="3"/>
  <c r="N423" i="3"/>
  <c r="M423" i="3"/>
  <c r="K423" i="3"/>
  <c r="J423" i="3"/>
  <c r="I423" i="3"/>
  <c r="O422" i="3"/>
  <c r="N422" i="3"/>
  <c r="M422" i="3"/>
  <c r="K422" i="3"/>
  <c r="J422" i="3"/>
  <c r="I422" i="3"/>
  <c r="K421" i="3"/>
  <c r="K420" i="3"/>
  <c r="O419" i="3"/>
  <c r="N419" i="3"/>
  <c r="M419" i="3"/>
  <c r="K419" i="3"/>
  <c r="J419" i="3"/>
  <c r="I419" i="3"/>
  <c r="O418" i="3"/>
  <c r="N418" i="3"/>
  <c r="M418" i="3"/>
  <c r="K418" i="3"/>
  <c r="J418" i="3"/>
  <c r="I418" i="3"/>
  <c r="O417" i="3"/>
  <c r="N417" i="3"/>
  <c r="M417" i="3"/>
  <c r="K417" i="3"/>
  <c r="J417" i="3"/>
  <c r="I417" i="3"/>
  <c r="O416" i="3"/>
  <c r="N416" i="3"/>
  <c r="M416" i="3"/>
  <c r="K416" i="3"/>
  <c r="J416" i="3"/>
  <c r="I416" i="3"/>
  <c r="O415" i="3"/>
  <c r="N415" i="3"/>
  <c r="M415" i="3"/>
  <c r="K415" i="3"/>
  <c r="J415" i="3"/>
  <c r="I415" i="3"/>
  <c r="O414" i="3"/>
  <c r="N414" i="3"/>
  <c r="M414" i="3"/>
  <c r="K414" i="3"/>
  <c r="J414" i="3"/>
  <c r="I414" i="3"/>
  <c r="O413" i="3"/>
  <c r="N413" i="3"/>
  <c r="M413" i="3"/>
  <c r="K413" i="3"/>
  <c r="J413" i="3"/>
  <c r="I413" i="3"/>
  <c r="O412" i="3"/>
  <c r="N412" i="3"/>
  <c r="M412" i="3"/>
  <c r="K412" i="3"/>
  <c r="J412" i="3"/>
  <c r="I412" i="3"/>
  <c r="K411" i="3"/>
  <c r="K410" i="3"/>
  <c r="O409" i="3"/>
  <c r="N409" i="3"/>
  <c r="M409" i="3"/>
  <c r="K409" i="3"/>
  <c r="J409" i="3"/>
  <c r="I409" i="3"/>
  <c r="O408" i="3"/>
  <c r="N408" i="3"/>
  <c r="M408" i="3"/>
  <c r="K408" i="3"/>
  <c r="J408" i="3"/>
  <c r="I408" i="3"/>
  <c r="O407" i="3"/>
  <c r="N407" i="3"/>
  <c r="M407" i="3"/>
  <c r="K407" i="3"/>
  <c r="J407" i="3"/>
  <c r="I407" i="3"/>
  <c r="O406" i="3"/>
  <c r="N406" i="3"/>
  <c r="M406" i="3"/>
  <c r="K406" i="3"/>
  <c r="J406" i="3"/>
  <c r="I406" i="3"/>
  <c r="O405" i="3"/>
  <c r="N405" i="3"/>
  <c r="M405" i="3"/>
  <c r="K405" i="3"/>
  <c r="J405" i="3"/>
  <c r="I405" i="3"/>
  <c r="O404" i="3"/>
  <c r="N404" i="3"/>
  <c r="M404" i="3"/>
  <c r="K404" i="3"/>
  <c r="J404" i="3"/>
  <c r="I404" i="3"/>
  <c r="O403" i="3"/>
  <c r="N403" i="3"/>
  <c r="M403" i="3"/>
  <c r="K403" i="3"/>
  <c r="J403" i="3"/>
  <c r="I403" i="3"/>
  <c r="O402" i="3"/>
  <c r="N402" i="3"/>
  <c r="M402" i="3"/>
  <c r="K402" i="3"/>
  <c r="J402" i="3"/>
  <c r="I402" i="3"/>
  <c r="K401" i="3"/>
  <c r="K400" i="3"/>
  <c r="O399" i="3"/>
  <c r="N399" i="3"/>
  <c r="M399" i="3"/>
  <c r="K399" i="3"/>
  <c r="J399" i="3"/>
  <c r="I399" i="3"/>
  <c r="O398" i="3"/>
  <c r="N398" i="3"/>
  <c r="M398" i="3"/>
  <c r="K398" i="3"/>
  <c r="J398" i="3"/>
  <c r="I398" i="3"/>
  <c r="O397" i="3"/>
  <c r="N397" i="3"/>
  <c r="M397" i="3"/>
  <c r="K397" i="3"/>
  <c r="J397" i="3"/>
  <c r="I397" i="3"/>
  <c r="O396" i="3"/>
  <c r="N396" i="3"/>
  <c r="M396" i="3"/>
  <c r="K396" i="3"/>
  <c r="J396" i="3"/>
  <c r="I396" i="3"/>
  <c r="O395" i="3"/>
  <c r="N395" i="3"/>
  <c r="M395" i="3"/>
  <c r="K395" i="3"/>
  <c r="J395" i="3"/>
  <c r="I395" i="3"/>
  <c r="O394" i="3"/>
  <c r="N394" i="3"/>
  <c r="M394" i="3"/>
  <c r="K394" i="3"/>
  <c r="J394" i="3"/>
  <c r="I394" i="3"/>
  <c r="O393" i="3"/>
  <c r="N393" i="3"/>
  <c r="M393" i="3"/>
  <c r="K393" i="3"/>
  <c r="J393" i="3"/>
  <c r="I393" i="3"/>
  <c r="O392" i="3"/>
  <c r="N392" i="3"/>
  <c r="M392" i="3"/>
  <c r="K392" i="3"/>
  <c r="J392" i="3"/>
  <c r="I392" i="3"/>
  <c r="K391" i="3"/>
  <c r="K390" i="3"/>
  <c r="O389" i="3"/>
  <c r="N389" i="3"/>
  <c r="M389" i="3"/>
  <c r="K389" i="3"/>
  <c r="J389" i="3"/>
  <c r="I389" i="3"/>
  <c r="O388" i="3"/>
  <c r="N388" i="3"/>
  <c r="M388" i="3"/>
  <c r="K388" i="3"/>
  <c r="J388" i="3"/>
  <c r="I388" i="3"/>
  <c r="O387" i="3"/>
  <c r="N387" i="3"/>
  <c r="M387" i="3"/>
  <c r="K387" i="3"/>
  <c r="J387" i="3"/>
  <c r="I387" i="3"/>
  <c r="O386" i="3"/>
  <c r="N386" i="3"/>
  <c r="M386" i="3"/>
  <c r="K386" i="3"/>
  <c r="J386" i="3"/>
  <c r="I386" i="3"/>
  <c r="O385" i="3"/>
  <c r="N385" i="3"/>
  <c r="M385" i="3"/>
  <c r="K385" i="3"/>
  <c r="J385" i="3"/>
  <c r="I385" i="3"/>
  <c r="O384" i="3"/>
  <c r="N384" i="3"/>
  <c r="M384" i="3"/>
  <c r="K384" i="3"/>
  <c r="J384" i="3"/>
  <c r="I384" i="3"/>
  <c r="O383" i="3"/>
  <c r="N383" i="3"/>
  <c r="M383" i="3"/>
  <c r="K383" i="3"/>
  <c r="J383" i="3"/>
  <c r="I383" i="3"/>
  <c r="O382" i="3"/>
  <c r="N382" i="3"/>
  <c r="M382" i="3"/>
  <c r="K382" i="3"/>
  <c r="J382" i="3"/>
  <c r="I382" i="3"/>
  <c r="K381" i="3"/>
  <c r="K380" i="3"/>
  <c r="O379" i="3"/>
  <c r="N379" i="3"/>
  <c r="M379" i="3"/>
  <c r="K379" i="3"/>
  <c r="J379" i="3"/>
  <c r="I379" i="3"/>
  <c r="O378" i="3"/>
  <c r="N378" i="3"/>
  <c r="M378" i="3"/>
  <c r="K378" i="3"/>
  <c r="J378" i="3"/>
  <c r="I378" i="3"/>
  <c r="O377" i="3"/>
  <c r="N377" i="3"/>
  <c r="M377" i="3"/>
  <c r="K377" i="3"/>
  <c r="J377" i="3"/>
  <c r="I377" i="3"/>
  <c r="O376" i="3"/>
  <c r="N376" i="3"/>
  <c r="M376" i="3"/>
  <c r="K376" i="3"/>
  <c r="J376" i="3"/>
  <c r="I376" i="3"/>
  <c r="O375" i="3"/>
  <c r="N375" i="3"/>
  <c r="M375" i="3"/>
  <c r="K375" i="3"/>
  <c r="J375" i="3"/>
  <c r="I375" i="3"/>
  <c r="O374" i="3"/>
  <c r="N374" i="3"/>
  <c r="M374" i="3"/>
  <c r="K374" i="3"/>
  <c r="J374" i="3"/>
  <c r="I374" i="3"/>
  <c r="O373" i="3"/>
  <c r="N373" i="3"/>
  <c r="M373" i="3"/>
  <c r="K373" i="3"/>
  <c r="J373" i="3"/>
  <c r="I373" i="3"/>
  <c r="O372" i="3"/>
  <c r="N372" i="3"/>
  <c r="M372" i="3"/>
  <c r="K372" i="3"/>
  <c r="J372" i="3"/>
  <c r="I372" i="3"/>
  <c r="K371" i="3"/>
  <c r="K370" i="3"/>
  <c r="O369" i="3"/>
  <c r="N369" i="3"/>
  <c r="M369" i="3"/>
  <c r="K369" i="3"/>
  <c r="J369" i="3"/>
  <c r="I369" i="3"/>
  <c r="O368" i="3"/>
  <c r="N368" i="3"/>
  <c r="M368" i="3"/>
  <c r="K368" i="3"/>
  <c r="J368" i="3"/>
  <c r="I368" i="3"/>
  <c r="O367" i="3"/>
  <c r="N367" i="3"/>
  <c r="M367" i="3"/>
  <c r="K367" i="3"/>
  <c r="J367" i="3"/>
  <c r="I367" i="3"/>
  <c r="O366" i="3"/>
  <c r="N366" i="3"/>
  <c r="M366" i="3"/>
  <c r="K366" i="3"/>
  <c r="J366" i="3"/>
  <c r="I366" i="3"/>
  <c r="O365" i="3"/>
  <c r="N365" i="3"/>
  <c r="M365" i="3"/>
  <c r="K365" i="3"/>
  <c r="J365" i="3"/>
  <c r="I365" i="3"/>
  <c r="O364" i="3"/>
  <c r="N364" i="3"/>
  <c r="M364" i="3"/>
  <c r="K364" i="3"/>
  <c r="J364" i="3"/>
  <c r="I364" i="3"/>
  <c r="O363" i="3"/>
  <c r="N363" i="3"/>
  <c r="M363" i="3"/>
  <c r="K363" i="3"/>
  <c r="J363" i="3"/>
  <c r="I363" i="3"/>
  <c r="O362" i="3"/>
  <c r="N362" i="3"/>
  <c r="M362" i="3"/>
  <c r="K362" i="3"/>
  <c r="J362" i="3"/>
  <c r="I362" i="3"/>
  <c r="K361" i="3"/>
  <c r="K360" i="3"/>
  <c r="N360" i="3" s="1"/>
  <c r="O360" i="3" s="1"/>
  <c r="O359" i="3"/>
  <c r="N359" i="3"/>
  <c r="M359" i="3"/>
  <c r="K359" i="3"/>
  <c r="J359" i="3"/>
  <c r="I359" i="3"/>
  <c r="O358" i="3"/>
  <c r="N358" i="3"/>
  <c r="M358" i="3"/>
  <c r="K358" i="3"/>
  <c r="J358" i="3"/>
  <c r="I358" i="3"/>
  <c r="O357" i="3"/>
  <c r="N357" i="3"/>
  <c r="M357" i="3"/>
  <c r="K357" i="3"/>
  <c r="J357" i="3"/>
  <c r="I357" i="3"/>
  <c r="O356" i="3"/>
  <c r="N356" i="3"/>
  <c r="M356" i="3"/>
  <c r="K356" i="3"/>
  <c r="J356" i="3"/>
  <c r="I356" i="3"/>
  <c r="O355" i="3"/>
  <c r="N355" i="3"/>
  <c r="M355" i="3"/>
  <c r="K355" i="3"/>
  <c r="J355" i="3"/>
  <c r="I355" i="3"/>
  <c r="O354" i="3"/>
  <c r="N354" i="3"/>
  <c r="M354" i="3"/>
  <c r="K354" i="3"/>
  <c r="J354" i="3"/>
  <c r="I354" i="3"/>
  <c r="O353" i="3"/>
  <c r="N353" i="3"/>
  <c r="M353" i="3"/>
  <c r="K353" i="3"/>
  <c r="J353" i="3"/>
  <c r="I353" i="3"/>
  <c r="O352" i="3"/>
  <c r="N352" i="3"/>
  <c r="M352" i="3"/>
  <c r="K352" i="3"/>
  <c r="J352" i="3"/>
  <c r="I352" i="3"/>
  <c r="K351" i="3"/>
  <c r="K350" i="3"/>
  <c r="O349" i="3"/>
  <c r="N349" i="3"/>
  <c r="M349" i="3"/>
  <c r="K349" i="3"/>
  <c r="J349" i="3"/>
  <c r="I349" i="3"/>
  <c r="O348" i="3"/>
  <c r="N348" i="3"/>
  <c r="M348" i="3"/>
  <c r="K348" i="3"/>
  <c r="J348" i="3"/>
  <c r="I348" i="3"/>
  <c r="O347" i="3"/>
  <c r="N347" i="3"/>
  <c r="M347" i="3"/>
  <c r="K347" i="3"/>
  <c r="J347" i="3"/>
  <c r="I347" i="3"/>
  <c r="O346" i="3"/>
  <c r="N346" i="3"/>
  <c r="M346" i="3"/>
  <c r="K346" i="3"/>
  <c r="J346" i="3"/>
  <c r="I346" i="3"/>
  <c r="O345" i="3"/>
  <c r="N345" i="3"/>
  <c r="M345" i="3"/>
  <c r="K345" i="3"/>
  <c r="J345" i="3"/>
  <c r="I345" i="3"/>
  <c r="O344" i="3"/>
  <c r="N344" i="3"/>
  <c r="M344" i="3"/>
  <c r="K344" i="3"/>
  <c r="J344" i="3"/>
  <c r="I344" i="3"/>
  <c r="O343" i="3"/>
  <c r="N343" i="3"/>
  <c r="M343" i="3"/>
  <c r="K343" i="3"/>
  <c r="J343" i="3"/>
  <c r="I343" i="3"/>
  <c r="O342" i="3"/>
  <c r="N342" i="3"/>
  <c r="M342" i="3"/>
  <c r="K342" i="3"/>
  <c r="J342" i="3"/>
  <c r="I342" i="3"/>
  <c r="K341" i="3"/>
  <c r="K340" i="3"/>
  <c r="O339" i="3"/>
  <c r="N339" i="3"/>
  <c r="M339" i="3"/>
  <c r="K339" i="3"/>
  <c r="J339" i="3"/>
  <c r="I339" i="3"/>
  <c r="O338" i="3"/>
  <c r="N338" i="3"/>
  <c r="M338" i="3"/>
  <c r="K338" i="3"/>
  <c r="J338" i="3"/>
  <c r="I338" i="3"/>
  <c r="O337" i="3"/>
  <c r="N337" i="3"/>
  <c r="M337" i="3"/>
  <c r="K337" i="3"/>
  <c r="J337" i="3"/>
  <c r="I337" i="3"/>
  <c r="O336" i="3"/>
  <c r="N336" i="3"/>
  <c r="M336" i="3"/>
  <c r="K336" i="3"/>
  <c r="J336" i="3"/>
  <c r="I336" i="3"/>
  <c r="O335" i="3"/>
  <c r="N335" i="3"/>
  <c r="M335" i="3"/>
  <c r="K335" i="3"/>
  <c r="J335" i="3"/>
  <c r="I335" i="3"/>
  <c r="O334" i="3"/>
  <c r="N334" i="3"/>
  <c r="M334" i="3"/>
  <c r="K334" i="3"/>
  <c r="J334" i="3"/>
  <c r="I334" i="3"/>
  <c r="O333" i="3"/>
  <c r="N333" i="3"/>
  <c r="M333" i="3"/>
  <c r="K333" i="3"/>
  <c r="J333" i="3"/>
  <c r="I333" i="3"/>
  <c r="O332" i="3"/>
  <c r="N332" i="3"/>
  <c r="M332" i="3"/>
  <c r="K332" i="3"/>
  <c r="J332" i="3"/>
  <c r="I332" i="3"/>
  <c r="K331" i="3"/>
  <c r="K330" i="3"/>
  <c r="O329" i="3"/>
  <c r="N329" i="3"/>
  <c r="M329" i="3"/>
  <c r="K329" i="3"/>
  <c r="J329" i="3"/>
  <c r="I329" i="3"/>
  <c r="O328" i="3"/>
  <c r="N328" i="3"/>
  <c r="M328" i="3"/>
  <c r="K328" i="3"/>
  <c r="J328" i="3"/>
  <c r="I328" i="3"/>
  <c r="O327" i="3"/>
  <c r="N327" i="3"/>
  <c r="M327" i="3"/>
  <c r="K327" i="3"/>
  <c r="J327" i="3"/>
  <c r="I327" i="3"/>
  <c r="O326" i="3"/>
  <c r="N326" i="3"/>
  <c r="M326" i="3"/>
  <c r="K326" i="3"/>
  <c r="J326" i="3"/>
  <c r="I326" i="3"/>
  <c r="O325" i="3"/>
  <c r="N325" i="3"/>
  <c r="M325" i="3"/>
  <c r="K325" i="3"/>
  <c r="J325" i="3"/>
  <c r="I325" i="3"/>
  <c r="O324" i="3"/>
  <c r="N324" i="3"/>
  <c r="M324" i="3"/>
  <c r="K324" i="3"/>
  <c r="J324" i="3"/>
  <c r="I324" i="3"/>
  <c r="O323" i="3"/>
  <c r="N323" i="3"/>
  <c r="M323" i="3"/>
  <c r="K323" i="3"/>
  <c r="J323" i="3"/>
  <c r="I323" i="3"/>
  <c r="O322" i="3"/>
  <c r="N322" i="3"/>
  <c r="M322" i="3"/>
  <c r="K322" i="3"/>
  <c r="J322" i="3"/>
  <c r="I322" i="3"/>
  <c r="K321" i="3"/>
  <c r="K320" i="3"/>
  <c r="O319" i="3"/>
  <c r="N319" i="3"/>
  <c r="M319" i="3"/>
  <c r="K319" i="3"/>
  <c r="J319" i="3"/>
  <c r="I319" i="3"/>
  <c r="O318" i="3"/>
  <c r="N318" i="3"/>
  <c r="M318" i="3"/>
  <c r="K318" i="3"/>
  <c r="J318" i="3"/>
  <c r="I318" i="3"/>
  <c r="O317" i="3"/>
  <c r="N317" i="3"/>
  <c r="M317" i="3"/>
  <c r="K317" i="3"/>
  <c r="J317" i="3"/>
  <c r="I317" i="3"/>
  <c r="O316" i="3"/>
  <c r="N316" i="3"/>
  <c r="M316" i="3"/>
  <c r="K316" i="3"/>
  <c r="J316" i="3"/>
  <c r="I316" i="3"/>
  <c r="O315" i="3"/>
  <c r="N315" i="3"/>
  <c r="M315" i="3"/>
  <c r="K315" i="3"/>
  <c r="J315" i="3"/>
  <c r="I315" i="3"/>
  <c r="O314" i="3"/>
  <c r="N314" i="3"/>
  <c r="M314" i="3"/>
  <c r="K314" i="3"/>
  <c r="J314" i="3"/>
  <c r="I314" i="3"/>
  <c r="O313" i="3"/>
  <c r="N313" i="3"/>
  <c r="M313" i="3"/>
  <c r="K313" i="3"/>
  <c r="J313" i="3"/>
  <c r="I313" i="3"/>
  <c r="O312" i="3"/>
  <c r="N312" i="3"/>
  <c r="M312" i="3"/>
  <c r="K312" i="3"/>
  <c r="J312" i="3"/>
  <c r="I312" i="3"/>
  <c r="K311" i="3"/>
  <c r="K310" i="3"/>
  <c r="O309" i="3"/>
  <c r="N309" i="3"/>
  <c r="M309" i="3"/>
  <c r="K309" i="3"/>
  <c r="J309" i="3"/>
  <c r="I309" i="3"/>
  <c r="O308" i="3"/>
  <c r="N308" i="3"/>
  <c r="M308" i="3"/>
  <c r="K308" i="3"/>
  <c r="J308" i="3"/>
  <c r="I308" i="3"/>
  <c r="O307" i="3"/>
  <c r="N307" i="3"/>
  <c r="M307" i="3"/>
  <c r="K307" i="3"/>
  <c r="J307" i="3"/>
  <c r="I307" i="3"/>
  <c r="O306" i="3"/>
  <c r="N306" i="3"/>
  <c r="M306" i="3"/>
  <c r="K306" i="3"/>
  <c r="J306" i="3"/>
  <c r="I306" i="3"/>
  <c r="O305" i="3"/>
  <c r="N305" i="3"/>
  <c r="M305" i="3"/>
  <c r="K305" i="3"/>
  <c r="J305" i="3"/>
  <c r="I305" i="3"/>
  <c r="O304" i="3"/>
  <c r="N304" i="3"/>
  <c r="M304" i="3"/>
  <c r="K304" i="3"/>
  <c r="J304" i="3"/>
  <c r="I304" i="3"/>
  <c r="O303" i="3"/>
  <c r="N303" i="3"/>
  <c r="M303" i="3"/>
  <c r="K303" i="3"/>
  <c r="J303" i="3"/>
  <c r="I303" i="3"/>
  <c r="O302" i="3"/>
  <c r="N302" i="3"/>
  <c r="M302" i="3"/>
  <c r="K302" i="3"/>
  <c r="J302" i="3"/>
  <c r="I302" i="3"/>
  <c r="K301" i="3"/>
  <c r="K300" i="3"/>
  <c r="O299" i="3"/>
  <c r="N299" i="3"/>
  <c r="M299" i="3"/>
  <c r="K299" i="3"/>
  <c r="J299" i="3"/>
  <c r="I299" i="3"/>
  <c r="O298" i="3"/>
  <c r="N298" i="3"/>
  <c r="M298" i="3"/>
  <c r="K298" i="3"/>
  <c r="J298" i="3"/>
  <c r="I298" i="3"/>
  <c r="O297" i="3"/>
  <c r="N297" i="3"/>
  <c r="M297" i="3"/>
  <c r="K297" i="3"/>
  <c r="J297" i="3"/>
  <c r="I297" i="3"/>
  <c r="O296" i="3"/>
  <c r="N296" i="3"/>
  <c r="M296" i="3"/>
  <c r="K296" i="3"/>
  <c r="J296" i="3"/>
  <c r="I296" i="3"/>
  <c r="O295" i="3"/>
  <c r="N295" i="3"/>
  <c r="M295" i="3"/>
  <c r="K295" i="3"/>
  <c r="J295" i="3"/>
  <c r="I295" i="3"/>
  <c r="O294" i="3"/>
  <c r="N294" i="3"/>
  <c r="M294" i="3"/>
  <c r="K294" i="3"/>
  <c r="J294" i="3"/>
  <c r="I294" i="3"/>
  <c r="O293" i="3"/>
  <c r="N293" i="3"/>
  <c r="M293" i="3"/>
  <c r="K293" i="3"/>
  <c r="J293" i="3"/>
  <c r="I293" i="3"/>
  <c r="O292" i="3"/>
  <c r="N292" i="3"/>
  <c r="M292" i="3"/>
  <c r="K292" i="3"/>
  <c r="J292" i="3"/>
  <c r="I292" i="3"/>
  <c r="K291" i="3"/>
  <c r="K290" i="3"/>
  <c r="O289" i="3"/>
  <c r="N289" i="3"/>
  <c r="M289" i="3"/>
  <c r="K289" i="3"/>
  <c r="J289" i="3"/>
  <c r="I289" i="3"/>
  <c r="O288" i="3"/>
  <c r="N288" i="3"/>
  <c r="M288" i="3"/>
  <c r="K288" i="3"/>
  <c r="J288" i="3"/>
  <c r="I288" i="3"/>
  <c r="O287" i="3"/>
  <c r="N287" i="3"/>
  <c r="M287" i="3"/>
  <c r="K287" i="3"/>
  <c r="J287" i="3"/>
  <c r="I287" i="3"/>
  <c r="O286" i="3"/>
  <c r="N286" i="3"/>
  <c r="M286" i="3"/>
  <c r="K286" i="3"/>
  <c r="J286" i="3"/>
  <c r="I286" i="3"/>
  <c r="O285" i="3"/>
  <c r="N285" i="3"/>
  <c r="M285" i="3"/>
  <c r="K285" i="3"/>
  <c r="J285" i="3"/>
  <c r="I285" i="3"/>
  <c r="O284" i="3"/>
  <c r="N284" i="3"/>
  <c r="M284" i="3"/>
  <c r="K284" i="3"/>
  <c r="J284" i="3"/>
  <c r="I284" i="3"/>
  <c r="O283" i="3"/>
  <c r="N283" i="3"/>
  <c r="M283" i="3"/>
  <c r="K283" i="3"/>
  <c r="J283" i="3"/>
  <c r="I283" i="3"/>
  <c r="O282" i="3"/>
  <c r="N282" i="3"/>
  <c r="M282" i="3"/>
  <c r="K282" i="3"/>
  <c r="J282" i="3"/>
  <c r="I282" i="3"/>
  <c r="K281" i="3"/>
  <c r="K280" i="3"/>
  <c r="M280" i="3" s="1"/>
  <c r="O279" i="3"/>
  <c r="N279" i="3"/>
  <c r="M279" i="3"/>
  <c r="K279" i="3"/>
  <c r="J279" i="3"/>
  <c r="I279" i="3"/>
  <c r="O278" i="3"/>
  <c r="N278" i="3"/>
  <c r="M278" i="3"/>
  <c r="K278" i="3"/>
  <c r="J278" i="3"/>
  <c r="I278" i="3"/>
  <c r="O277" i="3"/>
  <c r="N277" i="3"/>
  <c r="M277" i="3"/>
  <c r="K277" i="3"/>
  <c r="J277" i="3"/>
  <c r="I277" i="3"/>
  <c r="O276" i="3"/>
  <c r="N276" i="3"/>
  <c r="M276" i="3"/>
  <c r="K276" i="3"/>
  <c r="J276" i="3"/>
  <c r="I276" i="3"/>
  <c r="O275" i="3"/>
  <c r="N275" i="3"/>
  <c r="M275" i="3"/>
  <c r="K275" i="3"/>
  <c r="J275" i="3"/>
  <c r="I275" i="3"/>
  <c r="O274" i="3"/>
  <c r="N274" i="3"/>
  <c r="M274" i="3"/>
  <c r="K274" i="3"/>
  <c r="J274" i="3"/>
  <c r="I274" i="3"/>
  <c r="O273" i="3"/>
  <c r="N273" i="3"/>
  <c r="M273" i="3"/>
  <c r="K273" i="3"/>
  <c r="J273" i="3"/>
  <c r="I273" i="3"/>
  <c r="O272" i="3"/>
  <c r="N272" i="3"/>
  <c r="M272" i="3"/>
  <c r="K272" i="3"/>
  <c r="J272" i="3"/>
  <c r="I272" i="3"/>
  <c r="K271" i="3"/>
  <c r="K270" i="3"/>
  <c r="O269" i="3"/>
  <c r="N269" i="3"/>
  <c r="M269" i="3"/>
  <c r="K269" i="3"/>
  <c r="J269" i="3"/>
  <c r="I269" i="3"/>
  <c r="O268" i="3"/>
  <c r="N268" i="3"/>
  <c r="M268" i="3"/>
  <c r="K268" i="3"/>
  <c r="J268" i="3"/>
  <c r="I268" i="3"/>
  <c r="O267" i="3"/>
  <c r="N267" i="3"/>
  <c r="M267" i="3"/>
  <c r="K267" i="3"/>
  <c r="J267" i="3"/>
  <c r="I267" i="3"/>
  <c r="O266" i="3"/>
  <c r="N266" i="3"/>
  <c r="M266" i="3"/>
  <c r="K266" i="3"/>
  <c r="J266" i="3"/>
  <c r="I266" i="3"/>
  <c r="O265" i="3"/>
  <c r="N265" i="3"/>
  <c r="M265" i="3"/>
  <c r="K265" i="3"/>
  <c r="J265" i="3"/>
  <c r="I265" i="3"/>
  <c r="O264" i="3"/>
  <c r="N264" i="3"/>
  <c r="M264" i="3"/>
  <c r="K264" i="3"/>
  <c r="J264" i="3"/>
  <c r="I264" i="3"/>
  <c r="O263" i="3"/>
  <c r="N263" i="3"/>
  <c r="M263" i="3"/>
  <c r="K263" i="3"/>
  <c r="J263" i="3"/>
  <c r="I263" i="3"/>
  <c r="O262" i="3"/>
  <c r="N262" i="3"/>
  <c r="M262" i="3"/>
  <c r="K262" i="3"/>
  <c r="J262" i="3"/>
  <c r="I262" i="3"/>
  <c r="K261" i="3"/>
  <c r="K260" i="3"/>
  <c r="O259" i="3"/>
  <c r="N259" i="3"/>
  <c r="M259" i="3"/>
  <c r="K259" i="3"/>
  <c r="J259" i="3"/>
  <c r="I259" i="3"/>
  <c r="O258" i="3"/>
  <c r="N258" i="3"/>
  <c r="M258" i="3"/>
  <c r="K258" i="3"/>
  <c r="J258" i="3"/>
  <c r="I258" i="3"/>
  <c r="O257" i="3"/>
  <c r="N257" i="3"/>
  <c r="M257" i="3"/>
  <c r="K257" i="3"/>
  <c r="J257" i="3"/>
  <c r="I257" i="3"/>
  <c r="O256" i="3"/>
  <c r="N256" i="3"/>
  <c r="M256" i="3"/>
  <c r="K256" i="3"/>
  <c r="J256" i="3"/>
  <c r="I256" i="3"/>
  <c r="O255" i="3"/>
  <c r="N255" i="3"/>
  <c r="M255" i="3"/>
  <c r="K255" i="3"/>
  <c r="J255" i="3"/>
  <c r="I255" i="3"/>
  <c r="O254" i="3"/>
  <c r="N254" i="3"/>
  <c r="M254" i="3"/>
  <c r="K254" i="3"/>
  <c r="J254" i="3"/>
  <c r="I254" i="3"/>
  <c r="O253" i="3"/>
  <c r="N253" i="3"/>
  <c r="M253" i="3"/>
  <c r="K253" i="3"/>
  <c r="J253" i="3"/>
  <c r="I253" i="3"/>
  <c r="O252" i="3"/>
  <c r="N252" i="3"/>
  <c r="M252" i="3"/>
  <c r="K252" i="3"/>
  <c r="J252" i="3"/>
  <c r="I252" i="3"/>
  <c r="K251" i="3"/>
  <c r="K250" i="3"/>
  <c r="O249" i="3"/>
  <c r="N249" i="3"/>
  <c r="M249" i="3"/>
  <c r="K249" i="3"/>
  <c r="J249" i="3"/>
  <c r="I249" i="3"/>
  <c r="O248" i="3"/>
  <c r="N248" i="3"/>
  <c r="M248" i="3"/>
  <c r="K248" i="3"/>
  <c r="J248" i="3"/>
  <c r="I248" i="3"/>
  <c r="O247" i="3"/>
  <c r="N247" i="3"/>
  <c r="M247" i="3"/>
  <c r="K247" i="3"/>
  <c r="J247" i="3"/>
  <c r="I247" i="3"/>
  <c r="O246" i="3"/>
  <c r="N246" i="3"/>
  <c r="M246" i="3"/>
  <c r="K246" i="3"/>
  <c r="J246" i="3"/>
  <c r="I246" i="3"/>
  <c r="O245" i="3"/>
  <c r="N245" i="3"/>
  <c r="M245" i="3"/>
  <c r="K245" i="3"/>
  <c r="J245" i="3"/>
  <c r="I245" i="3"/>
  <c r="O244" i="3"/>
  <c r="N244" i="3"/>
  <c r="M244" i="3"/>
  <c r="K244" i="3"/>
  <c r="J244" i="3"/>
  <c r="I244" i="3"/>
  <c r="O243" i="3"/>
  <c r="N243" i="3"/>
  <c r="M243" i="3"/>
  <c r="K243" i="3"/>
  <c r="J243" i="3"/>
  <c r="I243" i="3"/>
  <c r="O242" i="3"/>
  <c r="N242" i="3"/>
  <c r="M242" i="3"/>
  <c r="K242" i="3"/>
  <c r="J242" i="3"/>
  <c r="I242" i="3"/>
  <c r="K241" i="3"/>
  <c r="K240" i="3"/>
  <c r="O239" i="3"/>
  <c r="N239" i="3"/>
  <c r="M239" i="3"/>
  <c r="K239" i="3"/>
  <c r="J239" i="3"/>
  <c r="I239" i="3"/>
  <c r="O238" i="3"/>
  <c r="N238" i="3"/>
  <c r="M238" i="3"/>
  <c r="K238" i="3"/>
  <c r="J238" i="3"/>
  <c r="I238" i="3"/>
  <c r="O237" i="3"/>
  <c r="N237" i="3"/>
  <c r="M237" i="3"/>
  <c r="K237" i="3"/>
  <c r="J237" i="3"/>
  <c r="I237" i="3"/>
  <c r="O236" i="3"/>
  <c r="N236" i="3"/>
  <c r="M236" i="3"/>
  <c r="K236" i="3"/>
  <c r="J236" i="3"/>
  <c r="I236" i="3"/>
  <c r="O235" i="3"/>
  <c r="N235" i="3"/>
  <c r="M235" i="3"/>
  <c r="K235" i="3"/>
  <c r="J235" i="3"/>
  <c r="I235" i="3"/>
  <c r="O234" i="3"/>
  <c r="N234" i="3"/>
  <c r="M234" i="3"/>
  <c r="K234" i="3"/>
  <c r="J234" i="3"/>
  <c r="I234" i="3"/>
  <c r="O233" i="3"/>
  <c r="N233" i="3"/>
  <c r="M233" i="3"/>
  <c r="K233" i="3"/>
  <c r="J233" i="3"/>
  <c r="I233" i="3"/>
  <c r="O232" i="3"/>
  <c r="N232" i="3"/>
  <c r="M232" i="3"/>
  <c r="K232" i="3"/>
  <c r="J232" i="3"/>
  <c r="I232" i="3"/>
  <c r="K231" i="3"/>
  <c r="K230" i="3"/>
  <c r="M230" i="3" s="1"/>
  <c r="O229" i="3"/>
  <c r="N229" i="3"/>
  <c r="M229" i="3"/>
  <c r="K229" i="3"/>
  <c r="J229" i="3"/>
  <c r="I229" i="3"/>
  <c r="O228" i="3"/>
  <c r="N228" i="3"/>
  <c r="M228" i="3"/>
  <c r="K228" i="3"/>
  <c r="J228" i="3"/>
  <c r="I228" i="3"/>
  <c r="O227" i="3"/>
  <c r="N227" i="3"/>
  <c r="M227" i="3"/>
  <c r="K227" i="3"/>
  <c r="J227" i="3"/>
  <c r="I227" i="3"/>
  <c r="O226" i="3"/>
  <c r="N226" i="3"/>
  <c r="M226" i="3"/>
  <c r="K226" i="3"/>
  <c r="J226" i="3"/>
  <c r="I226" i="3"/>
  <c r="O225" i="3"/>
  <c r="N225" i="3"/>
  <c r="M225" i="3"/>
  <c r="K225" i="3"/>
  <c r="J225" i="3"/>
  <c r="I225" i="3"/>
  <c r="O224" i="3"/>
  <c r="N224" i="3"/>
  <c r="M224" i="3"/>
  <c r="K224" i="3"/>
  <c r="J224" i="3"/>
  <c r="I224" i="3"/>
  <c r="O223" i="3"/>
  <c r="N223" i="3"/>
  <c r="M223" i="3"/>
  <c r="K223" i="3"/>
  <c r="J223" i="3"/>
  <c r="I223" i="3"/>
  <c r="O222" i="3"/>
  <c r="N222" i="3"/>
  <c r="M222" i="3"/>
  <c r="K222" i="3"/>
  <c r="J222" i="3"/>
  <c r="I222" i="3"/>
  <c r="K221" i="3"/>
  <c r="K220" i="3"/>
  <c r="O219" i="3"/>
  <c r="N219" i="3"/>
  <c r="M219" i="3"/>
  <c r="K219" i="3"/>
  <c r="J219" i="3"/>
  <c r="I219" i="3"/>
  <c r="O218" i="3"/>
  <c r="N218" i="3"/>
  <c r="M218" i="3"/>
  <c r="K218" i="3"/>
  <c r="J218" i="3"/>
  <c r="I218" i="3"/>
  <c r="O217" i="3"/>
  <c r="N217" i="3"/>
  <c r="M217" i="3"/>
  <c r="K217" i="3"/>
  <c r="J217" i="3"/>
  <c r="I217" i="3"/>
  <c r="O216" i="3"/>
  <c r="N216" i="3"/>
  <c r="M216" i="3"/>
  <c r="K216" i="3"/>
  <c r="J216" i="3"/>
  <c r="I216" i="3"/>
  <c r="O215" i="3"/>
  <c r="N215" i="3"/>
  <c r="M215" i="3"/>
  <c r="K215" i="3"/>
  <c r="J215" i="3"/>
  <c r="I215" i="3"/>
  <c r="O214" i="3"/>
  <c r="N214" i="3"/>
  <c r="M214" i="3"/>
  <c r="K214" i="3"/>
  <c r="J214" i="3"/>
  <c r="I214" i="3"/>
  <c r="O213" i="3"/>
  <c r="N213" i="3"/>
  <c r="M213" i="3"/>
  <c r="K213" i="3"/>
  <c r="J213" i="3"/>
  <c r="I213" i="3"/>
  <c r="O212" i="3"/>
  <c r="N212" i="3"/>
  <c r="M212" i="3"/>
  <c r="K212" i="3"/>
  <c r="J212" i="3"/>
  <c r="I212" i="3"/>
  <c r="K211" i="3"/>
  <c r="K210" i="3"/>
  <c r="O209" i="3"/>
  <c r="N209" i="3"/>
  <c r="M209" i="3"/>
  <c r="K209" i="3"/>
  <c r="J209" i="3"/>
  <c r="I209" i="3"/>
  <c r="O208" i="3"/>
  <c r="N208" i="3"/>
  <c r="M208" i="3"/>
  <c r="K208" i="3"/>
  <c r="J208" i="3"/>
  <c r="I208" i="3"/>
  <c r="O207" i="3"/>
  <c r="N207" i="3"/>
  <c r="M207" i="3"/>
  <c r="K207" i="3"/>
  <c r="J207" i="3"/>
  <c r="I207" i="3"/>
  <c r="O206" i="3"/>
  <c r="N206" i="3"/>
  <c r="M206" i="3"/>
  <c r="K206" i="3"/>
  <c r="J206" i="3"/>
  <c r="I206" i="3"/>
  <c r="O205" i="3"/>
  <c r="N205" i="3"/>
  <c r="M205" i="3"/>
  <c r="K205" i="3"/>
  <c r="J205" i="3"/>
  <c r="I205" i="3"/>
  <c r="O204" i="3"/>
  <c r="N204" i="3"/>
  <c r="M204" i="3"/>
  <c r="K204" i="3"/>
  <c r="J204" i="3"/>
  <c r="I204" i="3"/>
  <c r="O203" i="3"/>
  <c r="N203" i="3"/>
  <c r="M203" i="3"/>
  <c r="K203" i="3"/>
  <c r="J203" i="3"/>
  <c r="I203" i="3"/>
  <c r="O202" i="3"/>
  <c r="N202" i="3"/>
  <c r="M202" i="3"/>
  <c r="K202" i="3"/>
  <c r="J202" i="3"/>
  <c r="I202" i="3"/>
  <c r="K201" i="3"/>
  <c r="K200" i="3"/>
  <c r="O199" i="3"/>
  <c r="N199" i="3"/>
  <c r="M199" i="3"/>
  <c r="K199" i="3"/>
  <c r="J199" i="3"/>
  <c r="I199" i="3"/>
  <c r="O198" i="3"/>
  <c r="N198" i="3"/>
  <c r="M198" i="3"/>
  <c r="K198" i="3"/>
  <c r="J198" i="3"/>
  <c r="I198" i="3"/>
  <c r="O197" i="3"/>
  <c r="N197" i="3"/>
  <c r="M197" i="3"/>
  <c r="K197" i="3"/>
  <c r="J197" i="3"/>
  <c r="I197" i="3"/>
  <c r="O196" i="3"/>
  <c r="N196" i="3"/>
  <c r="M196" i="3"/>
  <c r="K196" i="3"/>
  <c r="J196" i="3"/>
  <c r="I196" i="3"/>
  <c r="O195" i="3"/>
  <c r="N195" i="3"/>
  <c r="M195" i="3"/>
  <c r="K195" i="3"/>
  <c r="J195" i="3"/>
  <c r="I195" i="3"/>
  <c r="O194" i="3"/>
  <c r="N194" i="3"/>
  <c r="M194" i="3"/>
  <c r="K194" i="3"/>
  <c r="J194" i="3"/>
  <c r="I194" i="3"/>
  <c r="O193" i="3"/>
  <c r="N193" i="3"/>
  <c r="M193" i="3"/>
  <c r="K193" i="3"/>
  <c r="J193" i="3"/>
  <c r="I193" i="3"/>
  <c r="O192" i="3"/>
  <c r="N192" i="3"/>
  <c r="M192" i="3"/>
  <c r="K192" i="3"/>
  <c r="J192" i="3"/>
  <c r="I192" i="3"/>
  <c r="K191" i="3"/>
  <c r="K190" i="3"/>
  <c r="O189" i="3"/>
  <c r="N189" i="3"/>
  <c r="M189" i="3"/>
  <c r="K189" i="3"/>
  <c r="J189" i="3"/>
  <c r="I189" i="3"/>
  <c r="O188" i="3"/>
  <c r="N188" i="3"/>
  <c r="M188" i="3"/>
  <c r="K188" i="3"/>
  <c r="J188" i="3"/>
  <c r="I188" i="3"/>
  <c r="O187" i="3"/>
  <c r="N187" i="3"/>
  <c r="M187" i="3"/>
  <c r="K187" i="3"/>
  <c r="J187" i="3"/>
  <c r="I187" i="3"/>
  <c r="O186" i="3"/>
  <c r="N186" i="3"/>
  <c r="M186" i="3"/>
  <c r="K186" i="3"/>
  <c r="J186" i="3"/>
  <c r="I186" i="3"/>
  <c r="O185" i="3"/>
  <c r="N185" i="3"/>
  <c r="M185" i="3"/>
  <c r="K185" i="3"/>
  <c r="J185" i="3"/>
  <c r="I185" i="3"/>
  <c r="O184" i="3"/>
  <c r="N184" i="3"/>
  <c r="M184" i="3"/>
  <c r="K184" i="3"/>
  <c r="J184" i="3"/>
  <c r="I184" i="3"/>
  <c r="O183" i="3"/>
  <c r="N183" i="3"/>
  <c r="M183" i="3"/>
  <c r="K183" i="3"/>
  <c r="J183" i="3"/>
  <c r="I183" i="3"/>
  <c r="O182" i="3"/>
  <c r="N182" i="3"/>
  <c r="M182" i="3"/>
  <c r="K182" i="3"/>
  <c r="J182" i="3"/>
  <c r="I182" i="3"/>
  <c r="K181" i="3"/>
  <c r="K180" i="3"/>
  <c r="O179" i="3"/>
  <c r="N179" i="3"/>
  <c r="M179" i="3"/>
  <c r="K179" i="3"/>
  <c r="J179" i="3"/>
  <c r="I179" i="3"/>
  <c r="O178" i="3"/>
  <c r="N178" i="3"/>
  <c r="M178" i="3"/>
  <c r="K178" i="3"/>
  <c r="J178" i="3"/>
  <c r="I178" i="3"/>
  <c r="O177" i="3"/>
  <c r="N177" i="3"/>
  <c r="M177" i="3"/>
  <c r="K177" i="3"/>
  <c r="J177" i="3"/>
  <c r="I177" i="3"/>
  <c r="O176" i="3"/>
  <c r="N176" i="3"/>
  <c r="M176" i="3"/>
  <c r="K176" i="3"/>
  <c r="J176" i="3"/>
  <c r="I176" i="3"/>
  <c r="O175" i="3"/>
  <c r="N175" i="3"/>
  <c r="M175" i="3"/>
  <c r="K175" i="3"/>
  <c r="J175" i="3"/>
  <c r="I175" i="3"/>
  <c r="O174" i="3"/>
  <c r="N174" i="3"/>
  <c r="M174" i="3"/>
  <c r="K174" i="3"/>
  <c r="J174" i="3"/>
  <c r="I174" i="3"/>
  <c r="O173" i="3"/>
  <c r="N173" i="3"/>
  <c r="M173" i="3"/>
  <c r="K173" i="3"/>
  <c r="J173" i="3"/>
  <c r="I173" i="3"/>
  <c r="O172" i="3"/>
  <c r="N172" i="3"/>
  <c r="M172" i="3"/>
  <c r="K172" i="3"/>
  <c r="J172" i="3"/>
  <c r="I172" i="3"/>
  <c r="K171" i="3"/>
  <c r="K170" i="3"/>
  <c r="O169" i="3"/>
  <c r="N169" i="3"/>
  <c r="M169" i="3"/>
  <c r="K169" i="3"/>
  <c r="J169" i="3"/>
  <c r="I169" i="3"/>
  <c r="O168" i="3"/>
  <c r="N168" i="3"/>
  <c r="M168" i="3"/>
  <c r="K168" i="3"/>
  <c r="J168" i="3"/>
  <c r="I168" i="3"/>
  <c r="O167" i="3"/>
  <c r="N167" i="3"/>
  <c r="M167" i="3"/>
  <c r="K167" i="3"/>
  <c r="J167" i="3"/>
  <c r="I167" i="3"/>
  <c r="O166" i="3"/>
  <c r="N166" i="3"/>
  <c r="M166" i="3"/>
  <c r="K166" i="3"/>
  <c r="J166" i="3"/>
  <c r="I166" i="3"/>
  <c r="O165" i="3"/>
  <c r="N165" i="3"/>
  <c r="M165" i="3"/>
  <c r="K165" i="3"/>
  <c r="J165" i="3"/>
  <c r="I165" i="3"/>
  <c r="O164" i="3"/>
  <c r="N164" i="3"/>
  <c r="M164" i="3"/>
  <c r="K164" i="3"/>
  <c r="J164" i="3"/>
  <c r="I164" i="3"/>
  <c r="O163" i="3"/>
  <c r="N163" i="3"/>
  <c r="M163" i="3"/>
  <c r="K163" i="3"/>
  <c r="J163" i="3"/>
  <c r="I163" i="3"/>
  <c r="O162" i="3"/>
  <c r="N162" i="3"/>
  <c r="M162" i="3"/>
  <c r="K162" i="3"/>
  <c r="J162" i="3"/>
  <c r="I162" i="3"/>
  <c r="K161" i="3"/>
  <c r="K160" i="3"/>
  <c r="O159" i="3"/>
  <c r="N159" i="3"/>
  <c r="M159" i="3"/>
  <c r="K159" i="3"/>
  <c r="J159" i="3"/>
  <c r="I159" i="3"/>
  <c r="O158" i="3"/>
  <c r="N158" i="3"/>
  <c r="M158" i="3"/>
  <c r="K158" i="3"/>
  <c r="J158" i="3"/>
  <c r="I158" i="3"/>
  <c r="O157" i="3"/>
  <c r="N157" i="3"/>
  <c r="M157" i="3"/>
  <c r="K157" i="3"/>
  <c r="J157" i="3"/>
  <c r="I157" i="3"/>
  <c r="O156" i="3"/>
  <c r="N156" i="3"/>
  <c r="M156" i="3"/>
  <c r="K156" i="3"/>
  <c r="J156" i="3"/>
  <c r="I156" i="3"/>
  <c r="O155" i="3"/>
  <c r="N155" i="3"/>
  <c r="M155" i="3"/>
  <c r="K155" i="3"/>
  <c r="J155" i="3"/>
  <c r="I155" i="3"/>
  <c r="O154" i="3"/>
  <c r="N154" i="3"/>
  <c r="M154" i="3"/>
  <c r="K154" i="3"/>
  <c r="J154" i="3"/>
  <c r="I154" i="3"/>
  <c r="O153" i="3"/>
  <c r="N153" i="3"/>
  <c r="M153" i="3"/>
  <c r="K153" i="3"/>
  <c r="J153" i="3"/>
  <c r="I153" i="3"/>
  <c r="O152" i="3"/>
  <c r="N152" i="3"/>
  <c r="M152" i="3"/>
  <c r="K152" i="3"/>
  <c r="J152" i="3"/>
  <c r="I152" i="3"/>
  <c r="K151" i="3"/>
  <c r="K150" i="3"/>
  <c r="O149" i="3"/>
  <c r="N149" i="3"/>
  <c r="M149" i="3"/>
  <c r="K149" i="3"/>
  <c r="J149" i="3"/>
  <c r="I149" i="3"/>
  <c r="O148" i="3"/>
  <c r="N148" i="3"/>
  <c r="M148" i="3"/>
  <c r="K148" i="3"/>
  <c r="J148" i="3"/>
  <c r="I148" i="3"/>
  <c r="O147" i="3"/>
  <c r="N147" i="3"/>
  <c r="M147" i="3"/>
  <c r="K147" i="3"/>
  <c r="J147" i="3"/>
  <c r="I147" i="3"/>
  <c r="O146" i="3"/>
  <c r="N146" i="3"/>
  <c r="M146" i="3"/>
  <c r="K146" i="3"/>
  <c r="J146" i="3"/>
  <c r="I146" i="3"/>
  <c r="O145" i="3"/>
  <c r="N145" i="3"/>
  <c r="M145" i="3"/>
  <c r="K145" i="3"/>
  <c r="J145" i="3"/>
  <c r="I145" i="3"/>
  <c r="O144" i="3"/>
  <c r="N144" i="3"/>
  <c r="M144" i="3"/>
  <c r="K144" i="3"/>
  <c r="J144" i="3"/>
  <c r="I144" i="3"/>
  <c r="O143" i="3"/>
  <c r="N143" i="3"/>
  <c r="M143" i="3"/>
  <c r="K143" i="3"/>
  <c r="J143" i="3"/>
  <c r="I143" i="3"/>
  <c r="O142" i="3"/>
  <c r="N142" i="3"/>
  <c r="M142" i="3"/>
  <c r="K142" i="3"/>
  <c r="J142" i="3"/>
  <c r="I142" i="3"/>
  <c r="K141" i="3"/>
  <c r="K140" i="3"/>
  <c r="O139" i="3"/>
  <c r="N139" i="3"/>
  <c r="M139" i="3"/>
  <c r="K139" i="3"/>
  <c r="J139" i="3"/>
  <c r="I139" i="3"/>
  <c r="O138" i="3"/>
  <c r="N138" i="3"/>
  <c r="M138" i="3"/>
  <c r="K138" i="3"/>
  <c r="J138" i="3"/>
  <c r="I138" i="3"/>
  <c r="O137" i="3"/>
  <c r="N137" i="3"/>
  <c r="M137" i="3"/>
  <c r="K137" i="3"/>
  <c r="J137" i="3"/>
  <c r="I137" i="3"/>
  <c r="O136" i="3"/>
  <c r="N136" i="3"/>
  <c r="M136" i="3"/>
  <c r="K136" i="3"/>
  <c r="J136" i="3"/>
  <c r="I136" i="3"/>
  <c r="O135" i="3"/>
  <c r="N135" i="3"/>
  <c r="M135" i="3"/>
  <c r="K135" i="3"/>
  <c r="J135" i="3"/>
  <c r="I135" i="3"/>
  <c r="O134" i="3"/>
  <c r="N134" i="3"/>
  <c r="M134" i="3"/>
  <c r="K134" i="3"/>
  <c r="J134" i="3"/>
  <c r="I134" i="3"/>
  <c r="O133" i="3"/>
  <c r="N133" i="3"/>
  <c r="M133" i="3"/>
  <c r="K133" i="3"/>
  <c r="J133" i="3"/>
  <c r="I133" i="3"/>
  <c r="O132" i="3"/>
  <c r="N132" i="3"/>
  <c r="M132" i="3"/>
  <c r="K132" i="3"/>
  <c r="J132" i="3"/>
  <c r="I132" i="3"/>
  <c r="K131" i="3"/>
  <c r="K130" i="3"/>
  <c r="O129" i="3"/>
  <c r="N129" i="3"/>
  <c r="M129" i="3"/>
  <c r="K129" i="3"/>
  <c r="J129" i="3"/>
  <c r="I129" i="3"/>
  <c r="O128" i="3"/>
  <c r="N128" i="3"/>
  <c r="M128" i="3"/>
  <c r="K128" i="3"/>
  <c r="J128" i="3"/>
  <c r="I128" i="3"/>
  <c r="O127" i="3"/>
  <c r="N127" i="3"/>
  <c r="M127" i="3"/>
  <c r="K127" i="3"/>
  <c r="J127" i="3"/>
  <c r="I127" i="3"/>
  <c r="O126" i="3"/>
  <c r="N126" i="3"/>
  <c r="M126" i="3"/>
  <c r="K126" i="3"/>
  <c r="J126" i="3"/>
  <c r="I126" i="3"/>
  <c r="O125" i="3"/>
  <c r="N125" i="3"/>
  <c r="M125" i="3"/>
  <c r="K125" i="3"/>
  <c r="J125" i="3"/>
  <c r="I125" i="3"/>
  <c r="O124" i="3"/>
  <c r="N124" i="3"/>
  <c r="M124" i="3"/>
  <c r="K124" i="3"/>
  <c r="J124" i="3"/>
  <c r="I124" i="3"/>
  <c r="O123" i="3"/>
  <c r="N123" i="3"/>
  <c r="M123" i="3"/>
  <c r="K123" i="3"/>
  <c r="J123" i="3"/>
  <c r="I123" i="3"/>
  <c r="O122" i="3"/>
  <c r="N122" i="3"/>
  <c r="M122" i="3"/>
  <c r="K122" i="3"/>
  <c r="J122" i="3"/>
  <c r="I122" i="3"/>
  <c r="K121" i="3"/>
  <c r="N121" i="3" s="1"/>
  <c r="K120" i="3"/>
  <c r="O119" i="3"/>
  <c r="N119" i="3"/>
  <c r="M119" i="3"/>
  <c r="K119" i="3"/>
  <c r="J119" i="3"/>
  <c r="I119" i="3"/>
  <c r="O118" i="3"/>
  <c r="N118" i="3"/>
  <c r="M118" i="3"/>
  <c r="K118" i="3"/>
  <c r="J118" i="3"/>
  <c r="I118" i="3"/>
  <c r="O117" i="3"/>
  <c r="N117" i="3"/>
  <c r="M117" i="3"/>
  <c r="K117" i="3"/>
  <c r="J117" i="3"/>
  <c r="I117" i="3"/>
  <c r="O116" i="3"/>
  <c r="N116" i="3"/>
  <c r="M116" i="3"/>
  <c r="K116" i="3"/>
  <c r="J116" i="3"/>
  <c r="I116" i="3"/>
  <c r="O115" i="3"/>
  <c r="N115" i="3"/>
  <c r="M115" i="3"/>
  <c r="K115" i="3"/>
  <c r="J115" i="3"/>
  <c r="I115" i="3"/>
  <c r="O114" i="3"/>
  <c r="N114" i="3"/>
  <c r="M114" i="3"/>
  <c r="K114" i="3"/>
  <c r="J114" i="3"/>
  <c r="I114" i="3"/>
  <c r="O113" i="3"/>
  <c r="N113" i="3"/>
  <c r="M113" i="3"/>
  <c r="K113" i="3"/>
  <c r="J113" i="3"/>
  <c r="I113" i="3"/>
  <c r="O112" i="3"/>
  <c r="N112" i="3"/>
  <c r="M112" i="3"/>
  <c r="K112" i="3"/>
  <c r="J112" i="3"/>
  <c r="I112" i="3"/>
  <c r="K111" i="3"/>
  <c r="K110" i="3"/>
  <c r="O109" i="3"/>
  <c r="N109" i="3"/>
  <c r="M109" i="3"/>
  <c r="K109" i="3"/>
  <c r="J109" i="3"/>
  <c r="I109" i="3"/>
  <c r="O108" i="3"/>
  <c r="N108" i="3"/>
  <c r="M108" i="3"/>
  <c r="K108" i="3"/>
  <c r="J108" i="3"/>
  <c r="I108" i="3"/>
  <c r="O107" i="3"/>
  <c r="N107" i="3"/>
  <c r="M107" i="3"/>
  <c r="K107" i="3"/>
  <c r="J107" i="3"/>
  <c r="I107" i="3"/>
  <c r="O106" i="3"/>
  <c r="N106" i="3"/>
  <c r="M106" i="3"/>
  <c r="K106" i="3"/>
  <c r="J106" i="3"/>
  <c r="I106" i="3"/>
  <c r="O105" i="3"/>
  <c r="N105" i="3"/>
  <c r="M105" i="3"/>
  <c r="K105" i="3"/>
  <c r="J105" i="3"/>
  <c r="I105" i="3"/>
  <c r="O104" i="3"/>
  <c r="N104" i="3"/>
  <c r="M104" i="3"/>
  <c r="K104" i="3"/>
  <c r="J104" i="3"/>
  <c r="I104" i="3"/>
  <c r="O103" i="3"/>
  <c r="N103" i="3"/>
  <c r="M103" i="3"/>
  <c r="K103" i="3"/>
  <c r="J103" i="3"/>
  <c r="I103" i="3"/>
  <c r="O102" i="3"/>
  <c r="N102" i="3"/>
  <c r="M102" i="3"/>
  <c r="K102" i="3"/>
  <c r="J102" i="3"/>
  <c r="I102" i="3"/>
  <c r="K101" i="3"/>
  <c r="K100" i="3"/>
  <c r="O99" i="3"/>
  <c r="N99" i="3"/>
  <c r="M99" i="3"/>
  <c r="K99" i="3"/>
  <c r="J99" i="3"/>
  <c r="I99" i="3"/>
  <c r="O98" i="3"/>
  <c r="N98" i="3"/>
  <c r="M98" i="3"/>
  <c r="K98" i="3"/>
  <c r="J98" i="3"/>
  <c r="I98" i="3"/>
  <c r="O97" i="3"/>
  <c r="N97" i="3"/>
  <c r="M97" i="3"/>
  <c r="K97" i="3"/>
  <c r="J97" i="3"/>
  <c r="I97" i="3"/>
  <c r="O96" i="3"/>
  <c r="N96" i="3"/>
  <c r="M96" i="3"/>
  <c r="K96" i="3"/>
  <c r="J96" i="3"/>
  <c r="I96" i="3"/>
  <c r="O95" i="3"/>
  <c r="N95" i="3"/>
  <c r="M95" i="3"/>
  <c r="K95" i="3"/>
  <c r="J95" i="3"/>
  <c r="I95" i="3"/>
  <c r="O94" i="3"/>
  <c r="N94" i="3"/>
  <c r="M94" i="3"/>
  <c r="K94" i="3"/>
  <c r="J94" i="3"/>
  <c r="I94" i="3"/>
  <c r="O93" i="3"/>
  <c r="N93" i="3"/>
  <c r="M93" i="3"/>
  <c r="K93" i="3"/>
  <c r="J93" i="3"/>
  <c r="I93" i="3"/>
  <c r="O92" i="3"/>
  <c r="N92" i="3"/>
  <c r="M92" i="3"/>
  <c r="K92" i="3"/>
  <c r="J92" i="3"/>
  <c r="I92" i="3"/>
  <c r="K91" i="3"/>
  <c r="K90" i="3"/>
  <c r="O89" i="3"/>
  <c r="N89" i="3"/>
  <c r="M89" i="3"/>
  <c r="K89" i="3"/>
  <c r="J89" i="3"/>
  <c r="I89" i="3"/>
  <c r="O88" i="3"/>
  <c r="N88" i="3"/>
  <c r="M88" i="3"/>
  <c r="K88" i="3"/>
  <c r="J88" i="3"/>
  <c r="I88" i="3"/>
  <c r="O87" i="3"/>
  <c r="N87" i="3"/>
  <c r="M87" i="3"/>
  <c r="K87" i="3"/>
  <c r="J87" i="3"/>
  <c r="I87" i="3"/>
  <c r="O86" i="3"/>
  <c r="N86" i="3"/>
  <c r="M86" i="3"/>
  <c r="K86" i="3"/>
  <c r="J86" i="3"/>
  <c r="I86" i="3"/>
  <c r="O85" i="3"/>
  <c r="N85" i="3"/>
  <c r="M85" i="3"/>
  <c r="K85" i="3"/>
  <c r="J85" i="3"/>
  <c r="I85" i="3"/>
  <c r="O84" i="3"/>
  <c r="N84" i="3"/>
  <c r="M84" i="3"/>
  <c r="K84" i="3"/>
  <c r="J84" i="3"/>
  <c r="I84" i="3"/>
  <c r="O83" i="3"/>
  <c r="N83" i="3"/>
  <c r="M83" i="3"/>
  <c r="K83" i="3"/>
  <c r="J83" i="3"/>
  <c r="I83" i="3"/>
  <c r="O82" i="3"/>
  <c r="N82" i="3"/>
  <c r="M82" i="3"/>
  <c r="K82" i="3"/>
  <c r="J82" i="3"/>
  <c r="I82" i="3"/>
  <c r="K81" i="3"/>
  <c r="K80" i="3"/>
  <c r="O79" i="3"/>
  <c r="N79" i="3"/>
  <c r="M79" i="3"/>
  <c r="K79" i="3"/>
  <c r="J79" i="3"/>
  <c r="I79" i="3"/>
  <c r="O78" i="3"/>
  <c r="N78" i="3"/>
  <c r="M78" i="3"/>
  <c r="K78" i="3"/>
  <c r="J78" i="3"/>
  <c r="I78" i="3"/>
  <c r="O77" i="3"/>
  <c r="N77" i="3"/>
  <c r="M77" i="3"/>
  <c r="K77" i="3"/>
  <c r="J77" i="3"/>
  <c r="I77" i="3"/>
  <c r="O76" i="3"/>
  <c r="N76" i="3"/>
  <c r="M76" i="3"/>
  <c r="K76" i="3"/>
  <c r="J76" i="3"/>
  <c r="I76" i="3"/>
  <c r="O75" i="3"/>
  <c r="N75" i="3"/>
  <c r="M75" i="3"/>
  <c r="K75" i="3"/>
  <c r="J75" i="3"/>
  <c r="I75" i="3"/>
  <c r="O74" i="3"/>
  <c r="N74" i="3"/>
  <c r="M74" i="3"/>
  <c r="K74" i="3"/>
  <c r="J74" i="3"/>
  <c r="I74" i="3"/>
  <c r="O73" i="3"/>
  <c r="N73" i="3"/>
  <c r="M73" i="3"/>
  <c r="K73" i="3"/>
  <c r="J73" i="3"/>
  <c r="I73" i="3"/>
  <c r="O72" i="3"/>
  <c r="N72" i="3"/>
  <c r="M72" i="3"/>
  <c r="K72" i="3"/>
  <c r="J72" i="3"/>
  <c r="I72" i="3"/>
  <c r="K71" i="3"/>
  <c r="M71" i="3" s="1"/>
  <c r="K70" i="3"/>
  <c r="M70" i="3" s="1"/>
  <c r="O69" i="3"/>
  <c r="N69" i="3"/>
  <c r="M69" i="3"/>
  <c r="K69" i="3"/>
  <c r="J69" i="3"/>
  <c r="I69" i="3"/>
  <c r="O68" i="3"/>
  <c r="N68" i="3"/>
  <c r="M68" i="3"/>
  <c r="K68" i="3"/>
  <c r="J68" i="3"/>
  <c r="I68" i="3"/>
  <c r="O67" i="3"/>
  <c r="N67" i="3"/>
  <c r="M67" i="3"/>
  <c r="K67" i="3"/>
  <c r="J67" i="3"/>
  <c r="I67" i="3"/>
  <c r="O66" i="3"/>
  <c r="N66" i="3"/>
  <c r="M66" i="3"/>
  <c r="K66" i="3"/>
  <c r="J66" i="3"/>
  <c r="I66" i="3"/>
  <c r="O65" i="3"/>
  <c r="N65" i="3"/>
  <c r="M65" i="3"/>
  <c r="K65" i="3"/>
  <c r="J65" i="3"/>
  <c r="I65" i="3"/>
  <c r="O64" i="3"/>
  <c r="N64" i="3"/>
  <c r="M64" i="3"/>
  <c r="K64" i="3"/>
  <c r="J64" i="3"/>
  <c r="I64" i="3"/>
  <c r="O63" i="3"/>
  <c r="N63" i="3"/>
  <c r="M63" i="3"/>
  <c r="K63" i="3"/>
  <c r="J63" i="3"/>
  <c r="I63" i="3"/>
  <c r="O62" i="3"/>
  <c r="N62" i="3"/>
  <c r="M62" i="3"/>
  <c r="K62" i="3"/>
  <c r="J62" i="3"/>
  <c r="I62" i="3"/>
  <c r="K61" i="3"/>
  <c r="K60" i="3"/>
  <c r="O59" i="3"/>
  <c r="N59" i="3"/>
  <c r="M59" i="3"/>
  <c r="K59" i="3"/>
  <c r="J59" i="3"/>
  <c r="I59" i="3"/>
  <c r="O58" i="3"/>
  <c r="N58" i="3"/>
  <c r="M58" i="3"/>
  <c r="K58" i="3"/>
  <c r="J58" i="3"/>
  <c r="I58" i="3"/>
  <c r="O57" i="3"/>
  <c r="N57" i="3"/>
  <c r="M57" i="3"/>
  <c r="K57" i="3"/>
  <c r="J57" i="3"/>
  <c r="I57" i="3"/>
  <c r="O56" i="3"/>
  <c r="N56" i="3"/>
  <c r="M56" i="3"/>
  <c r="K56" i="3"/>
  <c r="J56" i="3"/>
  <c r="I56" i="3"/>
  <c r="O55" i="3"/>
  <c r="N55" i="3"/>
  <c r="M55" i="3"/>
  <c r="K55" i="3"/>
  <c r="J55" i="3"/>
  <c r="I55" i="3"/>
  <c r="O54" i="3"/>
  <c r="N54" i="3"/>
  <c r="M54" i="3"/>
  <c r="K54" i="3"/>
  <c r="J54" i="3"/>
  <c r="I54" i="3"/>
  <c r="O53" i="3"/>
  <c r="N53" i="3"/>
  <c r="M53" i="3"/>
  <c r="K53" i="3"/>
  <c r="J53" i="3"/>
  <c r="I53" i="3"/>
  <c r="O52" i="3"/>
  <c r="N52" i="3"/>
  <c r="M52" i="3"/>
  <c r="K52" i="3"/>
  <c r="J52" i="3"/>
  <c r="I52" i="3"/>
  <c r="K51" i="3"/>
  <c r="N51" i="3" s="1"/>
  <c r="K50" i="3"/>
  <c r="N50" i="3" s="1"/>
  <c r="O49" i="3"/>
  <c r="N49" i="3"/>
  <c r="M49" i="3"/>
  <c r="K49" i="3"/>
  <c r="J49" i="3"/>
  <c r="I49" i="3"/>
  <c r="O48" i="3"/>
  <c r="N48" i="3"/>
  <c r="M48" i="3"/>
  <c r="K48" i="3"/>
  <c r="J48" i="3"/>
  <c r="I48" i="3"/>
  <c r="O47" i="3"/>
  <c r="N47" i="3"/>
  <c r="M47" i="3"/>
  <c r="K47" i="3"/>
  <c r="J47" i="3"/>
  <c r="I47" i="3"/>
  <c r="O46" i="3"/>
  <c r="N46" i="3"/>
  <c r="M46" i="3"/>
  <c r="K46" i="3"/>
  <c r="J46" i="3"/>
  <c r="I46" i="3"/>
  <c r="O45" i="3"/>
  <c r="N45" i="3"/>
  <c r="M45" i="3"/>
  <c r="K45" i="3"/>
  <c r="J45" i="3"/>
  <c r="I45" i="3"/>
  <c r="O44" i="3"/>
  <c r="N44" i="3"/>
  <c r="M44" i="3"/>
  <c r="K44" i="3"/>
  <c r="J44" i="3"/>
  <c r="I44" i="3"/>
  <c r="O43" i="3"/>
  <c r="N43" i="3"/>
  <c r="M43" i="3"/>
  <c r="K43" i="3"/>
  <c r="J43" i="3"/>
  <c r="I43" i="3"/>
  <c r="O42" i="3"/>
  <c r="N42" i="3"/>
  <c r="M42" i="3"/>
  <c r="K42" i="3"/>
  <c r="J42" i="3"/>
  <c r="I42" i="3"/>
  <c r="O41" i="3"/>
  <c r="N41" i="3"/>
  <c r="M41" i="3"/>
  <c r="K41" i="3"/>
  <c r="J41" i="3"/>
  <c r="I41" i="3"/>
  <c r="O40" i="3"/>
  <c r="N40" i="3"/>
  <c r="M40" i="3"/>
  <c r="K40" i="3"/>
  <c r="J40" i="3"/>
  <c r="I40" i="3"/>
  <c r="K39" i="3"/>
  <c r="K38" i="3"/>
  <c r="O37" i="3"/>
  <c r="N37" i="3"/>
  <c r="M37" i="3"/>
  <c r="K37" i="3"/>
  <c r="J37" i="3"/>
  <c r="I37" i="3"/>
  <c r="O36" i="3"/>
  <c r="N36" i="3"/>
  <c r="M36" i="3"/>
  <c r="K36" i="3"/>
  <c r="J36" i="3"/>
  <c r="I36" i="3"/>
  <c r="O35" i="3"/>
  <c r="N35" i="3"/>
  <c r="M35" i="3"/>
  <c r="K35" i="3"/>
  <c r="J35" i="3"/>
  <c r="I35" i="3"/>
  <c r="O34" i="3"/>
  <c r="N34" i="3"/>
  <c r="M34" i="3"/>
  <c r="K34" i="3"/>
  <c r="J34" i="3"/>
  <c r="I34" i="3"/>
  <c r="O33" i="3"/>
  <c r="N33" i="3"/>
  <c r="M33" i="3"/>
  <c r="K33" i="3"/>
  <c r="J33" i="3"/>
  <c r="I33" i="3"/>
  <c r="O32" i="3"/>
  <c r="N32" i="3"/>
  <c r="M32" i="3"/>
  <c r="K32" i="3"/>
  <c r="J32" i="3"/>
  <c r="I32" i="3"/>
  <c r="O31" i="3"/>
  <c r="N31" i="3"/>
  <c r="M31" i="3"/>
  <c r="K31" i="3"/>
  <c r="J31" i="3"/>
  <c r="I31" i="3"/>
  <c r="O30" i="3"/>
  <c r="N30" i="3"/>
  <c r="M30" i="3"/>
  <c r="K30" i="3"/>
  <c r="J30" i="3"/>
  <c r="I30" i="3"/>
  <c r="O29" i="3"/>
  <c r="N29" i="3"/>
  <c r="M29" i="3"/>
  <c r="K29" i="3"/>
  <c r="J29" i="3"/>
  <c r="I29" i="3"/>
  <c r="O28" i="3"/>
  <c r="N28" i="3"/>
  <c r="M28" i="3"/>
  <c r="K28" i="3"/>
  <c r="J28" i="3"/>
  <c r="I28" i="3"/>
  <c r="O27" i="3"/>
  <c r="N27" i="3"/>
  <c r="M27" i="3"/>
  <c r="K27" i="3"/>
  <c r="J27" i="3"/>
  <c r="I27" i="3"/>
  <c r="K26" i="3"/>
  <c r="K25" i="3"/>
  <c r="N25" i="3" s="1"/>
  <c r="O24" i="3"/>
  <c r="N24" i="3"/>
  <c r="M24" i="3"/>
  <c r="K24" i="3"/>
  <c r="J24" i="3"/>
  <c r="I24" i="3"/>
  <c r="O23" i="3"/>
  <c r="N23" i="3"/>
  <c r="M23" i="3"/>
  <c r="K23" i="3"/>
  <c r="J23" i="3"/>
  <c r="I23" i="3"/>
  <c r="O22" i="3"/>
  <c r="N22" i="3"/>
  <c r="M22" i="3"/>
  <c r="K22" i="3"/>
  <c r="J22" i="3"/>
  <c r="I22" i="3"/>
  <c r="O21" i="3"/>
  <c r="N21" i="3"/>
  <c r="M21" i="3"/>
  <c r="K21" i="3"/>
  <c r="J21" i="3"/>
  <c r="I21" i="3"/>
  <c r="O20" i="3"/>
  <c r="N20" i="3"/>
  <c r="M20" i="3"/>
  <c r="K20" i="3"/>
  <c r="J20" i="3"/>
  <c r="I20" i="3"/>
  <c r="O19" i="3"/>
  <c r="N19" i="3"/>
  <c r="M19" i="3"/>
  <c r="K19" i="3"/>
  <c r="J19" i="3"/>
  <c r="I19" i="3"/>
  <c r="O18" i="3"/>
  <c r="N18" i="3"/>
  <c r="M18" i="3"/>
  <c r="K18" i="3"/>
  <c r="J18" i="3"/>
  <c r="I18" i="3"/>
  <c r="O17" i="3"/>
  <c r="N17" i="3"/>
  <c r="M17" i="3"/>
  <c r="K17" i="3"/>
  <c r="J17" i="3"/>
  <c r="I17" i="3"/>
  <c r="O16" i="3"/>
  <c r="N16" i="3"/>
  <c r="M16" i="3"/>
  <c r="K16" i="3"/>
  <c r="J16" i="3"/>
  <c r="I16" i="3"/>
  <c r="O15" i="3"/>
  <c r="N15" i="3"/>
  <c r="M15" i="3"/>
  <c r="K15" i="3"/>
  <c r="J15" i="3"/>
  <c r="I15" i="3"/>
  <c r="K14" i="3"/>
  <c r="K13" i="3"/>
  <c r="N13" i="3" s="1"/>
  <c r="O12" i="3"/>
  <c r="N12" i="3"/>
  <c r="M12" i="3"/>
  <c r="K12" i="3"/>
  <c r="J12" i="3"/>
  <c r="I12" i="3"/>
  <c r="O11" i="3"/>
  <c r="N11" i="3"/>
  <c r="M11" i="3"/>
  <c r="K11" i="3"/>
  <c r="J11" i="3"/>
  <c r="I11" i="3"/>
  <c r="O10" i="3"/>
  <c r="N10" i="3"/>
  <c r="M10" i="3"/>
  <c r="K10" i="3"/>
  <c r="J10" i="3"/>
  <c r="I10" i="3"/>
  <c r="O9" i="3"/>
  <c r="N9" i="3"/>
  <c r="M9" i="3"/>
  <c r="K9" i="3"/>
  <c r="J9" i="3"/>
  <c r="I9" i="3"/>
  <c r="O8" i="3"/>
  <c r="N8" i="3"/>
  <c r="M8" i="3"/>
  <c r="K8" i="3"/>
  <c r="J8" i="3"/>
  <c r="I8" i="3"/>
  <c r="O7" i="3"/>
  <c r="N7" i="3"/>
  <c r="M7" i="3"/>
  <c r="K7" i="3"/>
  <c r="J7" i="3"/>
  <c r="I7" i="3"/>
  <c r="O6" i="3"/>
  <c r="N6" i="3"/>
  <c r="M6" i="3"/>
  <c r="K6" i="3"/>
  <c r="J6" i="3"/>
  <c r="I6" i="3"/>
  <c r="O5" i="3"/>
  <c r="N5" i="3"/>
  <c r="M5" i="3"/>
  <c r="K5" i="3"/>
  <c r="J5" i="3"/>
  <c r="I5" i="3"/>
  <c r="O4" i="3"/>
  <c r="N4" i="3"/>
  <c r="M4" i="3"/>
  <c r="K4" i="3"/>
  <c r="J4" i="3"/>
  <c r="I4" i="3"/>
  <c r="O3" i="3"/>
  <c r="N3" i="3"/>
  <c r="M3" i="3"/>
  <c r="K3" i="3"/>
  <c r="J3" i="3"/>
  <c r="I3" i="3"/>
  <c r="O2" i="3"/>
  <c r="N2" i="3"/>
  <c r="M2" i="3"/>
  <c r="K2" i="3"/>
  <c r="J2" i="3"/>
  <c r="I2" i="3"/>
  <c r="D24" i="2"/>
  <c r="D29" i="2"/>
  <c r="D31" i="2"/>
  <c r="D33" i="2"/>
  <c r="D34" i="2"/>
  <c r="D35" i="2"/>
  <c r="D27" i="2"/>
  <c r="D26" i="2"/>
  <c r="D25" i="2"/>
  <c r="O5" i="2" a="1"/>
  <c r="O5" i="2" s="1"/>
  <c r="P5" i="2" a="1"/>
  <c r="P5" i="2" s="1"/>
  <c r="Q5" i="2" a="1"/>
  <c r="Q5" i="2" s="1"/>
  <c r="R5" i="2" a="1"/>
  <c r="R5" i="2" s="1"/>
  <c r="S5" i="2" a="1"/>
  <c r="S5" i="2" s="1"/>
  <c r="T5" i="2" a="1"/>
  <c r="T5" i="2" s="1"/>
  <c r="U5" i="2" a="1"/>
  <c r="U5" i="2" s="1"/>
  <c r="V5" i="2" a="1"/>
  <c r="V5" i="2" s="1"/>
  <c r="W5" i="2" a="1"/>
  <c r="W5" i="2" s="1"/>
  <c r="X5" i="2" a="1"/>
  <c r="X5" i="2" s="1"/>
  <c r="Y5" i="2" a="1"/>
  <c r="Y5" i="2" s="1"/>
  <c r="Z5" i="2" a="1"/>
  <c r="Z5" i="2" s="1"/>
  <c r="AA5" i="2" a="1"/>
  <c r="AA5" i="2" s="1"/>
  <c r="AB5" i="2" a="1"/>
  <c r="AB5" i="2" s="1"/>
  <c r="AC5" i="2" a="1"/>
  <c r="AC5" i="2" s="1"/>
  <c r="AD5" i="2" a="1"/>
  <c r="AD5" i="2" s="1"/>
  <c r="AE5" i="2" a="1"/>
  <c r="AE5" i="2" s="1"/>
  <c r="AF5" i="2" a="1"/>
  <c r="AF5" i="2" s="1"/>
  <c r="AG5" i="2" a="1"/>
  <c r="AG5" i="2" s="1"/>
  <c r="AH5" i="2" a="1"/>
  <c r="AH5" i="2" s="1"/>
  <c r="AI5" i="2" a="1"/>
  <c r="AI5" i="2" s="1"/>
  <c r="AJ5" i="2" a="1"/>
  <c r="AJ5" i="2" s="1"/>
  <c r="AK5" i="2" a="1"/>
  <c r="AK5" i="2" s="1"/>
  <c r="AL5" i="2" a="1"/>
  <c r="AL5" i="2" s="1"/>
  <c r="AM5" i="2" a="1"/>
  <c r="AM5" i="2" s="1"/>
  <c r="AN5" i="2" a="1"/>
  <c r="AN5" i="2" s="1"/>
  <c r="AO5" i="2" a="1"/>
  <c r="AO5" i="2" s="1"/>
  <c r="AP5" i="2" a="1"/>
  <c r="AP5" i="2" s="1"/>
  <c r="AQ5" i="2" a="1"/>
  <c r="AQ5" i="2" s="1"/>
  <c r="AR5" i="2" a="1"/>
  <c r="AR5" i="2" s="1"/>
  <c r="AS5" i="2" a="1"/>
  <c r="AS5" i="2" s="1"/>
  <c r="AT5" i="2" a="1"/>
  <c r="AT5" i="2" s="1"/>
  <c r="AU5" i="2" a="1"/>
  <c r="AU5" i="2" s="1"/>
  <c r="AV5" i="2" a="1"/>
  <c r="AV5" i="2" s="1"/>
  <c r="AW5" i="2" a="1"/>
  <c r="AW5" i="2" s="1"/>
  <c r="AX5" i="2" a="1"/>
  <c r="AX5" i="2" s="1"/>
  <c r="AY5" i="2" a="1"/>
  <c r="AY5" i="2" s="1"/>
  <c r="AZ5" i="2" a="1"/>
  <c r="AZ5" i="2" s="1"/>
  <c r="BA5" i="2" a="1"/>
  <c r="BA5" i="2" s="1"/>
  <c r="BB5" i="2" a="1"/>
  <c r="BB5" i="2" s="1"/>
  <c r="BC5" i="2" a="1"/>
  <c r="BC5" i="2" s="1"/>
  <c r="BD5" i="2" a="1"/>
  <c r="BD5" i="2" s="1"/>
  <c r="BE5" i="2" a="1"/>
  <c r="BE5" i="2" s="1"/>
  <c r="BF5" i="2" a="1"/>
  <c r="BF5" i="2" s="1"/>
  <c r="BG5" i="2" a="1"/>
  <c r="BG5" i="2" s="1"/>
  <c r="BH5" i="2" a="1"/>
  <c r="BH5" i="2" s="1"/>
  <c r="BI5" i="2" a="1"/>
  <c r="BI5" i="2" s="1"/>
  <c r="BJ5" i="2" a="1"/>
  <c r="BJ5" i="2" s="1"/>
  <c r="BK5" i="2" a="1"/>
  <c r="BK5" i="2" s="1"/>
  <c r="BL5" i="2" a="1"/>
  <c r="BL5" i="2" s="1"/>
  <c r="BM5" i="2" a="1"/>
  <c r="BM5" i="2" s="1"/>
  <c r="BN5" i="2" a="1"/>
  <c r="BN5" i="2" s="1"/>
  <c r="BO5" i="2" a="1"/>
  <c r="BO5" i="2" s="1"/>
  <c r="BP5" i="2" a="1"/>
  <c r="BP5" i="2" s="1"/>
  <c r="BQ5" i="2" a="1"/>
  <c r="BQ5" i="2" s="1"/>
  <c r="BR5" i="2" a="1"/>
  <c r="BR5" i="2" s="1"/>
  <c r="BS5" i="2" a="1"/>
  <c r="BS5" i="2" s="1"/>
  <c r="BT5" i="2" a="1"/>
  <c r="BT5" i="2" s="1"/>
  <c r="BU5" i="2" a="1"/>
  <c r="BU5" i="2" s="1"/>
  <c r="BV5" i="2" a="1"/>
  <c r="BV5" i="2" s="1"/>
  <c r="BW5" i="2" a="1"/>
  <c r="BW5" i="2" s="1"/>
  <c r="BX5" i="2" a="1"/>
  <c r="BX5" i="2" s="1"/>
  <c r="BY5" i="2" a="1"/>
  <c r="BY5" i="2" s="1"/>
  <c r="BZ5" i="2" a="1"/>
  <c r="BZ5" i="2" s="1"/>
  <c r="CA5" i="2" a="1"/>
  <c r="CA5" i="2" s="1"/>
  <c r="CB5" i="2" a="1"/>
  <c r="CB5" i="2" s="1"/>
  <c r="CC5" i="2" a="1"/>
  <c r="CC5" i="2" s="1"/>
  <c r="CD5" i="2" a="1"/>
  <c r="CD5" i="2" s="1"/>
  <c r="CE5" i="2" a="1"/>
  <c r="CE5" i="2" s="1"/>
  <c r="CF5" i="2" a="1"/>
  <c r="CF5" i="2" s="1"/>
  <c r="CG5" i="2" a="1"/>
  <c r="CG5" i="2" s="1"/>
  <c r="CH5" i="2" a="1"/>
  <c r="CH5" i="2" s="1"/>
  <c r="CI5" i="2" a="1"/>
  <c r="CI5" i="2" s="1"/>
  <c r="CJ5" i="2" a="1"/>
  <c r="CJ5" i="2" s="1"/>
  <c r="CK5" i="2" a="1"/>
  <c r="CK5" i="2" s="1"/>
  <c r="CL5" i="2" a="1"/>
  <c r="CL5" i="2" s="1"/>
  <c r="CM5" i="2" a="1"/>
  <c r="CM5" i="2" s="1"/>
  <c r="CN5" i="2" a="1"/>
  <c r="CN5" i="2" s="1"/>
  <c r="O6" i="2" a="1"/>
  <c r="O6" i="2" s="1"/>
  <c r="P6" i="2" a="1"/>
  <c r="P6" i="2" s="1"/>
  <c r="Q6" i="2" a="1"/>
  <c r="Q6" i="2" s="1"/>
  <c r="R6" i="2" a="1"/>
  <c r="R6" i="2" s="1"/>
  <c r="S6" i="2" a="1"/>
  <c r="S6" i="2" s="1"/>
  <c r="T6" i="2" a="1"/>
  <c r="T6" i="2" s="1"/>
  <c r="U6" i="2" a="1"/>
  <c r="U6" i="2" s="1"/>
  <c r="V6" i="2" a="1"/>
  <c r="V6" i="2" s="1"/>
  <c r="W6" i="2" a="1"/>
  <c r="W6" i="2" s="1"/>
  <c r="X6" i="2" a="1"/>
  <c r="X6" i="2" s="1"/>
  <c r="Y6" i="2" a="1"/>
  <c r="Y6" i="2" s="1"/>
  <c r="Z6" i="2" a="1"/>
  <c r="Z6" i="2" s="1"/>
  <c r="AA6" i="2" a="1"/>
  <c r="AA6" i="2" s="1"/>
  <c r="AB6" i="2" a="1"/>
  <c r="AB6" i="2" s="1"/>
  <c r="AC6" i="2" a="1"/>
  <c r="AC6" i="2" s="1"/>
  <c r="AD6" i="2" a="1"/>
  <c r="AD6" i="2" s="1"/>
  <c r="AE6" i="2" a="1"/>
  <c r="AE6" i="2" s="1"/>
  <c r="AF6" i="2" a="1"/>
  <c r="AF6" i="2" s="1"/>
  <c r="AG6" i="2" a="1"/>
  <c r="AG6" i="2" s="1"/>
  <c r="AH6" i="2" a="1"/>
  <c r="AH6" i="2" s="1"/>
  <c r="AI6" i="2" a="1"/>
  <c r="AI6" i="2" s="1"/>
  <c r="AJ6" i="2" a="1"/>
  <c r="AJ6" i="2" s="1"/>
  <c r="AK6" i="2" a="1"/>
  <c r="AK6" i="2" s="1"/>
  <c r="AL6" i="2" a="1"/>
  <c r="AL6" i="2" s="1"/>
  <c r="AM6" i="2" a="1"/>
  <c r="AM6" i="2" s="1"/>
  <c r="AN6" i="2" a="1"/>
  <c r="AN6" i="2" s="1"/>
  <c r="AO6" i="2" a="1"/>
  <c r="AO6" i="2" s="1"/>
  <c r="AP6" i="2" a="1"/>
  <c r="AP6" i="2" s="1"/>
  <c r="AQ6" i="2" a="1"/>
  <c r="AQ6" i="2" s="1"/>
  <c r="AR6" i="2" a="1"/>
  <c r="AR6" i="2" s="1"/>
  <c r="AS6" i="2" a="1"/>
  <c r="AS6" i="2" s="1"/>
  <c r="AT6" i="2" a="1"/>
  <c r="AT6" i="2" s="1"/>
  <c r="AU6" i="2" a="1"/>
  <c r="AU6" i="2" s="1"/>
  <c r="AV6" i="2" a="1"/>
  <c r="AV6" i="2" s="1"/>
  <c r="AW6" i="2" a="1"/>
  <c r="AW6" i="2" s="1"/>
  <c r="AX6" i="2" a="1"/>
  <c r="AX6" i="2" s="1"/>
  <c r="AY6" i="2" a="1"/>
  <c r="AY6" i="2" s="1"/>
  <c r="AZ6" i="2" a="1"/>
  <c r="AZ6" i="2" s="1"/>
  <c r="BA6" i="2" a="1"/>
  <c r="BA6" i="2" s="1"/>
  <c r="BB6" i="2" a="1"/>
  <c r="BB6" i="2" s="1"/>
  <c r="BC6" i="2" a="1"/>
  <c r="BC6" i="2" s="1"/>
  <c r="BD6" i="2" a="1"/>
  <c r="BD6" i="2" s="1"/>
  <c r="BE6" i="2" a="1"/>
  <c r="BE6" i="2" s="1"/>
  <c r="BF6" i="2" a="1"/>
  <c r="BF6" i="2" s="1"/>
  <c r="BG6" i="2" a="1"/>
  <c r="BG6" i="2" s="1"/>
  <c r="BH6" i="2" a="1"/>
  <c r="BH6" i="2" s="1"/>
  <c r="BI6" i="2" a="1"/>
  <c r="BI6" i="2" s="1"/>
  <c r="BJ6" i="2" a="1"/>
  <c r="BJ6" i="2" s="1"/>
  <c r="BK6" i="2" a="1"/>
  <c r="BK6" i="2" s="1"/>
  <c r="BL6" i="2" a="1"/>
  <c r="BL6" i="2" s="1"/>
  <c r="BM6" i="2" a="1"/>
  <c r="BM6" i="2" s="1"/>
  <c r="BN6" i="2" a="1"/>
  <c r="BN6" i="2" s="1"/>
  <c r="BO6" i="2" a="1"/>
  <c r="BO6" i="2" s="1"/>
  <c r="BP6" i="2" a="1"/>
  <c r="BP6" i="2" s="1"/>
  <c r="BQ6" i="2" a="1"/>
  <c r="BQ6" i="2" s="1"/>
  <c r="BR6" i="2" a="1"/>
  <c r="BR6" i="2" s="1"/>
  <c r="BS6" i="2" a="1"/>
  <c r="BS6" i="2" s="1"/>
  <c r="BT6" i="2" a="1"/>
  <c r="BT6" i="2" s="1"/>
  <c r="BU6" i="2" a="1"/>
  <c r="BU6" i="2" s="1"/>
  <c r="BV6" i="2" a="1"/>
  <c r="BV6" i="2" s="1"/>
  <c r="BY6" i="2" a="1"/>
  <c r="BY6" i="2" s="1"/>
  <c r="BZ6" i="2" a="1"/>
  <c r="BZ6" i="2" s="1"/>
  <c r="CA6" i="2" a="1"/>
  <c r="CA6" i="2" s="1"/>
  <c r="CB6" i="2" a="1"/>
  <c r="CB6" i="2" s="1"/>
  <c r="CC6" i="2" a="1"/>
  <c r="CC6" i="2" s="1"/>
  <c r="CD6" i="2" a="1"/>
  <c r="CD6" i="2" s="1"/>
  <c r="CE6" i="2" a="1"/>
  <c r="CE6" i="2" s="1"/>
  <c r="CF6" i="2" a="1"/>
  <c r="CF6" i="2" s="1"/>
  <c r="CG6" i="2" a="1"/>
  <c r="CG6" i="2" s="1"/>
  <c r="CH6" i="2" a="1"/>
  <c r="CH6" i="2" s="1"/>
  <c r="CJ6" i="2" a="1"/>
  <c r="CJ6" i="2" s="1"/>
  <c r="CL6" i="2" a="1"/>
  <c r="CL6" i="2" s="1"/>
  <c r="CN6" i="2" a="1"/>
  <c r="CN6" i="2" s="1"/>
  <c r="O7" i="2" a="1"/>
  <c r="O7" i="2" s="1"/>
  <c r="P7" i="2" a="1"/>
  <c r="P7" i="2" s="1"/>
  <c r="Q7" i="2" a="1"/>
  <c r="Q7" i="2" s="1"/>
  <c r="R7" i="2" a="1"/>
  <c r="R7" i="2" s="1"/>
  <c r="S7" i="2" a="1"/>
  <c r="S7" i="2" s="1"/>
  <c r="T7" i="2" a="1"/>
  <c r="T7" i="2" s="1"/>
  <c r="U7" i="2" a="1"/>
  <c r="U7" i="2" s="1"/>
  <c r="V7" i="2" a="1"/>
  <c r="V7" i="2" s="1"/>
  <c r="W7" i="2" a="1"/>
  <c r="W7" i="2" s="1"/>
  <c r="X7" i="2" a="1"/>
  <c r="X7" i="2" s="1"/>
  <c r="Y7" i="2" a="1"/>
  <c r="Y7" i="2" s="1"/>
  <c r="Z7" i="2" a="1"/>
  <c r="Z7" i="2" s="1"/>
  <c r="AA7" i="2" a="1"/>
  <c r="AA7" i="2" s="1"/>
  <c r="AB7" i="2" a="1"/>
  <c r="AB7" i="2" s="1"/>
  <c r="AC7" i="2" a="1"/>
  <c r="AC7" i="2" s="1"/>
  <c r="AD7" i="2" a="1"/>
  <c r="AD7" i="2" s="1"/>
  <c r="AE7" i="2" a="1"/>
  <c r="AE7" i="2" s="1"/>
  <c r="AF7" i="2" a="1"/>
  <c r="AF7" i="2" s="1"/>
  <c r="AG7" i="2" a="1"/>
  <c r="AG7" i="2" s="1"/>
  <c r="AH7" i="2" a="1"/>
  <c r="AH7" i="2" s="1"/>
  <c r="AI7" i="2" a="1"/>
  <c r="AI7" i="2" s="1"/>
  <c r="AJ7" i="2" a="1"/>
  <c r="AJ7" i="2" s="1"/>
  <c r="AK7" i="2" a="1"/>
  <c r="AK7" i="2" s="1"/>
  <c r="AL7" i="2" a="1"/>
  <c r="AL7" i="2" s="1"/>
  <c r="AM7" i="2" a="1"/>
  <c r="AM7" i="2" s="1"/>
  <c r="AN7" i="2" a="1"/>
  <c r="AN7" i="2" s="1"/>
  <c r="AO7" i="2" a="1"/>
  <c r="AO7" i="2" s="1"/>
  <c r="AP7" i="2" a="1"/>
  <c r="AP7" i="2" s="1"/>
  <c r="AQ7" i="2" a="1"/>
  <c r="AQ7" i="2" s="1"/>
  <c r="AR7" i="2" a="1"/>
  <c r="AR7" i="2" s="1"/>
  <c r="AS7" i="2" a="1"/>
  <c r="AS7" i="2" s="1"/>
  <c r="AT7" i="2" a="1"/>
  <c r="AT7" i="2" s="1"/>
  <c r="AU7" i="2" a="1"/>
  <c r="AU7" i="2" s="1"/>
  <c r="AV7" i="2" a="1"/>
  <c r="AV7" i="2" s="1"/>
  <c r="AW7" i="2" a="1"/>
  <c r="AW7" i="2" s="1"/>
  <c r="AX7" i="2" a="1"/>
  <c r="AX7" i="2" s="1"/>
  <c r="AY7" i="2" a="1"/>
  <c r="AY7" i="2" s="1"/>
  <c r="AZ7" i="2" a="1"/>
  <c r="AZ7" i="2" s="1"/>
  <c r="BA7" i="2" a="1"/>
  <c r="BA7" i="2" s="1"/>
  <c r="BB7" i="2" a="1"/>
  <c r="BB7" i="2" s="1"/>
  <c r="BC7" i="2" a="1"/>
  <c r="BC7" i="2" s="1"/>
  <c r="BD7" i="2" a="1"/>
  <c r="BD7" i="2" s="1"/>
  <c r="BE7" i="2" a="1"/>
  <c r="BE7" i="2" s="1"/>
  <c r="BF7" i="2" a="1"/>
  <c r="BF7" i="2" s="1"/>
  <c r="BG7" i="2" a="1"/>
  <c r="BG7" i="2" s="1"/>
  <c r="BH7" i="2" a="1"/>
  <c r="BH7" i="2" s="1"/>
  <c r="BI7" i="2" a="1"/>
  <c r="BI7" i="2" s="1"/>
  <c r="BJ7" i="2" a="1"/>
  <c r="BJ7" i="2" s="1"/>
  <c r="BK7" i="2" a="1"/>
  <c r="BK7" i="2" s="1"/>
  <c r="BL7" i="2" a="1"/>
  <c r="BL7" i="2" s="1"/>
  <c r="BM7" i="2" a="1"/>
  <c r="BM7" i="2" s="1"/>
  <c r="BN7" i="2" a="1"/>
  <c r="BN7" i="2" s="1"/>
  <c r="BO7" i="2" a="1"/>
  <c r="BO7" i="2" s="1"/>
  <c r="BP7" i="2" a="1"/>
  <c r="BP7" i="2" s="1"/>
  <c r="BQ7" i="2" a="1"/>
  <c r="BQ7" i="2" s="1"/>
  <c r="BR7" i="2" a="1"/>
  <c r="BR7" i="2" s="1"/>
  <c r="BS7" i="2" a="1"/>
  <c r="BS7" i="2" s="1"/>
  <c r="BT7" i="2" a="1"/>
  <c r="BT7" i="2" s="1"/>
  <c r="BU7" i="2" a="1"/>
  <c r="BU7" i="2" s="1"/>
  <c r="BV7" i="2" a="1"/>
  <c r="BV7" i="2" s="1"/>
  <c r="BY7" i="2" a="1"/>
  <c r="BY7" i="2" s="1"/>
  <c r="BZ7" i="2" a="1"/>
  <c r="BZ7" i="2" s="1"/>
  <c r="CA7" i="2" a="1"/>
  <c r="CA7" i="2" s="1"/>
  <c r="CB7" i="2" a="1"/>
  <c r="CB7" i="2" s="1"/>
  <c r="CC7" i="2" a="1"/>
  <c r="CC7" i="2" s="1"/>
  <c r="CD7" i="2" a="1"/>
  <c r="CD7" i="2" s="1"/>
  <c r="CE7" i="2" a="1"/>
  <c r="CE7" i="2" s="1"/>
  <c r="CF7" i="2" a="1"/>
  <c r="CF7" i="2" s="1"/>
  <c r="CG7" i="2" a="1"/>
  <c r="CG7" i="2" s="1"/>
  <c r="CH7" i="2" a="1"/>
  <c r="CH7" i="2" s="1"/>
  <c r="O8" i="2" a="1"/>
  <c r="O8" i="2" s="1"/>
  <c r="P8" i="2" a="1"/>
  <c r="P8" i="2" s="1"/>
  <c r="Q8" i="2" a="1"/>
  <c r="Q8" i="2" s="1"/>
  <c r="R8" i="2" a="1"/>
  <c r="R8" i="2"/>
  <c r="S8" i="2" a="1"/>
  <c r="S8" i="2" s="1"/>
  <c r="T8" i="2" a="1"/>
  <c r="T8" i="2" s="1"/>
  <c r="U8" i="2" a="1"/>
  <c r="U8" i="2" s="1"/>
  <c r="V8" i="2" a="1"/>
  <c r="V8" i="2" s="1"/>
  <c r="W8" i="2" a="1"/>
  <c r="W8" i="2" s="1"/>
  <c r="X8" i="2" a="1"/>
  <c r="X8" i="2" s="1"/>
  <c r="Y8" i="2" a="1"/>
  <c r="Y8" i="2" s="1"/>
  <c r="Z8" i="2" a="1"/>
  <c r="Z8" i="2" s="1"/>
  <c r="AA8" i="2" a="1"/>
  <c r="AA8" i="2" s="1"/>
  <c r="AB8" i="2" a="1"/>
  <c r="AB8" i="2" s="1"/>
  <c r="AC8" i="2" a="1"/>
  <c r="AC8" i="2" s="1"/>
  <c r="AD8" i="2" a="1"/>
  <c r="AD8" i="2" s="1"/>
  <c r="AE8" i="2" a="1"/>
  <c r="AE8" i="2" s="1"/>
  <c r="AF8" i="2" a="1"/>
  <c r="AF8" i="2" s="1"/>
  <c r="AG8" i="2" a="1"/>
  <c r="AG8" i="2" s="1"/>
  <c r="AH8" i="2" a="1"/>
  <c r="AH8" i="2" s="1"/>
  <c r="AI8" i="2" a="1"/>
  <c r="AI8" i="2" s="1"/>
  <c r="AJ8" i="2" a="1"/>
  <c r="AJ8" i="2" s="1"/>
  <c r="AK8" i="2" a="1"/>
  <c r="AK8" i="2" s="1"/>
  <c r="AL8" i="2" a="1"/>
  <c r="AL8" i="2"/>
  <c r="AM8" i="2" a="1"/>
  <c r="AM8" i="2" s="1"/>
  <c r="AN8" i="2" a="1"/>
  <c r="AN8" i="2" s="1"/>
  <c r="AO8" i="2" a="1"/>
  <c r="AO8" i="2" s="1"/>
  <c r="AP8" i="2" a="1"/>
  <c r="AP8" i="2"/>
  <c r="AQ8" i="2" a="1"/>
  <c r="AQ8" i="2" s="1"/>
  <c r="AR8" i="2" a="1"/>
  <c r="AR8" i="2" s="1"/>
  <c r="AS8" i="2" a="1"/>
  <c r="AS8" i="2" s="1"/>
  <c r="AT8" i="2" a="1"/>
  <c r="AT8" i="2"/>
  <c r="AU8" i="2" a="1"/>
  <c r="AU8" i="2" s="1"/>
  <c r="AV8" i="2" a="1"/>
  <c r="AV8" i="2" s="1"/>
  <c r="AW8" i="2" a="1"/>
  <c r="AW8" i="2" s="1"/>
  <c r="AX8" i="2" a="1"/>
  <c r="AX8" i="2"/>
  <c r="AY8" i="2" a="1"/>
  <c r="AY8" i="2" s="1"/>
  <c r="AZ8" i="2" a="1"/>
  <c r="AZ8" i="2" s="1"/>
  <c r="BA8" i="2" a="1"/>
  <c r="BA8" i="2" s="1"/>
  <c r="BB8" i="2" a="1"/>
  <c r="BB8" i="2" s="1"/>
  <c r="BC8" i="2" a="1"/>
  <c r="BC8" i="2" s="1"/>
  <c r="BD8" i="2" a="1"/>
  <c r="BD8" i="2" s="1"/>
  <c r="BE8" i="2" a="1"/>
  <c r="BE8" i="2" s="1"/>
  <c r="BF8" i="2" a="1"/>
  <c r="BF8" i="2" s="1"/>
  <c r="BG8" i="2" a="1"/>
  <c r="BG8" i="2" s="1"/>
  <c r="BH8" i="2" a="1"/>
  <c r="BH8" i="2" s="1"/>
  <c r="BI8" i="2" a="1"/>
  <c r="BI8" i="2" s="1"/>
  <c r="BJ8" i="2" a="1"/>
  <c r="BJ8" i="2" s="1"/>
  <c r="BK8" i="2" a="1"/>
  <c r="BK8" i="2" s="1"/>
  <c r="BL8" i="2" a="1"/>
  <c r="BL8" i="2" s="1"/>
  <c r="BM8" i="2" a="1"/>
  <c r="BM8" i="2" s="1"/>
  <c r="BN8" i="2" a="1"/>
  <c r="BN8" i="2" s="1"/>
  <c r="BO8" i="2" a="1"/>
  <c r="BO8" i="2" s="1"/>
  <c r="BP8" i="2" a="1"/>
  <c r="BP8" i="2" s="1"/>
  <c r="BQ8" i="2" a="1"/>
  <c r="BQ8" i="2" s="1"/>
  <c r="BR8" i="2" a="1"/>
  <c r="BR8" i="2"/>
  <c r="BS8" i="2" a="1"/>
  <c r="BS8" i="2" s="1"/>
  <c r="BT8" i="2" a="1"/>
  <c r="BT8" i="2" s="1"/>
  <c r="BU8" i="2" a="1"/>
  <c r="BU8" i="2" s="1"/>
  <c r="BV8" i="2" a="1"/>
  <c r="BV8" i="2"/>
  <c r="BW8" i="2" a="1"/>
  <c r="BW8" i="2" s="1"/>
  <c r="BX8" i="2" a="1"/>
  <c r="BX8" i="2" s="1"/>
  <c r="BY8" i="2" a="1"/>
  <c r="BY8" i="2" s="1"/>
  <c r="BZ8" i="2" a="1"/>
  <c r="BZ8" i="2"/>
  <c r="CA8" i="2" a="1"/>
  <c r="CA8" i="2" s="1"/>
  <c r="CB8" i="2" a="1"/>
  <c r="CB8" i="2" s="1"/>
  <c r="CC8" i="2" a="1"/>
  <c r="CC8" i="2" s="1"/>
  <c r="CD8" i="2" a="1"/>
  <c r="CD8" i="2"/>
  <c r="CE8" i="2" a="1"/>
  <c r="CE8" i="2" s="1"/>
  <c r="CF8" i="2" a="1"/>
  <c r="CF8" i="2" s="1"/>
  <c r="CG8" i="2" a="1"/>
  <c r="CG8" i="2" s="1"/>
  <c r="CH8" i="2" a="1"/>
  <c r="CH8" i="2" s="1"/>
  <c r="CI8" i="2" a="1"/>
  <c r="CI8" i="2" s="1"/>
  <c r="CJ8" i="2" a="1"/>
  <c r="CJ8" i="2" s="1"/>
  <c r="CK8" i="2" a="1"/>
  <c r="CK8" i="2" s="1"/>
  <c r="CL8" i="2" a="1"/>
  <c r="CL8" i="2" s="1"/>
  <c r="CM8" i="2" a="1"/>
  <c r="CM8" i="2" s="1"/>
  <c r="CN8" i="2" a="1"/>
  <c r="CN8" i="2" s="1"/>
  <c r="O9" i="2" a="1"/>
  <c r="O9" i="2" s="1"/>
  <c r="P9" i="2" a="1"/>
  <c r="P9" i="2" s="1"/>
  <c r="Q9" i="2" a="1"/>
  <c r="Q9" i="2" s="1"/>
  <c r="R9" i="2" a="1"/>
  <c r="R9" i="2" s="1"/>
  <c r="S9" i="2" a="1"/>
  <c r="S9" i="2" s="1"/>
  <c r="T9" i="2" a="1"/>
  <c r="T9" i="2" s="1"/>
  <c r="U9" i="2" a="1"/>
  <c r="U9" i="2" s="1"/>
  <c r="V9" i="2" a="1"/>
  <c r="V9" i="2" s="1"/>
  <c r="W9" i="2" a="1"/>
  <c r="W9" i="2" s="1"/>
  <c r="X9" i="2" a="1"/>
  <c r="X9" i="2"/>
  <c r="Y9" i="2" a="1"/>
  <c r="Y9" i="2" s="1"/>
  <c r="Z9" i="2" a="1"/>
  <c r="Z9" i="2" s="1"/>
  <c r="AA9" i="2" a="1"/>
  <c r="AA9" i="2" s="1"/>
  <c r="AB9" i="2" a="1"/>
  <c r="AB9" i="2"/>
  <c r="AC9" i="2" a="1"/>
  <c r="AC9" i="2" s="1"/>
  <c r="AD9" i="2" a="1"/>
  <c r="AD9" i="2" s="1"/>
  <c r="AE9" i="2" a="1"/>
  <c r="AE9" i="2" s="1"/>
  <c r="AF9" i="2" a="1"/>
  <c r="AF9" i="2"/>
  <c r="AG9" i="2" a="1"/>
  <c r="AG9" i="2" s="1"/>
  <c r="AH9" i="2" a="1"/>
  <c r="AH9" i="2" s="1"/>
  <c r="AI9" i="2" a="1"/>
  <c r="AI9" i="2" s="1"/>
  <c r="AJ9" i="2" a="1"/>
  <c r="AJ9" i="2"/>
  <c r="AK9" i="2" a="1"/>
  <c r="AK9" i="2" s="1"/>
  <c r="AL9" i="2" a="1"/>
  <c r="AL9" i="2" s="1"/>
  <c r="AM9" i="2" a="1"/>
  <c r="AM9" i="2" s="1"/>
  <c r="AN9" i="2" a="1"/>
  <c r="AN9" i="2" s="1"/>
  <c r="AO9" i="2" a="1"/>
  <c r="AO9" i="2" s="1"/>
  <c r="AP9" i="2" a="1"/>
  <c r="AP9" i="2" s="1"/>
  <c r="AQ9" i="2" a="1"/>
  <c r="AQ9" i="2"/>
  <c r="AR9" i="2" a="1"/>
  <c r="AR9" i="2" s="1"/>
  <c r="AS9" i="2" a="1"/>
  <c r="AS9" i="2" s="1"/>
  <c r="AT9" i="2" a="1"/>
  <c r="AT9" i="2"/>
  <c r="AU9" i="2" a="1"/>
  <c r="AU9" i="2" s="1"/>
  <c r="AV9" i="2" a="1"/>
  <c r="AV9" i="2" s="1"/>
  <c r="AW9" i="2" a="1"/>
  <c r="AW9" i="2" s="1"/>
  <c r="AX9" i="2" a="1"/>
  <c r="AX9" i="2"/>
  <c r="AY9" i="2" a="1"/>
  <c r="AY9" i="2" s="1"/>
  <c r="AZ9" i="2" a="1"/>
  <c r="AZ9" i="2"/>
  <c r="BA9" i="2" a="1"/>
  <c r="BA9" i="2" s="1"/>
  <c r="BB9" i="2" a="1"/>
  <c r="BB9" i="2" s="1"/>
  <c r="BC9" i="2" a="1"/>
  <c r="BC9" i="2"/>
  <c r="BD9" i="2" a="1"/>
  <c r="BD9" i="2" s="1"/>
  <c r="BE9" i="2" a="1"/>
  <c r="BE9" i="2" s="1"/>
  <c r="BF9" i="2" a="1"/>
  <c r="BF9" i="2" s="1"/>
  <c r="BG9" i="2" a="1"/>
  <c r="BG9" i="2"/>
  <c r="BH9" i="2" a="1"/>
  <c r="BH9" i="2" s="1"/>
  <c r="BI9" i="2" a="1"/>
  <c r="BI9" i="2" s="1"/>
  <c r="BJ9" i="2" a="1"/>
  <c r="BJ9" i="2" s="1"/>
  <c r="BK9" i="2" a="1"/>
  <c r="BK9" i="2" s="1"/>
  <c r="BL9" i="2" a="1"/>
  <c r="BL9" i="2"/>
  <c r="BM9" i="2" a="1"/>
  <c r="BM9" i="2" s="1"/>
  <c r="BN9" i="2" a="1"/>
  <c r="BN9" i="2"/>
  <c r="BO9" i="2" a="1"/>
  <c r="BO9" i="2" s="1"/>
  <c r="BP9" i="2" a="1"/>
  <c r="BP9" i="2"/>
  <c r="BQ9" i="2" a="1"/>
  <c r="BQ9" i="2" s="1"/>
  <c r="BR9" i="2" a="1"/>
  <c r="BR9" i="2" s="1"/>
  <c r="BS9" i="2" a="1"/>
  <c r="BS9" i="2" s="1"/>
  <c r="BT9" i="2" a="1"/>
  <c r="BT9" i="2" s="1"/>
  <c r="BU9" i="2" a="1"/>
  <c r="BU9" i="2" s="1"/>
  <c r="BV9" i="2" a="1"/>
  <c r="BV9" i="2" s="1"/>
  <c r="BW9" i="2" a="1"/>
  <c r="BW9" i="2"/>
  <c r="BX9" i="2" a="1"/>
  <c r="BX9" i="2" s="1"/>
  <c r="BY9" i="2" a="1"/>
  <c r="BY9" i="2" s="1"/>
  <c r="BZ9" i="2" a="1"/>
  <c r="BZ9" i="2"/>
  <c r="CA9" i="2" a="1"/>
  <c r="CA9" i="2" s="1"/>
  <c r="CB9" i="2" a="1"/>
  <c r="CB9" i="2" s="1"/>
  <c r="CC9" i="2" a="1"/>
  <c r="CC9" i="2" s="1"/>
  <c r="CD9" i="2" a="1"/>
  <c r="CD9" i="2"/>
  <c r="CE9" i="2" a="1"/>
  <c r="CE9" i="2" s="1"/>
  <c r="CF9" i="2" a="1"/>
  <c r="CF9" i="2"/>
  <c r="CG9" i="2" a="1"/>
  <c r="CG9" i="2" s="1"/>
  <c r="CH9" i="2" a="1"/>
  <c r="CH9" i="2" s="1"/>
  <c r="CI9" i="2" a="1"/>
  <c r="CI9" i="2"/>
  <c r="CJ9" i="2" a="1"/>
  <c r="CJ9" i="2" s="1"/>
  <c r="CK9" i="2" a="1"/>
  <c r="CK9" i="2" s="1"/>
  <c r="CL9" i="2" a="1"/>
  <c r="CL9" i="2" s="1"/>
  <c r="CM9" i="2" a="1"/>
  <c r="CM9" i="2"/>
  <c r="CN9" i="2" a="1"/>
  <c r="CN9" i="2" s="1"/>
  <c r="O11" i="2" a="1"/>
  <c r="O11" i="2"/>
  <c r="P11" i="2" a="1"/>
  <c r="P11" i="2" s="1"/>
  <c r="Q11" i="2" a="1"/>
  <c r="Q11" i="2" s="1"/>
  <c r="R11" i="2" a="1"/>
  <c r="R11" i="2"/>
  <c r="S11" i="2" a="1"/>
  <c r="S11" i="2"/>
  <c r="T11" i="2" a="1"/>
  <c r="T11" i="2" s="1"/>
  <c r="U11" i="2" a="1"/>
  <c r="U11" i="2" s="1"/>
  <c r="V11" i="2" a="1"/>
  <c r="V11" i="2"/>
  <c r="W11" i="2" a="1"/>
  <c r="W11" i="2" s="1"/>
  <c r="X11" i="2" a="1"/>
  <c r="X11" i="2"/>
  <c r="Y11" i="2" a="1"/>
  <c r="Y11" i="2" s="1"/>
  <c r="Z11" i="2" a="1"/>
  <c r="Z11" i="2" s="1"/>
  <c r="AA11" i="2" a="1"/>
  <c r="AA11" i="2"/>
  <c r="AB11" i="2" a="1"/>
  <c r="AB11" i="2"/>
  <c r="AC11" i="2" a="1"/>
  <c r="AC11" i="2" s="1"/>
  <c r="AD11" i="2" a="1"/>
  <c r="AD11" i="2" s="1"/>
  <c r="AE11" i="2" a="1"/>
  <c r="AE11" i="2"/>
  <c r="AF11" i="2" a="1"/>
  <c r="AF11" i="2" s="1"/>
  <c r="AG11" i="2" a="1"/>
  <c r="AG11" i="2" s="1"/>
  <c r="AH11" i="2" a="1"/>
  <c r="AH11" i="2" s="1"/>
  <c r="AI11" i="2" a="1"/>
  <c r="AI11" i="2" s="1"/>
  <c r="AJ11" i="2" a="1"/>
  <c r="AJ11" i="2"/>
  <c r="AK11" i="2" a="1"/>
  <c r="AK11" i="2" s="1"/>
  <c r="AL11" i="2" a="1"/>
  <c r="AL11" i="2"/>
  <c r="AM11" i="2" a="1"/>
  <c r="AM11" i="2" s="1"/>
  <c r="AN11" i="2" a="1"/>
  <c r="AN11" i="2"/>
  <c r="AO11" i="2" a="1"/>
  <c r="AO11" i="2" s="1"/>
  <c r="AP11" i="2" a="1"/>
  <c r="AP11" i="2"/>
  <c r="AQ11" i="2" a="1"/>
  <c r="AQ11" i="2" s="1"/>
  <c r="AR11" i="2" a="1"/>
  <c r="AR11" i="2" s="1"/>
  <c r="AS11" i="2" a="1"/>
  <c r="AS11" i="2" s="1"/>
  <c r="AT11" i="2" a="1"/>
  <c r="AT11" i="2" s="1"/>
  <c r="AU11" i="2" a="1"/>
  <c r="AU11" i="2"/>
  <c r="AV11" i="2" a="1"/>
  <c r="AV11" i="2" s="1"/>
  <c r="AW11" i="2" a="1"/>
  <c r="AW11" i="2" s="1"/>
  <c r="AX11" i="2" a="1"/>
  <c r="AX11" i="2"/>
  <c r="AY11" i="2" a="1"/>
  <c r="AY11" i="2"/>
  <c r="AZ11" i="2" a="1"/>
  <c r="AZ11" i="2" s="1"/>
  <c r="BA11" i="2" a="1"/>
  <c r="BA11" i="2" s="1"/>
  <c r="BB11" i="2" a="1"/>
  <c r="BB11" i="2"/>
  <c r="BC11" i="2" a="1"/>
  <c r="BC11" i="2" s="1"/>
  <c r="BD11" i="2" a="1"/>
  <c r="BD11" i="2"/>
  <c r="BE11" i="2" a="1"/>
  <c r="BE11" i="2" s="1"/>
  <c r="BF11" i="2" a="1"/>
  <c r="BF11" i="2" s="1"/>
  <c r="BG11" i="2" a="1"/>
  <c r="BG11" i="2"/>
  <c r="BH11" i="2" a="1"/>
  <c r="BH11" i="2"/>
  <c r="BI11" i="2" a="1"/>
  <c r="BI11" i="2" s="1"/>
  <c r="BJ11" i="2" a="1"/>
  <c r="BJ11" i="2" s="1"/>
  <c r="BK11" i="2" a="1"/>
  <c r="BK11" i="2"/>
  <c r="BL11" i="2" a="1"/>
  <c r="BL11" i="2" s="1"/>
  <c r="BM11" i="2" a="1"/>
  <c r="BM11" i="2" s="1"/>
  <c r="BN11" i="2" a="1"/>
  <c r="BN11" i="2" s="1"/>
  <c r="BO11" i="2" a="1"/>
  <c r="BO11" i="2" s="1"/>
  <c r="BP11" i="2" a="1"/>
  <c r="BP11" i="2"/>
  <c r="BQ11" i="2" a="1"/>
  <c r="BQ11" i="2" s="1"/>
  <c r="BR11" i="2" a="1"/>
  <c r="BR11" i="2"/>
  <c r="BS11" i="2" a="1"/>
  <c r="BS11" i="2" s="1"/>
  <c r="BT11" i="2" a="1"/>
  <c r="BT11" i="2"/>
  <c r="BU11" i="2" a="1"/>
  <c r="BU11" i="2" s="1"/>
  <c r="BV11" i="2" a="1"/>
  <c r="BV11" i="2"/>
  <c r="BW11" i="2" a="1"/>
  <c r="BW11" i="2" s="1"/>
  <c r="BX11" i="2" a="1"/>
  <c r="BX11" i="2" s="1"/>
  <c r="BY11" i="2" a="1"/>
  <c r="BY11" i="2" s="1"/>
  <c r="BZ11" i="2" a="1"/>
  <c r="BZ11" i="2" s="1"/>
  <c r="CA11" i="2" a="1"/>
  <c r="CA11" i="2"/>
  <c r="CB11" i="2" a="1"/>
  <c r="CB11" i="2" s="1"/>
  <c r="CC11" i="2" a="1"/>
  <c r="CC11" i="2" s="1"/>
  <c r="CD11" i="2" a="1"/>
  <c r="CD11" i="2"/>
  <c r="CE11" i="2" a="1"/>
  <c r="CE11" i="2"/>
  <c r="CF11" i="2" a="1"/>
  <c r="CF11" i="2" s="1"/>
  <c r="CG11" i="2" a="1"/>
  <c r="CG11" i="2" s="1"/>
  <c r="CH11" i="2" a="1"/>
  <c r="CH11" i="2"/>
  <c r="CI11" i="2" a="1"/>
  <c r="CI11" i="2" s="1"/>
  <c r="CJ11" i="2" a="1"/>
  <c r="CJ11" i="2"/>
  <c r="CK11" i="2" a="1"/>
  <c r="CK11" i="2" s="1"/>
  <c r="CL11" i="2" a="1"/>
  <c r="CL11" i="2" s="1"/>
  <c r="CM11" i="2" a="1"/>
  <c r="CM11" i="2"/>
  <c r="CN11" i="2" a="1"/>
  <c r="CN11" i="2"/>
  <c r="O12" i="2" a="1"/>
  <c r="O12" i="2" s="1"/>
  <c r="P12" i="2" a="1"/>
  <c r="P12" i="2" s="1"/>
  <c r="Q12" i="2" a="1"/>
  <c r="Q12" i="2" s="1"/>
  <c r="R12" i="2" a="1"/>
  <c r="R12" i="2" s="1"/>
  <c r="S12" i="2" a="1"/>
  <c r="S12" i="2" s="1"/>
  <c r="T12" i="2" a="1"/>
  <c r="T12" i="2" s="1"/>
  <c r="U12" i="2" a="1"/>
  <c r="U12" i="2" s="1"/>
  <c r="V12" i="2" a="1"/>
  <c r="V12" i="2" s="1"/>
  <c r="W12" i="2" a="1"/>
  <c r="W12" i="2" s="1"/>
  <c r="X12" i="2" a="1"/>
  <c r="X12" i="2" s="1"/>
  <c r="Y12" i="2" a="1"/>
  <c r="Y12" i="2" s="1"/>
  <c r="Z12" i="2" a="1"/>
  <c r="Z12" i="2" s="1"/>
  <c r="AA12" i="2" a="1"/>
  <c r="AA12" i="2" s="1"/>
  <c r="AB12" i="2" a="1"/>
  <c r="AB12" i="2" s="1"/>
  <c r="AC12" i="2" a="1"/>
  <c r="AC12" i="2" s="1"/>
  <c r="AD12" i="2" a="1"/>
  <c r="AD12" i="2" s="1"/>
  <c r="AE12" i="2" a="1"/>
  <c r="AE12" i="2" s="1"/>
  <c r="AF12" i="2" a="1"/>
  <c r="AF12" i="2" s="1"/>
  <c r="AG12" i="2" a="1"/>
  <c r="AG12" i="2" s="1"/>
  <c r="AH12" i="2" a="1"/>
  <c r="AH12" i="2" s="1"/>
  <c r="AI12" i="2" a="1"/>
  <c r="AI12" i="2" s="1"/>
  <c r="AJ12" i="2" a="1"/>
  <c r="AJ12" i="2" s="1"/>
  <c r="AK12" i="2" a="1"/>
  <c r="AK12" i="2" s="1"/>
  <c r="AL12" i="2" a="1"/>
  <c r="AL12" i="2" s="1"/>
  <c r="AM12" i="2" a="1"/>
  <c r="AM12" i="2" s="1"/>
  <c r="AN12" i="2" a="1"/>
  <c r="AN12" i="2" s="1"/>
  <c r="AO12" i="2" a="1"/>
  <c r="AO12" i="2" s="1"/>
  <c r="AP12" i="2" a="1"/>
  <c r="AP12" i="2" s="1"/>
  <c r="AQ12" i="2" a="1"/>
  <c r="AQ12" i="2" s="1"/>
  <c r="AR12" i="2" a="1"/>
  <c r="AR12" i="2" s="1"/>
  <c r="AS12" i="2" a="1"/>
  <c r="AS12" i="2" s="1"/>
  <c r="AT12" i="2" a="1"/>
  <c r="AT12" i="2" s="1"/>
  <c r="AU12" i="2" a="1"/>
  <c r="AU12" i="2" s="1"/>
  <c r="AV12" i="2" a="1"/>
  <c r="AV12" i="2" s="1"/>
  <c r="AW12" i="2" a="1"/>
  <c r="AW12" i="2" s="1"/>
  <c r="AX12" i="2" a="1"/>
  <c r="AX12" i="2" s="1"/>
  <c r="AY12" i="2" a="1"/>
  <c r="AY12" i="2" s="1"/>
  <c r="AZ12" i="2" a="1"/>
  <c r="AZ12" i="2" s="1"/>
  <c r="BA12" i="2" a="1"/>
  <c r="BA12" i="2" s="1"/>
  <c r="BB12" i="2" a="1"/>
  <c r="BB12" i="2" s="1"/>
  <c r="BC12" i="2" a="1"/>
  <c r="BC12" i="2" s="1"/>
  <c r="BD12" i="2" a="1"/>
  <c r="BD12" i="2" s="1"/>
  <c r="BE12" i="2" a="1"/>
  <c r="BE12" i="2" s="1"/>
  <c r="BF12" i="2" a="1"/>
  <c r="BF12" i="2" s="1"/>
  <c r="BG12" i="2" a="1"/>
  <c r="BG12" i="2" s="1"/>
  <c r="BH12" i="2" a="1"/>
  <c r="BH12" i="2" s="1"/>
  <c r="BI12" i="2" a="1"/>
  <c r="BI12" i="2" s="1"/>
  <c r="BJ12" i="2" a="1"/>
  <c r="BJ12" i="2" s="1"/>
  <c r="BK12" i="2" a="1"/>
  <c r="BK12" i="2" s="1"/>
  <c r="BL12" i="2" a="1"/>
  <c r="BL12" i="2" s="1"/>
  <c r="BM12" i="2" a="1"/>
  <c r="BM12" i="2" s="1"/>
  <c r="BN12" i="2" a="1"/>
  <c r="BN12" i="2" s="1"/>
  <c r="BO12" i="2" a="1"/>
  <c r="BO12" i="2" s="1"/>
  <c r="BP12" i="2" a="1"/>
  <c r="BP12" i="2" s="1"/>
  <c r="BQ12" i="2" a="1"/>
  <c r="BQ12" i="2" s="1"/>
  <c r="BR12" i="2" a="1"/>
  <c r="BR12" i="2" s="1"/>
  <c r="BS12" i="2" a="1"/>
  <c r="BS12" i="2" s="1"/>
  <c r="BT12" i="2" a="1"/>
  <c r="BT12" i="2" s="1"/>
  <c r="BU12" i="2" a="1"/>
  <c r="BU12" i="2" s="1"/>
  <c r="BV12" i="2" a="1"/>
  <c r="BV12" i="2" s="1"/>
  <c r="BY12" i="2" a="1"/>
  <c r="BY12" i="2" s="1"/>
  <c r="BZ12" i="2" a="1"/>
  <c r="BZ12" i="2" s="1"/>
  <c r="CA12" i="2" a="1"/>
  <c r="CA12" i="2" s="1"/>
  <c r="CB12" i="2" a="1"/>
  <c r="CB12" i="2" s="1"/>
  <c r="CC12" i="2" a="1"/>
  <c r="CC12" i="2" s="1"/>
  <c r="CD12" i="2" a="1"/>
  <c r="CD12" i="2" s="1"/>
  <c r="CE12" i="2" a="1"/>
  <c r="CE12" i="2" s="1"/>
  <c r="CF12" i="2" a="1"/>
  <c r="CF12" i="2" s="1"/>
  <c r="CG12" i="2" a="1"/>
  <c r="CG12" i="2" s="1"/>
  <c r="CH12" i="2" a="1"/>
  <c r="CH12" i="2" s="1"/>
  <c r="O13" i="2" a="1"/>
  <c r="O13" i="2" s="1"/>
  <c r="P13" i="2" a="1"/>
  <c r="P13" i="2" s="1"/>
  <c r="Q13" i="2" a="1"/>
  <c r="Q13" i="2" s="1"/>
  <c r="R13" i="2" a="1"/>
  <c r="R13" i="2" s="1"/>
  <c r="S13" i="2" a="1"/>
  <c r="S13" i="2" s="1"/>
  <c r="T13" i="2" a="1"/>
  <c r="T13" i="2" s="1"/>
  <c r="U13" i="2" a="1"/>
  <c r="U13" i="2" s="1"/>
  <c r="V13" i="2" a="1"/>
  <c r="V13" i="2"/>
  <c r="W13" i="2" a="1"/>
  <c r="W13" i="2" s="1"/>
  <c r="X13" i="2" a="1"/>
  <c r="X13" i="2" s="1"/>
  <c r="Y13" i="2" a="1"/>
  <c r="Y13" i="2" s="1"/>
  <c r="Z13" i="2" a="1"/>
  <c r="Z13" i="2" s="1"/>
  <c r="AA13" i="2" a="1"/>
  <c r="AA13" i="2" s="1"/>
  <c r="AB13" i="2" a="1"/>
  <c r="AB13" i="2" s="1"/>
  <c r="AC13" i="2" a="1"/>
  <c r="AC13" i="2" s="1"/>
  <c r="AD13" i="2" a="1"/>
  <c r="AD13" i="2" s="1"/>
  <c r="AE13" i="2" a="1"/>
  <c r="AE13" i="2" s="1"/>
  <c r="AF13" i="2" a="1"/>
  <c r="AF13" i="2" s="1"/>
  <c r="AG13" i="2" a="1"/>
  <c r="AG13" i="2" s="1"/>
  <c r="AH13" i="2" a="1"/>
  <c r="AH13" i="2" s="1"/>
  <c r="AI13" i="2" a="1"/>
  <c r="AI13" i="2" s="1"/>
  <c r="AJ13" i="2" a="1"/>
  <c r="AJ13" i="2" s="1"/>
  <c r="AK13" i="2" a="1"/>
  <c r="AK13" i="2" s="1"/>
  <c r="AL13" i="2" a="1"/>
  <c r="AL13" i="2" s="1"/>
  <c r="AM13" i="2" a="1"/>
  <c r="AM13" i="2" s="1"/>
  <c r="AN13" i="2" a="1"/>
  <c r="AN13" i="2" s="1"/>
  <c r="AO13" i="2" a="1"/>
  <c r="AO13" i="2" s="1"/>
  <c r="AP13" i="2" a="1"/>
  <c r="AP13" i="2" s="1"/>
  <c r="AQ13" i="2" a="1"/>
  <c r="AQ13" i="2" s="1"/>
  <c r="AR13" i="2" a="1"/>
  <c r="AR13" i="2" s="1"/>
  <c r="AS13" i="2" a="1"/>
  <c r="AS13" i="2" s="1"/>
  <c r="AT13" i="2" a="1"/>
  <c r="AT13" i="2" s="1"/>
  <c r="AU13" i="2" a="1"/>
  <c r="AU13" i="2" s="1"/>
  <c r="AV13" i="2" a="1"/>
  <c r="AV13" i="2" s="1"/>
  <c r="AW13" i="2" a="1"/>
  <c r="AW13" i="2" s="1"/>
  <c r="AX13" i="2" a="1"/>
  <c r="AX13" i="2" s="1"/>
  <c r="AY13" i="2" a="1"/>
  <c r="AY13" i="2" s="1"/>
  <c r="AZ13" i="2" a="1"/>
  <c r="AZ13" i="2" s="1"/>
  <c r="BA13" i="2" a="1"/>
  <c r="BA13" i="2" s="1"/>
  <c r="BB13" i="2" a="1"/>
  <c r="BB13" i="2" s="1"/>
  <c r="BC13" i="2" a="1"/>
  <c r="BC13" i="2" s="1"/>
  <c r="BD13" i="2" a="1"/>
  <c r="BD13" i="2" s="1"/>
  <c r="BE13" i="2" a="1"/>
  <c r="BE13" i="2" s="1"/>
  <c r="BF13" i="2" a="1"/>
  <c r="BF13" i="2" s="1"/>
  <c r="BG13" i="2" a="1"/>
  <c r="BG13" i="2" s="1"/>
  <c r="BH13" i="2" a="1"/>
  <c r="BH13" i="2" s="1"/>
  <c r="BI13" i="2" a="1"/>
  <c r="BI13" i="2" s="1"/>
  <c r="BJ13" i="2" a="1"/>
  <c r="BJ13" i="2" s="1"/>
  <c r="BK13" i="2" a="1"/>
  <c r="BK13" i="2" s="1"/>
  <c r="BL13" i="2" a="1"/>
  <c r="BL13" i="2" s="1"/>
  <c r="BM13" i="2" a="1"/>
  <c r="BM13" i="2" s="1"/>
  <c r="BN13" i="2" a="1"/>
  <c r="BN13" i="2" s="1"/>
  <c r="BO13" i="2" a="1"/>
  <c r="BO13" i="2" s="1"/>
  <c r="BP13" i="2" a="1"/>
  <c r="BP13" i="2" s="1"/>
  <c r="BQ13" i="2" a="1"/>
  <c r="BQ13" i="2" s="1"/>
  <c r="BR13" i="2" a="1"/>
  <c r="BR13" i="2" s="1"/>
  <c r="BS13" i="2" a="1"/>
  <c r="BS13" i="2" s="1"/>
  <c r="BT13" i="2" a="1"/>
  <c r="BT13" i="2" s="1"/>
  <c r="BU13" i="2" a="1"/>
  <c r="BU13" i="2" s="1"/>
  <c r="BV13" i="2" a="1"/>
  <c r="BV13" i="2" s="1"/>
  <c r="BY13" i="2" a="1"/>
  <c r="BY13" i="2" s="1"/>
  <c r="BZ13" i="2" a="1"/>
  <c r="BZ13" i="2" s="1"/>
  <c r="CA13" i="2" a="1"/>
  <c r="CA13" i="2" s="1"/>
  <c r="CB13" i="2" a="1"/>
  <c r="CB13" i="2" s="1"/>
  <c r="CC13" i="2" a="1"/>
  <c r="CC13" i="2" s="1"/>
  <c r="CD13" i="2" a="1"/>
  <c r="CD13" i="2" s="1"/>
  <c r="CE13" i="2" a="1"/>
  <c r="CE13" i="2" s="1"/>
  <c r="CF13" i="2" a="1"/>
  <c r="CF13" i="2" s="1"/>
  <c r="CG13" i="2" a="1"/>
  <c r="CG13" i="2" s="1"/>
  <c r="CH13" i="2" a="1"/>
  <c r="CH13" i="2" s="1"/>
  <c r="O14" i="2" a="1"/>
  <c r="O14" i="2" s="1"/>
  <c r="P14" i="2" a="1"/>
  <c r="P14" i="2" s="1"/>
  <c r="Q14" i="2" a="1"/>
  <c r="Q14" i="2" s="1"/>
  <c r="R14" i="2" a="1"/>
  <c r="R14" i="2" s="1"/>
  <c r="S14" i="2" a="1"/>
  <c r="S14" i="2" s="1"/>
  <c r="T14" i="2" a="1"/>
  <c r="T14" i="2" s="1"/>
  <c r="U14" i="2" a="1"/>
  <c r="U14" i="2" s="1"/>
  <c r="V14" i="2" a="1"/>
  <c r="V14" i="2" s="1"/>
  <c r="W14" i="2" a="1"/>
  <c r="W14" i="2" s="1"/>
  <c r="X14" i="2" a="1"/>
  <c r="X14" i="2" s="1"/>
  <c r="Y14" i="2" a="1"/>
  <c r="Y14" i="2" s="1"/>
  <c r="Z14" i="2" a="1"/>
  <c r="Z14" i="2" s="1"/>
  <c r="AA14" i="2" a="1"/>
  <c r="AA14" i="2" s="1"/>
  <c r="AB14" i="2" a="1"/>
  <c r="AB14" i="2" s="1"/>
  <c r="AC14" i="2" a="1"/>
  <c r="AC14" i="2" s="1"/>
  <c r="AD14" i="2" a="1"/>
  <c r="AD14" i="2" s="1"/>
  <c r="AE14" i="2" a="1"/>
  <c r="AE14" i="2" s="1"/>
  <c r="AF14" i="2" a="1"/>
  <c r="AF14" i="2" s="1"/>
  <c r="AG14" i="2" a="1"/>
  <c r="AG14" i="2" s="1"/>
  <c r="AH14" i="2" a="1"/>
  <c r="AH14" i="2" s="1"/>
  <c r="AI14" i="2" a="1"/>
  <c r="AI14" i="2" s="1"/>
  <c r="AJ14" i="2" a="1"/>
  <c r="AJ14" i="2" s="1"/>
  <c r="AK14" i="2" a="1"/>
  <c r="AK14" i="2" s="1"/>
  <c r="AL14" i="2" a="1"/>
  <c r="AL14" i="2" s="1"/>
  <c r="AM14" i="2" a="1"/>
  <c r="AM14" i="2" s="1"/>
  <c r="AN14" i="2" a="1"/>
  <c r="AN14" i="2" s="1"/>
  <c r="AO14" i="2" a="1"/>
  <c r="AO14" i="2" s="1"/>
  <c r="AP14" i="2" a="1"/>
  <c r="AP14" i="2" s="1"/>
  <c r="AQ14" i="2" a="1"/>
  <c r="AQ14" i="2" s="1"/>
  <c r="AR14" i="2" a="1"/>
  <c r="AR14" i="2" s="1"/>
  <c r="AS14" i="2" a="1"/>
  <c r="AS14" i="2" s="1"/>
  <c r="AT14" i="2" a="1"/>
  <c r="AT14" i="2" s="1"/>
  <c r="AU14" i="2" a="1"/>
  <c r="AU14" i="2" s="1"/>
  <c r="AV14" i="2" a="1"/>
  <c r="AV14" i="2" s="1"/>
  <c r="AW14" i="2" a="1"/>
  <c r="AW14" i="2" s="1"/>
  <c r="AX14" i="2" a="1"/>
  <c r="AX14" i="2" s="1"/>
  <c r="AY14" i="2" a="1"/>
  <c r="AY14" i="2" s="1"/>
  <c r="AZ14" i="2" a="1"/>
  <c r="AZ14" i="2" s="1"/>
  <c r="BA14" i="2" a="1"/>
  <c r="BA14" i="2" s="1"/>
  <c r="BB14" i="2" a="1"/>
  <c r="BB14" i="2" s="1"/>
  <c r="BC14" i="2" a="1"/>
  <c r="BC14" i="2" s="1"/>
  <c r="BD14" i="2" a="1"/>
  <c r="BD14" i="2" s="1"/>
  <c r="BE14" i="2" a="1"/>
  <c r="BE14" i="2" s="1"/>
  <c r="BF14" i="2" a="1"/>
  <c r="BF14" i="2" s="1"/>
  <c r="BG14" i="2" a="1"/>
  <c r="BG14" i="2" s="1"/>
  <c r="BH14" i="2" a="1"/>
  <c r="BH14" i="2" s="1"/>
  <c r="BI14" i="2" a="1"/>
  <c r="BI14" i="2" s="1"/>
  <c r="BJ14" i="2" a="1"/>
  <c r="BJ14" i="2" s="1"/>
  <c r="BK14" i="2" a="1"/>
  <c r="BK14" i="2" s="1"/>
  <c r="BL14" i="2" a="1"/>
  <c r="BL14" i="2" s="1"/>
  <c r="BM14" i="2" a="1"/>
  <c r="BM14" i="2" s="1"/>
  <c r="BN14" i="2" a="1"/>
  <c r="BN14" i="2" s="1"/>
  <c r="BO14" i="2" a="1"/>
  <c r="BO14" i="2" s="1"/>
  <c r="BP14" i="2" a="1"/>
  <c r="BP14" i="2" s="1"/>
  <c r="BQ14" i="2" a="1"/>
  <c r="BQ14" i="2" s="1"/>
  <c r="BR14" i="2" a="1"/>
  <c r="BR14" i="2" s="1"/>
  <c r="BS14" i="2" a="1"/>
  <c r="BS14" i="2" s="1"/>
  <c r="BT14" i="2" a="1"/>
  <c r="BT14" i="2" s="1"/>
  <c r="BU14" i="2" a="1"/>
  <c r="BU14" i="2" s="1"/>
  <c r="BV14" i="2" a="1"/>
  <c r="BV14" i="2" s="1"/>
  <c r="BY14" i="2" a="1"/>
  <c r="BY14" i="2" s="1"/>
  <c r="BZ14" i="2" a="1"/>
  <c r="BZ14" i="2" s="1"/>
  <c r="CA14" i="2" a="1"/>
  <c r="CA14" i="2" s="1"/>
  <c r="CB14" i="2" a="1"/>
  <c r="CB14" i="2" s="1"/>
  <c r="CC14" i="2" a="1"/>
  <c r="CC14" i="2" s="1"/>
  <c r="CD14" i="2" a="1"/>
  <c r="CD14" i="2" s="1"/>
  <c r="CE14" i="2" a="1"/>
  <c r="CE14" i="2" s="1"/>
  <c r="CF14" i="2" a="1"/>
  <c r="CF14" i="2" s="1"/>
  <c r="CG14" i="2" a="1"/>
  <c r="CG14" i="2" s="1"/>
  <c r="CH14" i="2" a="1"/>
  <c r="CH14" i="2" s="1"/>
  <c r="O15" i="2" a="1"/>
  <c r="O15" i="2" s="1"/>
  <c r="P15" i="2" a="1"/>
  <c r="P15" i="2" s="1"/>
  <c r="Q15" i="2" a="1"/>
  <c r="Q15" i="2" s="1"/>
  <c r="R15" i="2" a="1"/>
  <c r="R15" i="2"/>
  <c r="S15" i="2" a="1"/>
  <c r="S15" i="2" s="1"/>
  <c r="T15" i="2" a="1"/>
  <c r="T15" i="2" s="1"/>
  <c r="U15" i="2" a="1"/>
  <c r="U15" i="2" s="1"/>
  <c r="V15" i="2" a="1"/>
  <c r="V15" i="2"/>
  <c r="W15" i="2" a="1"/>
  <c r="W15" i="2" s="1"/>
  <c r="X15" i="2" a="1"/>
  <c r="X15" i="2" s="1"/>
  <c r="Y15" i="2" a="1"/>
  <c r="Y15" i="2" s="1"/>
  <c r="Z15" i="2" a="1"/>
  <c r="Z15" i="2"/>
  <c r="AA15" i="2" a="1"/>
  <c r="AA15" i="2" s="1"/>
  <c r="AB15" i="2" a="1"/>
  <c r="AB15" i="2" s="1"/>
  <c r="AC15" i="2" a="1"/>
  <c r="AC15" i="2" s="1"/>
  <c r="AD15" i="2" a="1"/>
  <c r="AD15" i="2"/>
  <c r="AE15" i="2" a="1"/>
  <c r="AE15" i="2" s="1"/>
  <c r="AF15" i="2" a="1"/>
  <c r="AF15" i="2" s="1"/>
  <c r="AG15" i="2" a="1"/>
  <c r="AG15" i="2" s="1"/>
  <c r="AH15" i="2" a="1"/>
  <c r="AH15" i="2"/>
  <c r="AI15" i="2" a="1"/>
  <c r="AI15" i="2" s="1"/>
  <c r="AJ15" i="2" a="1"/>
  <c r="AJ15" i="2" s="1"/>
  <c r="AK15" i="2" a="1"/>
  <c r="AK15" i="2" s="1"/>
  <c r="AL15" i="2" a="1"/>
  <c r="AL15" i="2"/>
  <c r="AM15" i="2" a="1"/>
  <c r="AM15" i="2" s="1"/>
  <c r="AN15" i="2" a="1"/>
  <c r="AN15" i="2" s="1"/>
  <c r="AO15" i="2" a="1"/>
  <c r="AO15" i="2" s="1"/>
  <c r="AP15" i="2" a="1"/>
  <c r="AP15" i="2"/>
  <c r="AQ15" i="2" a="1"/>
  <c r="AQ15" i="2" s="1"/>
  <c r="AR15" i="2" a="1"/>
  <c r="AR15" i="2" s="1"/>
  <c r="AS15" i="2" a="1"/>
  <c r="AS15" i="2" s="1"/>
  <c r="AT15" i="2" a="1"/>
  <c r="AT15" i="2"/>
  <c r="AU15" i="2" a="1"/>
  <c r="AU15" i="2" s="1"/>
  <c r="AV15" i="2" a="1"/>
  <c r="AV15" i="2" s="1"/>
  <c r="AW15" i="2" a="1"/>
  <c r="AW15" i="2" s="1"/>
  <c r="AX15" i="2" a="1"/>
  <c r="AX15" i="2"/>
  <c r="AY15" i="2" a="1"/>
  <c r="AY15" i="2" s="1"/>
  <c r="AZ15" i="2" a="1"/>
  <c r="AZ15" i="2" s="1"/>
  <c r="BA15" i="2" a="1"/>
  <c r="BA15" i="2" s="1"/>
  <c r="BB15" i="2" a="1"/>
  <c r="BB15" i="2"/>
  <c r="BC15" i="2" a="1"/>
  <c r="BC15" i="2" s="1"/>
  <c r="BD15" i="2" a="1"/>
  <c r="BD15" i="2" s="1"/>
  <c r="BE15" i="2" a="1"/>
  <c r="BE15" i="2" s="1"/>
  <c r="BF15" i="2" a="1"/>
  <c r="BF15" i="2"/>
  <c r="BG15" i="2" a="1"/>
  <c r="BG15" i="2" s="1"/>
  <c r="BH15" i="2" a="1"/>
  <c r="BH15" i="2" s="1"/>
  <c r="BI15" i="2" a="1"/>
  <c r="BI15" i="2" s="1"/>
  <c r="BJ15" i="2" a="1"/>
  <c r="BJ15" i="2"/>
  <c r="BK15" i="2" a="1"/>
  <c r="BK15" i="2" s="1"/>
  <c r="BL15" i="2" a="1"/>
  <c r="BL15" i="2" s="1"/>
  <c r="BM15" i="2" a="1"/>
  <c r="BM15" i="2" s="1"/>
  <c r="BN15" i="2" a="1"/>
  <c r="BN15" i="2"/>
  <c r="BO15" i="2" a="1"/>
  <c r="BO15" i="2" s="1"/>
  <c r="BP15" i="2" a="1"/>
  <c r="BP15" i="2" s="1"/>
  <c r="BQ15" i="2" a="1"/>
  <c r="BQ15" i="2" s="1"/>
  <c r="BR15" i="2" a="1"/>
  <c r="BR15" i="2"/>
  <c r="BS15" i="2" a="1"/>
  <c r="BS15" i="2" s="1"/>
  <c r="BT15" i="2" a="1"/>
  <c r="BT15" i="2" s="1"/>
  <c r="BU15" i="2" a="1"/>
  <c r="BU15" i="2" s="1"/>
  <c r="BV15" i="2" a="1"/>
  <c r="BV15" i="2"/>
  <c r="BW15" i="2" a="1"/>
  <c r="BW15" i="2" s="1"/>
  <c r="BX15" i="2" a="1"/>
  <c r="BX15" i="2" s="1"/>
  <c r="BY15" i="2" a="1"/>
  <c r="BY15" i="2" s="1"/>
  <c r="BZ15" i="2" a="1"/>
  <c r="BZ15" i="2"/>
  <c r="CA15" i="2" a="1"/>
  <c r="CA15" i="2" s="1"/>
  <c r="CB15" i="2" a="1"/>
  <c r="CB15" i="2" s="1"/>
  <c r="CC15" i="2" a="1"/>
  <c r="CC15" i="2" s="1"/>
  <c r="CD15" i="2" a="1"/>
  <c r="CD15" i="2"/>
  <c r="CE15" i="2" a="1"/>
  <c r="CE15" i="2" s="1"/>
  <c r="CF15" i="2" a="1"/>
  <c r="CF15" i="2" s="1"/>
  <c r="CG15" i="2" a="1"/>
  <c r="CG15" i="2" s="1"/>
  <c r="CH15" i="2" a="1"/>
  <c r="CH15" i="2"/>
  <c r="CI15" i="2" a="1"/>
  <c r="CI15" i="2" s="1"/>
  <c r="CJ15" i="2" a="1"/>
  <c r="CJ15" i="2" s="1"/>
  <c r="CK15" i="2" a="1"/>
  <c r="CK15" i="2" s="1"/>
  <c r="CL15" i="2" a="1"/>
  <c r="CL15" i="2"/>
  <c r="CM15" i="2" a="1"/>
  <c r="CM15" i="2" s="1"/>
  <c r="CN15" i="2" a="1"/>
  <c r="CN15" i="2" s="1"/>
  <c r="P4" i="2" a="1"/>
  <c r="P4" i="2" s="1"/>
  <c r="Q4" i="2" a="1"/>
  <c r="Q4" i="2" s="1"/>
  <c r="R4" i="2" a="1"/>
  <c r="R4" i="2"/>
  <c r="S4" i="2" a="1"/>
  <c r="S4" i="2" s="1"/>
  <c r="T4" i="2" a="1"/>
  <c r="T4" i="2" s="1"/>
  <c r="U4" i="2" a="1"/>
  <c r="U4" i="2" s="1"/>
  <c r="V4" i="2" a="1"/>
  <c r="V4" i="2"/>
  <c r="W4" i="2" a="1"/>
  <c r="W4" i="2" s="1"/>
  <c r="X4" i="2" a="1"/>
  <c r="X4" i="2" s="1"/>
  <c r="Y4" i="2" a="1"/>
  <c r="Y4" i="2" s="1"/>
  <c r="Z4" i="2" a="1"/>
  <c r="Z4" i="2"/>
  <c r="AA4" i="2" a="1"/>
  <c r="AA4" i="2" s="1"/>
  <c r="AB4" i="2" a="1"/>
  <c r="AB4" i="2" s="1"/>
  <c r="AC4" i="2" a="1"/>
  <c r="AC4" i="2" s="1"/>
  <c r="AD4" i="2" a="1"/>
  <c r="AD4" i="2"/>
  <c r="AE4" i="2" a="1"/>
  <c r="AE4" i="2" s="1"/>
  <c r="AF4" i="2" a="1"/>
  <c r="AF4" i="2" s="1"/>
  <c r="AG4" i="2" a="1"/>
  <c r="AG4" i="2" s="1"/>
  <c r="AH4" i="2" a="1"/>
  <c r="AH4" i="2"/>
  <c r="AI4" i="2" a="1"/>
  <c r="AI4" i="2" s="1"/>
  <c r="AJ4" i="2" a="1"/>
  <c r="AJ4" i="2" s="1"/>
  <c r="AK4" i="2" a="1"/>
  <c r="AK4" i="2" s="1"/>
  <c r="AL4" i="2" a="1"/>
  <c r="AL4" i="2"/>
  <c r="AM4" i="2" a="1"/>
  <c r="AM4" i="2" s="1"/>
  <c r="AN4" i="2" a="1"/>
  <c r="AN4" i="2" s="1"/>
  <c r="AO4" i="2" a="1"/>
  <c r="AO4" i="2" s="1"/>
  <c r="AP4" i="2" a="1"/>
  <c r="AP4" i="2"/>
  <c r="AQ4" i="2" a="1"/>
  <c r="AQ4" i="2" s="1"/>
  <c r="AR4" i="2" a="1"/>
  <c r="AR4" i="2" s="1"/>
  <c r="AS4" i="2" a="1"/>
  <c r="AS4" i="2" s="1"/>
  <c r="AT4" i="2" a="1"/>
  <c r="AT4" i="2"/>
  <c r="AU4" i="2" a="1"/>
  <c r="AU4" i="2" s="1"/>
  <c r="AV4" i="2" a="1"/>
  <c r="AV4" i="2" s="1"/>
  <c r="AW4" i="2" a="1"/>
  <c r="AW4" i="2" s="1"/>
  <c r="AX4" i="2" a="1"/>
  <c r="AX4" i="2"/>
  <c r="AY4" i="2" a="1"/>
  <c r="AY4" i="2" s="1"/>
  <c r="AZ4" i="2" a="1"/>
  <c r="AZ4" i="2" s="1"/>
  <c r="BA4" i="2" a="1"/>
  <c r="BA4" i="2" s="1"/>
  <c r="BB4" i="2" a="1"/>
  <c r="BB4" i="2"/>
  <c r="BC4" i="2" a="1"/>
  <c r="BC4" i="2" s="1"/>
  <c r="BD4" i="2" a="1"/>
  <c r="BD4" i="2" s="1"/>
  <c r="BE4" i="2" a="1"/>
  <c r="BE4" i="2" s="1"/>
  <c r="BF4" i="2" a="1"/>
  <c r="BF4" i="2"/>
  <c r="BG4" i="2" a="1"/>
  <c r="BG4" i="2" s="1"/>
  <c r="BH4" i="2" a="1"/>
  <c r="BH4" i="2" s="1"/>
  <c r="BI4" i="2" a="1"/>
  <c r="BI4" i="2" s="1"/>
  <c r="BJ4" i="2" a="1"/>
  <c r="BJ4" i="2"/>
  <c r="BK4" i="2" a="1"/>
  <c r="BK4" i="2" s="1"/>
  <c r="BL4" i="2" a="1"/>
  <c r="BL4" i="2" s="1"/>
  <c r="BM4" i="2" a="1"/>
  <c r="BM4" i="2" s="1"/>
  <c r="BN4" i="2" a="1"/>
  <c r="BN4" i="2"/>
  <c r="BO4" i="2" a="1"/>
  <c r="BO4" i="2" s="1"/>
  <c r="BP4" i="2" a="1"/>
  <c r="BP4" i="2" s="1"/>
  <c r="BQ4" i="2" a="1"/>
  <c r="BQ4" i="2" s="1"/>
  <c r="BR4" i="2" a="1"/>
  <c r="BR4" i="2"/>
  <c r="BS4" i="2" a="1"/>
  <c r="BS4" i="2" s="1"/>
  <c r="BT4" i="2" a="1"/>
  <c r="BT4" i="2" s="1"/>
  <c r="BU4" i="2" a="1"/>
  <c r="BU4" i="2" s="1"/>
  <c r="BV4" i="2" a="1"/>
  <c r="BV4" i="2"/>
  <c r="BW4" i="2" a="1"/>
  <c r="BW4" i="2" s="1"/>
  <c r="BX4" i="2" a="1"/>
  <c r="BX4" i="2" s="1"/>
  <c r="BY4" i="2" a="1"/>
  <c r="BY4" i="2" s="1"/>
  <c r="BZ4" i="2" a="1"/>
  <c r="BZ4" i="2"/>
  <c r="CA4" i="2" a="1"/>
  <c r="CA4" i="2" s="1"/>
  <c r="CB4" i="2" a="1"/>
  <c r="CB4" i="2" s="1"/>
  <c r="CC4" i="2" a="1"/>
  <c r="CC4" i="2" s="1"/>
  <c r="CD4" i="2" a="1"/>
  <c r="CD4" i="2"/>
  <c r="CE4" i="2" a="1"/>
  <c r="CE4" i="2" s="1"/>
  <c r="CF4" i="2" a="1"/>
  <c r="CF4" i="2" s="1"/>
  <c r="CG4" i="2" a="1"/>
  <c r="CG4" i="2" s="1"/>
  <c r="CH4" i="2" a="1"/>
  <c r="CH4" i="2"/>
  <c r="CI4" i="2" a="1"/>
  <c r="CI4" i="2" s="1"/>
  <c r="CJ4" i="2" a="1"/>
  <c r="CJ4" i="2" s="1"/>
  <c r="CK4" i="2" a="1"/>
  <c r="CK4" i="2" s="1"/>
  <c r="CL4" i="2" a="1"/>
  <c r="CL4" i="2" s="1"/>
  <c r="CM4" i="2" a="1"/>
  <c r="CM4" i="2" s="1"/>
  <c r="CN4" i="2" a="1"/>
  <c r="CN4" i="2" s="1"/>
  <c r="O4" i="2" a="1"/>
  <c r="O4" i="2" s="1"/>
  <c r="E5" i="2"/>
  <c r="F5" i="2"/>
  <c r="G5" i="2"/>
  <c r="H5" i="2"/>
  <c r="J5" i="2"/>
  <c r="K5" i="2"/>
  <c r="L5" i="2"/>
  <c r="M5" i="2"/>
  <c r="N5" i="2"/>
  <c r="J6" i="2"/>
  <c r="K6" i="2"/>
  <c r="L6" i="2"/>
  <c r="M6" i="2"/>
  <c r="N6" i="2"/>
  <c r="J7" i="2"/>
  <c r="K7" i="2"/>
  <c r="L7" i="2"/>
  <c r="M7" i="2"/>
  <c r="N7" i="2"/>
  <c r="E8" i="2"/>
  <c r="F8" i="2"/>
  <c r="G8" i="2"/>
  <c r="H8" i="2"/>
  <c r="J8" i="2"/>
  <c r="K8" i="2"/>
  <c r="L8" i="2"/>
  <c r="M8" i="2"/>
  <c r="N8" i="2"/>
  <c r="E9" i="2"/>
  <c r="F9" i="2"/>
  <c r="G9" i="2"/>
  <c r="H9" i="2"/>
  <c r="J9" i="2"/>
  <c r="K9" i="2"/>
  <c r="L9" i="2"/>
  <c r="M9" i="2"/>
  <c r="N9" i="2"/>
  <c r="E11" i="2"/>
  <c r="F11" i="2"/>
  <c r="G11" i="2"/>
  <c r="H11" i="2"/>
  <c r="J11" i="2"/>
  <c r="K11" i="2"/>
  <c r="L11" i="2"/>
  <c r="M11" i="2"/>
  <c r="N11" i="2"/>
  <c r="J12" i="2"/>
  <c r="K12" i="2"/>
  <c r="L12" i="2"/>
  <c r="M12" i="2"/>
  <c r="N12" i="2"/>
  <c r="J13" i="2"/>
  <c r="K13" i="2"/>
  <c r="L13" i="2"/>
  <c r="M13" i="2"/>
  <c r="N13" i="2"/>
  <c r="J14" i="2"/>
  <c r="K14" i="2"/>
  <c r="L14" i="2"/>
  <c r="M14" i="2"/>
  <c r="N14" i="2"/>
  <c r="E15" i="2"/>
  <c r="F15" i="2"/>
  <c r="G15" i="2"/>
  <c r="H15" i="2"/>
  <c r="J15" i="2"/>
  <c r="K15" i="2"/>
  <c r="L15" i="2"/>
  <c r="M15" i="2"/>
  <c r="N15" i="2"/>
  <c r="K4" i="2"/>
  <c r="L4" i="2"/>
  <c r="M4" i="2"/>
  <c r="N4" i="2"/>
  <c r="F4" i="2"/>
  <c r="G4" i="2"/>
  <c r="H4" i="2"/>
  <c r="J4" i="2"/>
  <c r="E4" i="2"/>
  <c r="I35" i="1"/>
  <c r="I37" i="1" s="1"/>
  <c r="I39" i="1" s="1"/>
  <c r="I41" i="1" s="1"/>
  <c r="I43" i="1" s="1"/>
  <c r="I45" i="1" s="1"/>
  <c r="I47" i="1" s="1"/>
  <c r="I49" i="1" s="1"/>
  <c r="I51" i="1" s="1"/>
  <c r="I53" i="1" s="1"/>
  <c r="I55" i="1" s="1"/>
  <c r="I57" i="1" s="1"/>
  <c r="I59" i="1" s="1"/>
  <c r="I61" i="1" s="1"/>
  <c r="I63" i="1" s="1"/>
  <c r="I65" i="1" s="1"/>
  <c r="I67" i="1" s="1"/>
  <c r="I69" i="1" s="1"/>
  <c r="I71" i="1" s="1"/>
  <c r="I73" i="1" s="1"/>
  <c r="I75" i="1" s="1"/>
  <c r="I77" i="1" s="1"/>
  <c r="I79" i="1" s="1"/>
  <c r="I81" i="1" s="1"/>
  <c r="I83" i="1" s="1"/>
  <c r="I85" i="1" s="1"/>
  <c r="I87" i="1" s="1"/>
  <c r="I89" i="1" s="1"/>
  <c r="H35" i="1"/>
  <c r="H37" i="1" s="1"/>
  <c r="H39" i="1" s="1"/>
  <c r="H41" i="1" s="1"/>
  <c r="H43" i="1" s="1"/>
  <c r="H45" i="1" s="1"/>
  <c r="H47" i="1" s="1"/>
  <c r="H49" i="1" s="1"/>
  <c r="H51" i="1" s="1"/>
  <c r="H53" i="1" s="1"/>
  <c r="H55" i="1" s="1"/>
  <c r="H57" i="1" s="1"/>
  <c r="H59" i="1" s="1"/>
  <c r="H61" i="1" s="1"/>
  <c r="H63" i="1" s="1"/>
  <c r="H65" i="1" s="1"/>
  <c r="H67" i="1" s="1"/>
  <c r="H69" i="1" s="1"/>
  <c r="H71" i="1" s="1"/>
  <c r="H73" i="1" s="1"/>
  <c r="H75" i="1" s="1"/>
  <c r="H77" i="1" s="1"/>
  <c r="H79" i="1" s="1"/>
  <c r="H81" i="1" s="1"/>
  <c r="H83" i="1" s="1"/>
  <c r="H85" i="1" s="1"/>
  <c r="H87" i="1" s="1"/>
  <c r="H89" i="1" s="1"/>
  <c r="I34" i="1"/>
  <c r="I36" i="1" s="1"/>
  <c r="I38" i="1" s="1"/>
  <c r="I40" i="1" s="1"/>
  <c r="I42" i="1" s="1"/>
  <c r="I44" i="1" s="1"/>
  <c r="I46" i="1" s="1"/>
  <c r="I48" i="1" s="1"/>
  <c r="I50" i="1" s="1"/>
  <c r="I52" i="1" s="1"/>
  <c r="I54" i="1" s="1"/>
  <c r="I56" i="1" s="1"/>
  <c r="I58" i="1" s="1"/>
  <c r="I60" i="1" s="1"/>
  <c r="I62" i="1" s="1"/>
  <c r="I64" i="1" s="1"/>
  <c r="I66" i="1" s="1"/>
  <c r="I68" i="1" s="1"/>
  <c r="I70" i="1" s="1"/>
  <c r="I72" i="1" s="1"/>
  <c r="I74" i="1" s="1"/>
  <c r="I76" i="1" s="1"/>
  <c r="I78" i="1" s="1"/>
  <c r="I80" i="1" s="1"/>
  <c r="I82" i="1" s="1"/>
  <c r="I84" i="1" s="1"/>
  <c r="I86" i="1" s="1"/>
  <c r="I88" i="1" s="1"/>
  <c r="I90" i="1" s="1"/>
  <c r="H34" i="1"/>
  <c r="H36" i="1" s="1"/>
  <c r="H38" i="1" s="1"/>
  <c r="H40" i="1" s="1"/>
  <c r="H42" i="1" s="1"/>
  <c r="H44" i="1" s="1"/>
  <c r="H46" i="1" s="1"/>
  <c r="H48" i="1" s="1"/>
  <c r="H50" i="1" s="1"/>
  <c r="H52" i="1" s="1"/>
  <c r="H54" i="1" s="1"/>
  <c r="H56" i="1" s="1"/>
  <c r="H58" i="1" s="1"/>
  <c r="H60" i="1" s="1"/>
  <c r="H62" i="1" s="1"/>
  <c r="H64" i="1" s="1"/>
  <c r="H66" i="1" s="1"/>
  <c r="H68" i="1" s="1"/>
  <c r="H70" i="1" s="1"/>
  <c r="H72" i="1" s="1"/>
  <c r="H74" i="1" s="1"/>
  <c r="H76" i="1" s="1"/>
  <c r="H78" i="1" s="1"/>
  <c r="H80" i="1" s="1"/>
  <c r="H82" i="1" s="1"/>
  <c r="H84" i="1" s="1"/>
  <c r="H86" i="1" s="1"/>
  <c r="H88" i="1" s="1"/>
  <c r="H90" i="1" s="1"/>
  <c r="I33" i="1"/>
  <c r="H33" i="1"/>
  <c r="L12" i="1"/>
  <c r="I12" i="1"/>
  <c r="H12" i="1"/>
  <c r="H11" i="1" s="1"/>
  <c r="H10" i="1" s="1"/>
  <c r="H9" i="1" s="1"/>
  <c r="H8" i="1" s="1"/>
  <c r="H7" i="1" s="1"/>
  <c r="L11" i="1"/>
  <c r="I11" i="1"/>
  <c r="I10" i="1" s="1"/>
  <c r="I9" i="1" s="1"/>
  <c r="I8" i="1" s="1"/>
  <c r="I7" i="1" s="1"/>
  <c r="L10" i="1"/>
  <c r="L9" i="1"/>
  <c r="L8" i="1"/>
  <c r="L7" i="1"/>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2" i="2"/>
  <c r="D30" i="2"/>
  <c r="D28" i="2"/>
  <c r="D23" i="2"/>
  <c r="D22" i="2"/>
  <c r="D21" i="2"/>
  <c r="D20" i="2"/>
  <c r="D19" i="2"/>
  <c r="D18" i="2"/>
  <c r="D17" i="2"/>
  <c r="D16" i="2"/>
  <c r="M911" i="3" l="1"/>
  <c r="N911" i="3"/>
  <c r="O911" i="3" s="1"/>
  <c r="M910" i="3"/>
  <c r="N910" i="3"/>
  <c r="O910" i="3" s="1"/>
  <c r="M899" i="3"/>
  <c r="N899" i="3"/>
  <c r="O899" i="3" s="1"/>
  <c r="M898" i="3"/>
  <c r="N898" i="3"/>
  <c r="O898" i="3" s="1"/>
  <c r="M886" i="3"/>
  <c r="N886" i="3"/>
  <c r="O886" i="3" s="1"/>
  <c r="M885" i="3"/>
  <c r="N885" i="3"/>
  <c r="O885" i="3" s="1"/>
  <c r="M874" i="3"/>
  <c r="N874" i="3"/>
  <c r="O874" i="3" s="1"/>
  <c r="M873" i="3"/>
  <c r="N873" i="3"/>
  <c r="O873" i="3" s="1"/>
  <c r="M861" i="3"/>
  <c r="N861" i="3"/>
  <c r="O861" i="3" s="1"/>
  <c r="M860" i="3"/>
  <c r="N860" i="3"/>
  <c r="O860" i="3" s="1"/>
  <c r="M849" i="3"/>
  <c r="N849" i="3"/>
  <c r="O849" i="3" s="1"/>
  <c r="M848" i="3"/>
  <c r="N848" i="3"/>
  <c r="O848" i="3" s="1"/>
  <c r="M837" i="3"/>
  <c r="N837" i="3"/>
  <c r="O837" i="3" s="1"/>
  <c r="M836" i="3"/>
  <c r="N836" i="3"/>
  <c r="O836" i="3" s="1"/>
  <c r="M827" i="3"/>
  <c r="N827" i="3"/>
  <c r="O827" i="3" s="1"/>
  <c r="M826" i="3"/>
  <c r="N826" i="3"/>
  <c r="O826" i="3" s="1"/>
  <c r="M817" i="3"/>
  <c r="N817" i="3"/>
  <c r="O817" i="3" s="1"/>
  <c r="M816" i="3"/>
  <c r="N816" i="3"/>
  <c r="O816" i="3" s="1"/>
  <c r="M807" i="3"/>
  <c r="N807" i="3"/>
  <c r="O807" i="3" s="1"/>
  <c r="M806" i="3"/>
  <c r="N806" i="3"/>
  <c r="O806" i="3" s="1"/>
  <c r="M797" i="3"/>
  <c r="N797" i="3"/>
  <c r="O797" i="3" s="1"/>
  <c r="M796" i="3"/>
  <c r="N796" i="3"/>
  <c r="O796" i="3" s="1"/>
  <c r="M787" i="3"/>
  <c r="N787" i="3"/>
  <c r="O787" i="3" s="1"/>
  <c r="M786" i="3"/>
  <c r="N786" i="3"/>
  <c r="O786" i="3" s="1"/>
  <c r="M777" i="3"/>
  <c r="N777" i="3"/>
  <c r="O777" i="3" s="1"/>
  <c r="M776" i="3"/>
  <c r="N776" i="3"/>
  <c r="O776" i="3" s="1"/>
  <c r="M767" i="3"/>
  <c r="N767" i="3"/>
  <c r="O767" i="3" s="1"/>
  <c r="M766" i="3"/>
  <c r="N766" i="3"/>
  <c r="O766" i="3" s="1"/>
  <c r="M757" i="3"/>
  <c r="N757" i="3"/>
  <c r="O757" i="3" s="1"/>
  <c r="M756" i="3"/>
  <c r="N756" i="3"/>
  <c r="O756" i="3" s="1"/>
  <c r="M747" i="3"/>
  <c r="N747" i="3"/>
  <c r="O747" i="3" s="1"/>
  <c r="M746" i="3"/>
  <c r="N746" i="3"/>
  <c r="O746" i="3" s="1"/>
  <c r="M737" i="3"/>
  <c r="N737" i="3"/>
  <c r="O737" i="3" s="1"/>
  <c r="M736" i="3"/>
  <c r="N736" i="3"/>
  <c r="O736" i="3" s="1"/>
  <c r="M724" i="3"/>
  <c r="N724" i="3"/>
  <c r="O724" i="3" s="1"/>
  <c r="M723" i="3"/>
  <c r="N723" i="3"/>
  <c r="O723" i="3" s="1"/>
  <c r="M711" i="3"/>
  <c r="M710" i="3"/>
  <c r="N710" i="3"/>
  <c r="O710" i="3" s="1"/>
  <c r="M701" i="3"/>
  <c r="N701" i="3"/>
  <c r="O701" i="3" s="1"/>
  <c r="M700" i="3"/>
  <c r="N700" i="3"/>
  <c r="O700" i="3" s="1"/>
  <c r="M691" i="3"/>
  <c r="N691" i="3"/>
  <c r="O691" i="3" s="1"/>
  <c r="M690" i="3"/>
  <c r="N690" i="3"/>
  <c r="O690" i="3" s="1"/>
  <c r="M681" i="3"/>
  <c r="N681" i="3"/>
  <c r="O681" i="3" s="1"/>
  <c r="M680" i="3"/>
  <c r="N680" i="3"/>
  <c r="O680" i="3" s="1"/>
  <c r="M671" i="3"/>
  <c r="N671" i="3"/>
  <c r="O671" i="3" s="1"/>
  <c r="M670" i="3"/>
  <c r="N670" i="3"/>
  <c r="O670" i="3" s="1"/>
  <c r="N661" i="3"/>
  <c r="O661" i="3" s="1"/>
  <c r="M660" i="3"/>
  <c r="N660" i="3"/>
  <c r="O660" i="3" s="1"/>
  <c r="M651" i="3"/>
  <c r="N651" i="3"/>
  <c r="O651" i="3" s="1"/>
  <c r="M650" i="3"/>
  <c r="N650" i="3"/>
  <c r="O650" i="3" s="1"/>
  <c r="M641" i="3"/>
  <c r="N641" i="3"/>
  <c r="O641" i="3" s="1"/>
  <c r="M640" i="3"/>
  <c r="N640" i="3"/>
  <c r="O640" i="3" s="1"/>
  <c r="M631" i="3"/>
  <c r="N631" i="3"/>
  <c r="O631" i="3" s="1"/>
  <c r="M630" i="3"/>
  <c r="N630" i="3"/>
  <c r="O630" i="3" s="1"/>
  <c r="M621" i="3"/>
  <c r="N621" i="3"/>
  <c r="O621" i="3" s="1"/>
  <c r="M620" i="3"/>
  <c r="N620" i="3"/>
  <c r="O620" i="3" s="1"/>
  <c r="M611" i="3"/>
  <c r="N611" i="3"/>
  <c r="O611" i="3" s="1"/>
  <c r="M610" i="3"/>
  <c r="N610" i="3"/>
  <c r="O610" i="3" s="1"/>
  <c r="M601" i="3"/>
  <c r="N601" i="3"/>
  <c r="O601" i="3" s="1"/>
  <c r="M600" i="3"/>
  <c r="N600" i="3"/>
  <c r="O600" i="3" s="1"/>
  <c r="M591" i="3"/>
  <c r="N591" i="3"/>
  <c r="O591" i="3" s="1"/>
  <c r="M590" i="3"/>
  <c r="N590" i="3"/>
  <c r="O590" i="3" s="1"/>
  <c r="M581" i="3"/>
  <c r="N581" i="3"/>
  <c r="O581" i="3" s="1"/>
  <c r="M580" i="3"/>
  <c r="N580" i="3"/>
  <c r="O580" i="3" s="1"/>
  <c r="M571" i="3"/>
  <c r="N571" i="3"/>
  <c r="O571" i="3" s="1"/>
  <c r="M570" i="3"/>
  <c r="N570" i="3"/>
  <c r="O570" i="3" s="1"/>
  <c r="M561" i="3"/>
  <c r="N561" i="3"/>
  <c r="O561" i="3" s="1"/>
  <c r="M560" i="3"/>
  <c r="N560" i="3"/>
  <c r="O560" i="3" s="1"/>
  <c r="M551" i="3"/>
  <c r="N551" i="3"/>
  <c r="O551" i="3" s="1"/>
  <c r="M550" i="3"/>
  <c r="N550" i="3"/>
  <c r="O550" i="3" s="1"/>
  <c r="M541" i="3"/>
  <c r="N541" i="3"/>
  <c r="O541" i="3" s="1"/>
  <c r="M540" i="3"/>
  <c r="N540" i="3"/>
  <c r="O540" i="3" s="1"/>
  <c r="M531" i="3"/>
  <c r="N531" i="3"/>
  <c r="O531" i="3" s="1"/>
  <c r="M530" i="3"/>
  <c r="N530" i="3"/>
  <c r="O530" i="3" s="1"/>
  <c r="M521" i="3"/>
  <c r="N521" i="3"/>
  <c r="O521" i="3" s="1"/>
  <c r="M520" i="3"/>
  <c r="N520" i="3"/>
  <c r="O520" i="3" s="1"/>
  <c r="M511" i="3"/>
  <c r="N511" i="3"/>
  <c r="O511" i="3" s="1"/>
  <c r="M510" i="3"/>
  <c r="N510" i="3"/>
  <c r="O510" i="3" s="1"/>
  <c r="M501" i="3"/>
  <c r="N501" i="3"/>
  <c r="O501" i="3" s="1"/>
  <c r="M500" i="3"/>
  <c r="N500" i="3"/>
  <c r="O500" i="3" s="1"/>
  <c r="M491" i="3"/>
  <c r="N491" i="3"/>
  <c r="O491" i="3" s="1"/>
  <c r="M490" i="3"/>
  <c r="N490" i="3"/>
  <c r="O490" i="3" s="1"/>
  <c r="M481" i="3"/>
  <c r="N481" i="3"/>
  <c r="O481" i="3" s="1"/>
  <c r="M480" i="3"/>
  <c r="N480" i="3"/>
  <c r="O480" i="3" s="1"/>
  <c r="M471" i="3"/>
  <c r="N471" i="3"/>
  <c r="O471" i="3" s="1"/>
  <c r="M470" i="3"/>
  <c r="N470" i="3"/>
  <c r="O470" i="3" s="1"/>
  <c r="M461" i="3"/>
  <c r="N461" i="3"/>
  <c r="O461" i="3" s="1"/>
  <c r="M460" i="3"/>
  <c r="N460" i="3"/>
  <c r="O460" i="3" s="1"/>
  <c r="M451" i="3"/>
  <c r="N451" i="3"/>
  <c r="O451" i="3" s="1"/>
  <c r="M450" i="3"/>
  <c r="N450" i="3"/>
  <c r="O450" i="3" s="1"/>
  <c r="M441" i="3"/>
  <c r="N441" i="3"/>
  <c r="O441" i="3" s="1"/>
  <c r="M440" i="3"/>
  <c r="N440" i="3"/>
  <c r="O440" i="3" s="1"/>
  <c r="M431" i="3"/>
  <c r="N431" i="3"/>
  <c r="O431" i="3" s="1"/>
  <c r="M430" i="3"/>
  <c r="N430" i="3"/>
  <c r="O430" i="3" s="1"/>
  <c r="M421" i="3"/>
  <c r="N421" i="3"/>
  <c r="O421" i="3" s="1"/>
  <c r="M420" i="3"/>
  <c r="N420" i="3"/>
  <c r="O420" i="3" s="1"/>
  <c r="M411" i="3"/>
  <c r="N411" i="3"/>
  <c r="O411" i="3" s="1"/>
  <c r="M410" i="3"/>
  <c r="N410" i="3"/>
  <c r="O410" i="3" s="1"/>
  <c r="M401" i="3"/>
  <c r="N401" i="3"/>
  <c r="O401" i="3" s="1"/>
  <c r="M400" i="3"/>
  <c r="N400" i="3"/>
  <c r="O400" i="3" s="1"/>
  <c r="M391" i="3"/>
  <c r="N391" i="3"/>
  <c r="O391" i="3" s="1"/>
  <c r="M390" i="3"/>
  <c r="N390" i="3"/>
  <c r="O390" i="3" s="1"/>
  <c r="M381" i="3"/>
  <c r="N381" i="3"/>
  <c r="O381" i="3" s="1"/>
  <c r="M380" i="3"/>
  <c r="N380" i="3"/>
  <c r="O380" i="3" s="1"/>
  <c r="M371" i="3"/>
  <c r="N371" i="3"/>
  <c r="O371" i="3" s="1"/>
  <c r="M370" i="3"/>
  <c r="N370" i="3"/>
  <c r="O370" i="3" s="1"/>
  <c r="M361" i="3"/>
  <c r="N361" i="3"/>
  <c r="O361" i="3" s="1"/>
  <c r="M360" i="3"/>
  <c r="M351" i="3"/>
  <c r="N351" i="3"/>
  <c r="O351" i="3" s="1"/>
  <c r="M350" i="3"/>
  <c r="N350" i="3"/>
  <c r="O350" i="3" s="1"/>
  <c r="M341" i="3"/>
  <c r="N341" i="3"/>
  <c r="O341" i="3" s="1"/>
  <c r="M340" i="3"/>
  <c r="N340" i="3"/>
  <c r="O340" i="3" s="1"/>
  <c r="M331" i="3"/>
  <c r="N331" i="3"/>
  <c r="O331" i="3" s="1"/>
  <c r="N330" i="3"/>
  <c r="O330" i="3" s="1"/>
  <c r="M330" i="3"/>
  <c r="M321" i="3"/>
  <c r="N321" i="3"/>
  <c r="O321" i="3" s="1"/>
  <c r="M320" i="3"/>
  <c r="N320" i="3"/>
  <c r="O320" i="3" s="1"/>
  <c r="M311" i="3"/>
  <c r="N311" i="3"/>
  <c r="O311" i="3" s="1"/>
  <c r="M310" i="3"/>
  <c r="N310" i="3"/>
  <c r="O310" i="3" s="1"/>
  <c r="M301" i="3"/>
  <c r="N301" i="3"/>
  <c r="O301" i="3" s="1"/>
  <c r="M300" i="3"/>
  <c r="N300" i="3"/>
  <c r="O300" i="3" s="1"/>
  <c r="M291" i="3"/>
  <c r="N291" i="3"/>
  <c r="O291" i="3" s="1"/>
  <c r="M290" i="3"/>
  <c r="N290" i="3"/>
  <c r="O290" i="3" s="1"/>
  <c r="N281" i="3"/>
  <c r="O281" i="3" s="1"/>
  <c r="M281" i="3"/>
  <c r="N280" i="3"/>
  <c r="O280" i="3" s="1"/>
  <c r="M271" i="3"/>
  <c r="N271" i="3"/>
  <c r="O271" i="3" s="1"/>
  <c r="M270" i="3"/>
  <c r="N270" i="3"/>
  <c r="O270" i="3" s="1"/>
  <c r="M261" i="3"/>
  <c r="N261" i="3"/>
  <c r="O261" i="3" s="1"/>
  <c r="M260" i="3"/>
  <c r="N260" i="3"/>
  <c r="O260" i="3" s="1"/>
  <c r="M251" i="3"/>
  <c r="N251" i="3"/>
  <c r="O251" i="3" s="1"/>
  <c r="M250" i="3"/>
  <c r="N250" i="3"/>
  <c r="O250" i="3" s="1"/>
  <c r="M241" i="3"/>
  <c r="N241" i="3"/>
  <c r="O241" i="3" s="1"/>
  <c r="M240" i="3"/>
  <c r="N240" i="3"/>
  <c r="O240" i="3" s="1"/>
  <c r="M231" i="3"/>
  <c r="N231" i="3"/>
  <c r="O231" i="3" s="1"/>
  <c r="N230" i="3"/>
  <c r="O230" i="3" s="1"/>
  <c r="M221" i="3"/>
  <c r="N221" i="3"/>
  <c r="O221" i="3" s="1"/>
  <c r="M220" i="3"/>
  <c r="N220" i="3"/>
  <c r="O220" i="3" s="1"/>
  <c r="M211" i="3"/>
  <c r="N211" i="3"/>
  <c r="O211" i="3" s="1"/>
  <c r="M210" i="3"/>
  <c r="N210" i="3"/>
  <c r="O210" i="3" s="1"/>
  <c r="M201" i="3"/>
  <c r="N201" i="3"/>
  <c r="O201" i="3" s="1"/>
  <c r="M200" i="3"/>
  <c r="N200" i="3"/>
  <c r="O200" i="3" s="1"/>
  <c r="M191" i="3"/>
  <c r="N191" i="3"/>
  <c r="O191" i="3" s="1"/>
  <c r="M190" i="3"/>
  <c r="N190" i="3"/>
  <c r="O190" i="3" s="1"/>
  <c r="M181" i="3"/>
  <c r="N181" i="3"/>
  <c r="O181" i="3" s="1"/>
  <c r="M180" i="3"/>
  <c r="N180" i="3"/>
  <c r="O180" i="3" s="1"/>
  <c r="M171" i="3"/>
  <c r="N171" i="3"/>
  <c r="O171" i="3" s="1"/>
  <c r="M170" i="3"/>
  <c r="N170" i="3"/>
  <c r="O170" i="3" s="1"/>
  <c r="M161" i="3"/>
  <c r="N161" i="3"/>
  <c r="O161" i="3" s="1"/>
  <c r="N160" i="3"/>
  <c r="O160" i="3" s="1"/>
  <c r="M160" i="3"/>
  <c r="M151" i="3"/>
  <c r="N151" i="3"/>
  <c r="O151" i="3" s="1"/>
  <c r="M150" i="3"/>
  <c r="N150" i="3"/>
  <c r="O150" i="3" s="1"/>
  <c r="M141" i="3"/>
  <c r="N141" i="3"/>
  <c r="O141" i="3" s="1"/>
  <c r="N140" i="3"/>
  <c r="O140" i="3" s="1"/>
  <c r="M140" i="3"/>
  <c r="M131" i="3"/>
  <c r="N131" i="3"/>
  <c r="O131" i="3" s="1"/>
  <c r="M130" i="3"/>
  <c r="N130" i="3"/>
  <c r="O130" i="3" s="1"/>
  <c r="O121" i="3"/>
  <c r="M121" i="3"/>
  <c r="N120" i="3"/>
  <c r="O120" i="3" s="1"/>
  <c r="M120" i="3"/>
  <c r="N111" i="3"/>
  <c r="O111" i="3" s="1"/>
  <c r="M111" i="3"/>
  <c r="N110" i="3"/>
  <c r="O110" i="3" s="1"/>
  <c r="M110" i="3"/>
  <c r="M101" i="3"/>
  <c r="N101" i="3"/>
  <c r="O101" i="3" s="1"/>
  <c r="M100" i="3"/>
  <c r="N100" i="3"/>
  <c r="O100" i="3" s="1"/>
  <c r="M91" i="3"/>
  <c r="N91" i="3"/>
  <c r="O91" i="3" s="1"/>
  <c r="M90" i="3"/>
  <c r="N90" i="3"/>
  <c r="O90" i="3" s="1"/>
  <c r="N81" i="3"/>
  <c r="O81" i="3" s="1"/>
  <c r="M81" i="3"/>
  <c r="M80" i="3"/>
  <c r="N80" i="3"/>
  <c r="O80" i="3" s="1"/>
  <c r="N71" i="3"/>
  <c r="O71" i="3" s="1"/>
  <c r="N70" i="3"/>
  <c r="O70" i="3" s="1"/>
  <c r="M61" i="3"/>
  <c r="N61" i="3"/>
  <c r="O61" i="3" s="1"/>
  <c r="M60" i="3"/>
  <c r="N60" i="3"/>
  <c r="O60" i="3" s="1"/>
  <c r="O51" i="3"/>
  <c r="M51" i="3"/>
  <c r="O50" i="3"/>
  <c r="M50" i="3"/>
  <c r="M39" i="3"/>
  <c r="N39" i="3"/>
  <c r="O39" i="3" s="1"/>
  <c r="M38" i="3"/>
  <c r="N38" i="3"/>
  <c r="O38" i="3" s="1"/>
  <c r="M26" i="3"/>
  <c r="N26" i="3"/>
  <c r="O26" i="3" s="1"/>
  <c r="O25" i="3"/>
  <c r="M25" i="3"/>
  <c r="M14" i="3"/>
  <c r="N14" i="3"/>
  <c r="O14" i="3" s="1"/>
  <c r="O13" i="3"/>
  <c r="M13" i="3"/>
  <c r="D10" i="2"/>
  <c r="D9" i="2"/>
  <c r="D8" i="2"/>
  <c r="D7" i="2"/>
  <c r="D6" i="2"/>
  <c r="D5" i="2"/>
  <c r="D14" i="2"/>
  <c r="D13" i="2"/>
  <c r="D12" i="2"/>
  <c r="D11" i="2"/>
  <c r="D15" i="2"/>
  <c r="D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<sst xmlns="http://schemas.openxmlformats.org/spreadsheetml/2006/main" count="8926" uniqueCount="414">
  <si>
    <t>Lot</t>
  </si>
  <si>
    <t>CFO</t>
  </si>
  <si>
    <t>Nombre étage :</t>
  </si>
  <si>
    <t>Etage</t>
  </si>
  <si>
    <t>Zone</t>
  </si>
  <si>
    <t>Nom Zone</t>
  </si>
  <si>
    <t>Date début phase production</t>
  </si>
  <si>
    <t>Date début phase terminaux</t>
  </si>
  <si>
    <t>Délai de livraison avant travaux (jours)</t>
  </si>
  <si>
    <t>Durée phase production</t>
  </si>
  <si>
    <t>Durée phase terminaux</t>
  </si>
  <si>
    <t>Zone 1</t>
  </si>
  <si>
    <t>Durée de stockage CCC (en mois)</t>
  </si>
  <si>
    <t>Zone 2</t>
  </si>
  <si>
    <t>Tarif mois de stockage (en €)</t>
  </si>
  <si>
    <t>Frais supplémentaires/palette (en €)</t>
  </si>
  <si>
    <t>Frais de livraison par camion</t>
  </si>
  <si>
    <t xml:space="preserve">Étage </t>
  </si>
  <si>
    <t>Numéro étage (pas de lettres)</t>
  </si>
  <si>
    <t>Nombre de zones</t>
  </si>
  <si>
    <t>Étage 1</t>
  </si>
  <si>
    <t>Étage 2</t>
  </si>
  <si>
    <t>Étage 3</t>
  </si>
  <si>
    <t>Étage 4</t>
  </si>
  <si>
    <t>Étage 5</t>
  </si>
  <si>
    <t>Étage 6</t>
  </si>
  <si>
    <t>Étage 7</t>
  </si>
  <si>
    <t>Étage 8</t>
  </si>
  <si>
    <t>Étage 9</t>
  </si>
  <si>
    <t>Étage 10</t>
  </si>
  <si>
    <t>Étage 11</t>
  </si>
  <si>
    <t>Étage 12</t>
  </si>
  <si>
    <t>Étage 13</t>
  </si>
  <si>
    <t>Étage 14</t>
  </si>
  <si>
    <t>Étage 15</t>
  </si>
  <si>
    <t>Étage 16</t>
  </si>
  <si>
    <t>Étage 17</t>
  </si>
  <si>
    <t>Étage 18</t>
  </si>
  <si>
    <t>Étage 19</t>
  </si>
  <si>
    <t>Étage 20</t>
  </si>
  <si>
    <t>Étage 21</t>
  </si>
  <si>
    <t>Étage 22</t>
  </si>
  <si>
    <t>Étage 23</t>
  </si>
  <si>
    <t>Étage 24</t>
  </si>
  <si>
    <t>Étage 25</t>
  </si>
  <si>
    <t>Étage 26</t>
  </si>
  <si>
    <t>Étage 27</t>
  </si>
  <si>
    <t>Étage 28</t>
  </si>
  <si>
    <t>Étage 29</t>
  </si>
  <si>
    <t>Étage 30</t>
  </si>
  <si>
    <t>Étage 31</t>
  </si>
  <si>
    <t>Étage 32</t>
  </si>
  <si>
    <t>Étage 33</t>
  </si>
  <si>
    <t>Étage 34</t>
  </si>
  <si>
    <t>Étage 35</t>
  </si>
  <si>
    <t>Étage 36</t>
  </si>
  <si>
    <t>Étage 37</t>
  </si>
  <si>
    <t>Étage 38</t>
  </si>
  <si>
    <t>Étage 39</t>
  </si>
  <si>
    <t>Étage 40</t>
  </si>
  <si>
    <t>Étage 41</t>
  </si>
  <si>
    <t>Étage 42</t>
  </si>
  <si>
    <t>Étage 43</t>
  </si>
  <si>
    <t>Étage 44</t>
  </si>
  <si>
    <t>Répartition faite de manière proportionnelle.
A vérifier et ajuster.</t>
  </si>
  <si>
    <t xml:space="preserve">Etage </t>
  </si>
  <si>
    <t>Exclus</t>
  </si>
  <si>
    <t>Commentaires</t>
  </si>
  <si>
    <t>Catégorie</t>
  </si>
  <si>
    <t>Quantité</t>
  </si>
  <si>
    <t>Réparti entièrement?</t>
  </si>
  <si>
    <t>Chemin de câble</t>
  </si>
  <si>
    <t>Câble BT</t>
  </si>
  <si>
    <t>Divers CFO (Gros équipement)</t>
  </si>
  <si>
    <t>Divers CFO (Moyen équipement)</t>
  </si>
  <si>
    <t>Divers CFO (Petit équipement)</t>
  </si>
  <si>
    <t>Electricité divers</t>
  </si>
  <si>
    <t>Luminaires</t>
  </si>
  <si>
    <t>Tableaux Divisionnaires BT</t>
  </si>
  <si>
    <t>Tableaux Généraux BT</t>
  </si>
  <si>
    <t>Transformateur</t>
  </si>
  <si>
    <t>Supportage</t>
  </si>
  <si>
    <t>Phase de traveaux</t>
  </si>
  <si>
    <t>Nom de l'élément</t>
  </si>
  <si>
    <t>Unité</t>
  </si>
  <si>
    <t>Conditionnement</t>
  </si>
  <si>
    <t>Quantité par UM</t>
  </si>
  <si>
    <t>Nombre d'UM nécessaires</t>
  </si>
  <si>
    <t>Nombre palettes equivalent total</t>
  </si>
  <si>
    <t>Type de camion requis</t>
  </si>
  <si>
    <t>Nombre de camions nécessaires</t>
  </si>
  <si>
    <t>Dont camions pleins</t>
  </si>
  <si>
    <t>Remplissage camion non plein</t>
  </si>
  <si>
    <t>Étage</t>
  </si>
  <si>
    <t>Phase</t>
  </si>
  <si>
    <t>Total Palettes Équivalent</t>
  </si>
  <si>
    <t>Nombre total de camions sans CCC</t>
  </si>
  <si>
    <t>Nombre total de camions avec CCC</t>
  </si>
  <si>
    <t>Remplissage moyen sans CCC</t>
  </si>
  <si>
    <t>Remplissage moyen avec CCC</t>
  </si>
  <si>
    <t>Etude Logistique - Lot CFO</t>
  </si>
  <si>
    <t>Phibor Entreprises</t>
  </si>
  <si>
    <t>Projet</t>
  </si>
  <si>
    <t xml:space="preserve">Version Optimisée </t>
  </si>
  <si>
    <t>Comparatif</t>
  </si>
  <si>
    <t xml:space="preserve">Avec cette version optimisée, certains matériels sont stockés dans un CCC. On garde alors la livraison par niveau mais on livre groupé. Cela permet d'optimiser le remplissage des camions et les livraisons. </t>
  </si>
  <si>
    <t xml:space="preserve">Version Non Optimisée </t>
  </si>
  <si>
    <t>Plateau Grue Petit</t>
  </si>
  <si>
    <t>Plateau Grue Grand</t>
  </si>
  <si>
    <t>Camionnette 6m3</t>
  </si>
  <si>
    <t>Fourgon 8m3</t>
  </si>
  <si>
    <t>Fourgon 12m3</t>
  </si>
  <si>
    <t>Camion 20m3</t>
  </si>
  <si>
    <t>Camion 30m3</t>
  </si>
  <si>
    <t>Porteur 12T</t>
  </si>
  <si>
    <t>Porteur 19T</t>
  </si>
  <si>
    <t>Semi-remorque 90m3</t>
  </si>
  <si>
    <t>Nom</t>
  </si>
  <si>
    <t>Phase de travaux (production ou terminaux)</t>
  </si>
  <si>
    <t>Utilisation CCC?</t>
  </si>
  <si>
    <t>Conditionnement par défaut</t>
  </si>
  <si>
    <t>Quantité par conditionnement</t>
  </si>
  <si>
    <t>Autre conditionnement possible 2</t>
  </si>
  <si>
    <t>Quantité par conditionnement 2</t>
  </si>
  <si>
    <t>Autre conditionnement possible 3</t>
  </si>
  <si>
    <t>Quantité par conditionnement 3</t>
  </si>
  <si>
    <t>Commentaire</t>
  </si>
  <si>
    <t>U</t>
  </si>
  <si>
    <t>Production</t>
  </si>
  <si>
    <t>Oui</t>
  </si>
  <si>
    <t>Non</t>
  </si>
  <si>
    <t>Palette</t>
  </si>
  <si>
    <t>Cordon, Cosses, Boite de dérivation…</t>
  </si>
  <si>
    <t>Double palette</t>
  </si>
  <si>
    <t>Différents postes et cellules</t>
  </si>
  <si>
    <t>Terminaux</t>
  </si>
  <si>
    <t>Roll conteneur</t>
  </si>
  <si>
    <t>prise, nourrices, détecteur de présence, interrupteur, BAES…</t>
  </si>
  <si>
    <t>ml</t>
  </si>
  <si>
    <t>Palette Rails</t>
  </si>
  <si>
    <t xml:space="preserve">100 pièces ou 300m </t>
  </si>
  <si>
    <t>Câble HTA</t>
  </si>
  <si>
    <t>Touret grand</t>
  </si>
  <si>
    <t>Touret moyen</t>
  </si>
  <si>
    <t>Groupe Electrogène</t>
  </si>
  <si>
    <t>Cheminement Technique Protégé</t>
  </si>
  <si>
    <t>Gaines et fourreaux</t>
  </si>
  <si>
    <t xml:space="preserve"> (rails, colliers, tiges filetées) 100 en moyenne par palete avec un ratio de 0,03 supportage par qté de matériels à supporter</t>
  </si>
  <si>
    <t>Type de camion</t>
  </si>
  <si>
    <t>Nombre équivalent de palettes</t>
  </si>
  <si>
    <t>Masse maximale (kg)</t>
  </si>
  <si>
    <t>Demi palette</t>
  </si>
  <si>
    <t>Porteur</t>
  </si>
  <si>
    <t>Palette europénne, la plus répandue. Dimension : 1,2x0,8 mm</t>
  </si>
  <si>
    <t>Dimension : 3x0,2 m</t>
  </si>
  <si>
    <t>Palette panier</t>
  </si>
  <si>
    <t>Rack 3m</t>
  </si>
  <si>
    <t>Plateau</t>
  </si>
  <si>
    <t>Rack 6m</t>
  </si>
  <si>
    <t>Type camion</t>
  </si>
  <si>
    <t>Capacité (palette euro)</t>
  </si>
  <si>
    <t>Capacité [m3]</t>
  </si>
  <si>
    <t>Capacité [kg]</t>
  </si>
  <si>
    <t>Coût [€]</t>
  </si>
  <si>
    <t>Camion 20-22 m3</t>
  </si>
  <si>
    <t>Camion 30 m3</t>
  </si>
  <si>
    <t>Porteur 12 tonnes</t>
  </si>
  <si>
    <t>Porteur 19 tonnes</t>
  </si>
  <si>
    <t>Semi-remorque 90 m3</t>
  </si>
  <si>
    <t>Étage - Zone</t>
  </si>
  <si>
    <t>Camions Production sans CCC</t>
  </si>
  <si>
    <t>Camions Terminaux sans CCC</t>
  </si>
  <si>
    <t>Camions Production avec CCC</t>
  </si>
  <si>
    <t>Camions Terminaux avec CCC</t>
  </si>
  <si>
    <t>Remplissage camions sans CCC</t>
  </si>
  <si>
    <t>Remplissage camions avec CCC</t>
  </si>
  <si>
    <t>Mois</t>
  </si>
  <si>
    <t>Volume (nombre de palettes équivalentes)</t>
  </si>
  <si>
    <t>Nombre de Camions</t>
  </si>
  <si>
    <t>Nombre de Camions CCC</t>
  </si>
  <si>
    <t>Type de Camion</t>
  </si>
  <si>
    <t>Nombre de Camions avec CCC</t>
  </si>
  <si>
    <t>Matériel CCC</t>
  </si>
  <si>
    <t>Nombre de matériels CCC</t>
  </si>
  <si>
    <t>Z1 Z2</t>
  </si>
  <si>
    <t>Z3 Z4</t>
  </si>
  <si>
    <t>Utilisation d'une CCC</t>
  </si>
  <si>
    <t>Stock CCC Production</t>
  </si>
  <si>
    <t>Stock CCC Terminaux</t>
  </si>
  <si>
    <t>Total</t>
  </si>
  <si>
    <t>-2 - Z1 Z2</t>
  </si>
  <si>
    <t>-2 - Z3 Z4</t>
  </si>
  <si>
    <t>-1 - Z1 Z2</t>
  </si>
  <si>
    <t>-1 - Z3 Z4</t>
  </si>
  <si>
    <t>0 - Z1 Z2</t>
  </si>
  <si>
    <t>0 - Z3 Z4</t>
  </si>
  <si>
    <t>1 - Z1 Z2</t>
  </si>
  <si>
    <t>1 - Z3 Z4</t>
  </si>
  <si>
    <t>2 - Z1 Z2</t>
  </si>
  <si>
    <t>2 - Z3 Z4</t>
  </si>
  <si>
    <t>3 - Z1 Z2</t>
  </si>
  <si>
    <t>3 - Z3 Z4</t>
  </si>
  <si>
    <t>4 - Z1 Z2</t>
  </si>
  <si>
    <t>4 - Z3 Z4</t>
  </si>
  <si>
    <t>5 - Z1 Z2</t>
  </si>
  <si>
    <t>5 - Z3 Z4</t>
  </si>
  <si>
    <t>6 - Z1 Z2</t>
  </si>
  <si>
    <t>6 - Z3 Z4</t>
  </si>
  <si>
    <t>7 - Z1 Z2</t>
  </si>
  <si>
    <t>7 - Z3 Z4</t>
  </si>
  <si>
    <t>8 - Z1 Z2</t>
  </si>
  <si>
    <t>8 - Z3 Z4</t>
  </si>
  <si>
    <t>9 - Z1 Z2</t>
  </si>
  <si>
    <t>9 - Z3 Z4</t>
  </si>
  <si>
    <t>10 - Z1 Z2</t>
  </si>
  <si>
    <t>10 - Z3 Z4</t>
  </si>
  <si>
    <t>11 - Z1 Z2</t>
  </si>
  <si>
    <t>11 - Z3 Z4</t>
  </si>
  <si>
    <t>12 - Z1 Z2</t>
  </si>
  <si>
    <t>12 - Z3 Z4</t>
  </si>
  <si>
    <t>13 - Z1 Z2</t>
  </si>
  <si>
    <t>13 - Z3 Z4</t>
  </si>
  <si>
    <t>14 - Z1 Z2</t>
  </si>
  <si>
    <t>14 - Z3 Z4</t>
  </si>
  <si>
    <t>15 - Z1 Z2</t>
  </si>
  <si>
    <t>15 - Z3 Z4</t>
  </si>
  <si>
    <t>16 - Z1 Z2</t>
  </si>
  <si>
    <t>16 - Z3 Z4</t>
  </si>
  <si>
    <t>17 - Z1 Z2</t>
  </si>
  <si>
    <t>17 - Z3 Z4</t>
  </si>
  <si>
    <t>18 - Z1 Z2</t>
  </si>
  <si>
    <t>18 - Z3 Z4</t>
  </si>
  <si>
    <t>19 - Z1 Z2</t>
  </si>
  <si>
    <t>19 - Z3 Z4</t>
  </si>
  <si>
    <t>20 - Z1 Z2</t>
  </si>
  <si>
    <t>20 - Z3 Z4</t>
  </si>
  <si>
    <t>21 - Z1 Z2</t>
  </si>
  <si>
    <t>21 - Z3 Z4</t>
  </si>
  <si>
    <t>22 - Z1 Z2</t>
  </si>
  <si>
    <t>22 - Z3 Z4</t>
  </si>
  <si>
    <t>23 - Z1 Z2</t>
  </si>
  <si>
    <t>23 - Z3 Z4</t>
  </si>
  <si>
    <t>24 - Z1 Z2</t>
  </si>
  <si>
    <t>24 - Z3 Z4</t>
  </si>
  <si>
    <t>25 - Z1 Z2</t>
  </si>
  <si>
    <t>25 - Z3 Z4</t>
  </si>
  <si>
    <t>26 - Z1 Z2</t>
  </si>
  <si>
    <t>26 - Z3 Z4</t>
  </si>
  <si>
    <t>27 - Z1 Z2</t>
  </si>
  <si>
    <t>27 - Z3 Z4</t>
  </si>
  <si>
    <t>28 - Z1 Z2</t>
  </si>
  <si>
    <t>28 - Z3 Z4</t>
  </si>
  <si>
    <t>29 - Z1 Z2</t>
  </si>
  <si>
    <t>29 - Z3 Z4</t>
  </si>
  <si>
    <t>30 - Z1 Z2</t>
  </si>
  <si>
    <t>30 - Z3 Z4</t>
  </si>
  <si>
    <t>31 - Z1 Z2</t>
  </si>
  <si>
    <t>31 - Z3 Z4</t>
  </si>
  <si>
    <t>32 - Z1 Z2</t>
  </si>
  <si>
    <t>32 - Z3 Z4</t>
  </si>
  <si>
    <t>33 - Z1 Z2</t>
  </si>
  <si>
    <t>33 - Z3 Z4</t>
  </si>
  <si>
    <t>34 - Z1 Z2</t>
  </si>
  <si>
    <t>34 - Z3 Z4</t>
  </si>
  <si>
    <t>35 - Z1 Z2</t>
  </si>
  <si>
    <t>35 - Z3 Z4</t>
  </si>
  <si>
    <t>36 - Z1 Z2</t>
  </si>
  <si>
    <t>36 - Z3 Z4</t>
  </si>
  <si>
    <t>37 - Z1 Z2</t>
  </si>
  <si>
    <t>37 - Z3 Z4</t>
  </si>
  <si>
    <t>38 - Z1 Z2</t>
  </si>
  <si>
    <t>38 - Z3 Z4</t>
  </si>
  <si>
    <t>39 - Z1 Z2</t>
  </si>
  <si>
    <t>39 - Z3 Z4</t>
  </si>
  <si>
    <t>40 - Z1 Z2</t>
  </si>
  <si>
    <t>40 - Z3 Z4</t>
  </si>
  <si>
    <t>41 - Z1 Z2</t>
  </si>
  <si>
    <t>41 - Z3 Z4</t>
  </si>
  <si>
    <t>-2Z1 Z2</t>
  </si>
  <si>
    <t>-2Z3 Z4</t>
  </si>
  <si>
    <t>-1Z1 Z2</t>
  </si>
  <si>
    <t>-1Z3 Z4</t>
  </si>
  <si>
    <t>0Z1 Z2</t>
  </si>
  <si>
    <t>0Z3 Z4</t>
  </si>
  <si>
    <t>1Z1 Z2</t>
  </si>
  <si>
    <t>1Z3 Z4</t>
  </si>
  <si>
    <t>2Z1 Z2</t>
  </si>
  <si>
    <t>2Z3 Z4</t>
  </si>
  <si>
    <t>3Z1 Z2</t>
  </si>
  <si>
    <t>3Z3 Z4</t>
  </si>
  <si>
    <t>4Z1 Z2</t>
  </si>
  <si>
    <t>4Z3 Z4</t>
  </si>
  <si>
    <t>5Z1 Z2</t>
  </si>
  <si>
    <t>5Z3 Z4</t>
  </si>
  <si>
    <t>6Z1 Z2</t>
  </si>
  <si>
    <t>6Z3 Z4</t>
  </si>
  <si>
    <t>7Z1 Z2</t>
  </si>
  <si>
    <t>7Z3 Z4</t>
  </si>
  <si>
    <t>8Z1 Z2</t>
  </si>
  <si>
    <t>8Z3 Z4</t>
  </si>
  <si>
    <t>9Z1 Z2</t>
  </si>
  <si>
    <t>9Z3 Z4</t>
  </si>
  <si>
    <t>10Z1 Z2</t>
  </si>
  <si>
    <t>10Z3 Z4</t>
  </si>
  <si>
    <t>11Z1 Z2</t>
  </si>
  <si>
    <t>11Z3 Z4</t>
  </si>
  <si>
    <t>12Z1 Z2</t>
  </si>
  <si>
    <t>12Z3 Z4</t>
  </si>
  <si>
    <t>13Z1 Z2</t>
  </si>
  <si>
    <t>13Z3 Z4</t>
  </si>
  <si>
    <t>14Z1 Z2</t>
  </si>
  <si>
    <t>14Z3 Z4</t>
  </si>
  <si>
    <t>15Z1 Z2</t>
  </si>
  <si>
    <t>15Z3 Z4</t>
  </si>
  <si>
    <t>16Z1 Z2</t>
  </si>
  <si>
    <t>16Z3 Z4</t>
  </si>
  <si>
    <t>17Z1 Z2</t>
  </si>
  <si>
    <t>17Z3 Z4</t>
  </si>
  <si>
    <t>18Z1 Z2</t>
  </si>
  <si>
    <t>18Z3 Z4</t>
  </si>
  <si>
    <t>19Z1 Z2</t>
  </si>
  <si>
    <t>19Z3 Z4</t>
  </si>
  <si>
    <t>20Z1 Z2</t>
  </si>
  <si>
    <t>20Z3 Z4</t>
  </si>
  <si>
    <t>21Z1 Z2</t>
  </si>
  <si>
    <t>21Z3 Z4</t>
  </si>
  <si>
    <t>22Z1 Z2</t>
  </si>
  <si>
    <t>22Z3 Z4</t>
  </si>
  <si>
    <t>23Z1 Z2</t>
  </si>
  <si>
    <t>23Z3 Z4</t>
  </si>
  <si>
    <t>24Z1 Z2</t>
  </si>
  <si>
    <t>24Z3 Z4</t>
  </si>
  <si>
    <t>25Z1 Z2</t>
  </si>
  <si>
    <t>25Z3 Z4</t>
  </si>
  <si>
    <t>26Z1 Z2</t>
  </si>
  <si>
    <t>26Z3 Z4</t>
  </si>
  <si>
    <t>27Z1 Z2</t>
  </si>
  <si>
    <t>27Z3 Z4</t>
  </si>
  <si>
    <t>28Z1 Z2</t>
  </si>
  <si>
    <t>28Z3 Z4</t>
  </si>
  <si>
    <t>29Z1 Z2</t>
  </si>
  <si>
    <t>29Z3 Z4</t>
  </si>
  <si>
    <t>30Z1 Z2</t>
  </si>
  <si>
    <t>30Z3 Z4</t>
  </si>
  <si>
    <t>31Z1 Z2</t>
  </si>
  <si>
    <t>31Z3 Z4</t>
  </si>
  <si>
    <t>32Z1 Z2</t>
  </si>
  <si>
    <t>32Z3 Z4</t>
  </si>
  <si>
    <t>33Z1 Z2</t>
  </si>
  <si>
    <t>33Z3 Z4</t>
  </si>
  <si>
    <t>34Z1 Z2</t>
  </si>
  <si>
    <t>34Z3 Z4</t>
  </si>
  <si>
    <t>35Z1 Z2</t>
  </si>
  <si>
    <t>35Z3 Z4</t>
  </si>
  <si>
    <t>36Z1 Z2</t>
  </si>
  <si>
    <t>36Z3 Z4</t>
  </si>
  <si>
    <t>37Z1 Z2</t>
  </si>
  <si>
    <t>37Z3 Z4</t>
  </si>
  <si>
    <t>38Z1 Z2</t>
  </si>
  <si>
    <t>38Z3 Z4</t>
  </si>
  <si>
    <t>39Z1 Z2</t>
  </si>
  <si>
    <t>39Z3 Z4</t>
  </si>
  <si>
    <t>40Z1 Z2</t>
  </si>
  <si>
    <t>40Z3 Z4</t>
  </si>
  <si>
    <t>41Z1 Z2</t>
  </si>
  <si>
    <t>41Z3 Z4</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</si>
  <si>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</si>
  <si>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</si>
  <si>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</si>
  <si>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</si>
  <si>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</si>
  <si>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</si>
  <si>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</si>
  <si>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</si>
  <si>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</si>
  <si>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</si>
  <si>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</si>
  <si>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</si>
  <si>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</si>
  <si>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</si>
  <si>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</si>
  <si>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</si>
  <si>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</si>
  <si>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</si>
  <si>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</si>
  <si>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</si>
  <si>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</si>
  <si>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</si>
  <si>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</si>
  <si>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</si>
  <si>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</si>
  <si>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</si>
  <si>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</si>
  <si>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</si>
  <si>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</si>
  <si>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</si>
  <si>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</si>
  <si>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</si>
  <si>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</si>
  <si>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</si>
  <si>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</si>
  <si>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</si>
  <si>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</si>
  <si>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3888 palettes équivalentes_x000D_
_x000D_
3732,48 m² occupé au sol_x000D_
_x000D_
 Palette Européenne (80 x 120 cm) :</t>
  </si>
  <si>
    <t>Pic de livraison :_x000D_
En mars 2026, 10 camions/semaine</t>
  </si>
  <si>
    <t>734 camions_x000D_
Remplissage moyen : 47%</t>
  </si>
  <si>
    <r>
      <t>Matériels stockés en CCC :</t>
    </r>
    <r>
      <rPr>
        <sz val="10"/>
        <color theme="1"/>
        <rFont val="Calibri"/>
        <family val="2"/>
        <scheme val="minor"/>
      </rPr>
      <t xml:space="preserve"> Divers CFO (Moyen équipement), Divers CFO (Petit équipement), Electricité divers, Luminaires, Tableaux Divisionnaires BT, Tableaux Généraux BT</t>
    </r>
  </si>
  <si>
    <t>Pic de livraison :_x000D_
En mars 2026, 7 camions/semaine</t>
  </si>
  <si>
    <t>490 camions_x000D_
Remplissage moyen : 45%</t>
  </si>
  <si>
    <t>Avec 72% du matériel stocké_x000D_
dans un CCC pendant _x000D_
2 mois :_x000D_
_x000D_
 - 33% de camions_x000D_
_x000D_
 -4% du_x000D_
remplissage moyen</t>
  </si>
  <si>
    <r>
      <t>Coût CCC :</t>
    </r>
    <r>
      <rPr>
        <sz val="12"/>
        <color theme="1"/>
        <rFont val="Calibri"/>
        <family val="2"/>
        <scheme val="minor"/>
      </rPr>
      <t xml:space="preserve"> _x000D_
_x000D_
Stockage : 135264€_x000D_
Livraison : 54794€_x000D_
_x000D_
Total : 190058€</t>
    </r>
  </si>
  <si>
    <t>D’après : DPGF du 08/02/2022 et planning Indice D.
On a considéré :
- regroupement du matériel en grande catégorie
- conversion des conditionnements en équivalent palette (palette européenne 1,2 x 0,8) 
- 2 phases de travaux par étage : Production et Terminaux</t>
  </si>
  <si>
    <r>
      <rPr>
        <b/>
        <sz val="11"/>
        <color theme="1"/>
        <rFont val="Calibri"/>
        <family val="2"/>
        <scheme val="minor"/>
      </rPr>
      <t>Commentaires :</t>
    </r>
    <r>
      <rPr>
        <sz val="11"/>
        <color theme="1"/>
        <rFont val="Calibri"/>
        <family val="2"/>
        <scheme val="minor"/>
      </rPr>
      <t xml:space="preserve">
Pour les flux, les hypothèses prises sont les suivantes : 
- livraison dédiée par catégorie et par étage
- livraison 14 jours avant le début prévu des travaux de l’étage
- livraison de la moitié du matériel au début puis répartition uniforme du reste de matériel dans les autres mois de la durée de travaux de l’étage
</t>
    </r>
  </si>
  <si>
    <t xml:space="preserve">Désignation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</si>
</sst>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1" x14ac:knownFonts="1">
    <font>
      <sz val="11"/>
      <color theme="1"/>
      <name val="Calibri"/>
      <family val="2"/>
      <scheme val="minor"/>
    </font>
    <font>
      <sz val="11"/>
      <color theme="1"/>
      <name val="Calibri"/>
      <family val="2"/>
    </font>
    <font>
      <sz val="11"/>
      <color rgb="FF000000"/>
      <name val="Calibri"/>
      <family val="2"/>
    </font>
    <font>
      <b/>
      <sz val="11"/>
      <color rgb="FF000000"/>
      <name val="Calibri"/>
      <family val="2"/>
    </font>
    <font>
      <b/>
      <sz val="13"/>
      <color rgb="FF000000"/>
      <name val="Calibri"/>
      <family val="2"/>
    </font>
    <font>
      <b/>
      <sz val="11"/>
      <color theme="0"/>
      <name val="Calibri"/>
      <family val="2"/>
      <scheme val="minor"/>
    </font>
    <font>
      <b/>
      <sz val="11"/>
      <color theme="1"/>
      <name val="Calibri"/>
      <family val="2"/>
      <scheme val="minor"/>
    </font>
    <font>
      <b/>
      <sz val="11"/>
      <color rgb="FFFFFFFF"/>
      <name val="Calibri"/>
      <family val="2"/>
      <scheme val="minor"/>
    </font>
    <font>
      <sz val="11"/>
      <color theme="0"/>
      <name val="Calibri"/>
      <family val="2"/>
      <scheme val="minor"/>
    </font>
    <font>
      <b/>
      <sz val="12"/>
      <color theme="0"/>
      <name val="Calibri"/>
      <family val="2"/>
      <scheme val="minor"/>
    </font>
    <font>
      <sz val="11"/>
      <color rgb="FFFFFFFF"/>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i/>
      <sz val="8"/>
      <color theme="1"/>
      <name val="Calibri"/>
      <family val="2"/>
      <scheme val="minor"/>
    </font>
    <font>
      <sz val="12"/>
      <color theme="1"/>
      <name val="Calibri"/>
      <family val="2"/>
      <scheme val="minor"/>
    </font>
    <font>
      <sz val="10"/>
      <color theme="1"/>
      <name val="Calibri"/>
      <family val="2"/>
      <scheme val="minor"/>
    </font>
    <font>
      <b/>
      <sz val="8"/>
      <color theme="1"/>
      <name val="Calibri"/>
      <family val="2"/>
      <scheme val="minor"/>
    </font>
    <font>
      <b/>
      <sz val="14"/>
      <name val="Calibri"/>
      <family val="2"/>
      <scheme val="minor"/>
    </font>
    <font>
      <sz val="13"/>
      <color theme="1"/>
      <name val="Calibri"/>
      <family val="2"/>
      <scheme val="minor"/>
    </font>
    <font>
      <i/>
      <sz val="6"/>
      <color theme="1"/>
      <name val="Calibri"/>
      <family val="2"/>
      <scheme val="minor"/>
    </font>
    <font>
      <b/>
      <sz val="12"/>
      <color theme="1"/>
      <name val="Calibri"/>
      <family val="2"/>
      <scheme val="minor"/>
    </font>
    <font>
      <b/>
      <sz val="10"/>
      <color theme="1"/>
      <name val="Calibri"/>
      <family val="2"/>
      <scheme val="minor"/>
    </font>
    <font>
      <sz val="11"/>
      <name val="Calibri"/>
      <family val="2"/>
      <scheme val="minor"/>
    </font>
    <font>
      <u/>
      <sz val="11"/>
      <color theme="10"/>
      <name val="Calibri"/>
      <family val="2"/>
      <scheme val="minor"/>
    </font>
    <font>
      <sz val="11"/>
      <color rgb="FF000000"/>
      <name val="Aptos Narrow"/>
      <family val="2"/>
    </font>
    <font>
      <b/>
      <sz val="11"/>
      <color rgb="FFFFFFFF"/>
      <name val="Calibri"/>
      <family val="2"/>
    </font>
    <font>
      <b/>
      <sz val="18"/>
      <name val="Calibri"/>
      <family val="2"/>
    </font>
    <font>
      <b/>
      <i/>
      <sz val="14"/>
      <name val="Calibri"/>
      <family val="2"/>
    </font>
  </fonts>
  <fills count="13">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002060"/>
        <bgColor rgb="FF002060"/>
      </patternFill>
    </fill>
    <fill>
      <patternFill patternType="solid">
        <fgColor rgb="FFD9E1F2"/>
        <bgColor rgb="FFD9E1F2"/>
      </patternFill>
    </fill>
    <fill>
      <patternFill patternType="solid">
        <fgColor rgb="FFFFFFFF"/>
        <bgColor indexed="64"/>
      </patternFill>
    </fill>
    <fill>
      <patternFill patternType="solid">
        <fgColor rgb="FFA9D08E"/>
        <bgColor indexed="64"/>
      </patternFill>
    </fill>
    <fill>
      <patternFill patternType="solid">
        <fgColor rgb="FF0070C0"/>
        <bgColor indexed="64"/>
      </patternFill>
    </fill>
  </fills>
  <borders count="1">
    <border>
      <left/>
      <right/>
      <top/>
      <bottom/>
      <diagonal/>
    </border>
  </borders>
  <cellStyleXfs count="2">
    <xf numFmtId="0" fontId="0" fillId="0" borderId="0"/>
    <xf numFmtId="0" fontId="26" fillId="0" borderId="0"/>
  </cellStyleXfs>
  <cellXfs count="91">
    <xf numFmtId="0" fontId="0" fillId="0" borderId="0" xfId="0"/>
    <xf numFmtId="0" fontId="6" fillId="3" borderId="0" xfId="0" applyFont="1" applyFill="1"/>
    <xf numFmtId="0" fontId="6" fillId="3" borderId="0" xfId="0" applyFont="1" applyFill="1" applyAlignment="1">
      <alignment horizontal="center" vertical="center"/>
    </xf>
    <xf numFmtId="0" fontId="6" fillId="3" borderId="0" xfId="0" applyFont="1" applyFill="1" applyAlignment="1">
      <alignment horizontal="center" vertical="center" wrapText="1"/>
    </xf>
    <xf numFmtId="0" fontId="0" fillId="0" borderId="0" xfId="0" applyAlignment="1">
      <alignment horizontal="center" vertical="center"/>
    </xf>
    <xf numFmtId="0" fontId="6" fillId="0" borderId="0" xfId="0" applyFont="1"/>
    <xf numFmtId="0" fontId="7" fillId="0" borderId="0" xfId="0" applyFont="1"/>
    <xf numFmtId="0" fontId="7" fillId="4" borderId="0" xfId="0" applyFont="1" applyFill="1"/>
    <xf numFmtId="0" fontId="0" fillId="0" borderId="0" xfId="0" applyProtection="1">
      <protection locked="0"/>
    </xf>
    <xf numFmtId="0" fontId="8" fillId="5" borderId="0" xfId="0" applyFont="1" applyFill="1" applyAlignment="1">
      <alignment horizontal="center" vertical="center" wrapText="1"/>
    </xf>
    <xf numFmtId="0" fontId="0" fillId="6" borderId="0" xfId="0" applyFill="1"/>
    <xf numFmtId="14" fontId="0" fillId="0" borderId="0" xfId="0" applyNumberFormat="1"/>
    <xf numFmtId="0" fontId="0" fillId="6" borderId="0" xfId="0" applyFill="1" applyAlignment="1">
      <alignment horizontal="right"/>
    </xf>
    <xf numFmtId="0" fontId="14"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center" wrapText="1"/>
    </xf>
    <xf numFmtId="0" fontId="17" fillId="0" borderId="0" xfId="0" applyFont="1" applyAlignment="1">
      <alignment vertical="center" wrapText="1"/>
    </xf>
    <xf numFmtId="0" fontId="0" fillId="0" borderId="0" xfId="0" applyAlignment="1">
      <alignment horizontal="center" vertical="top" wrapText="1"/>
    </xf>
    <xf numFmtId="0" fontId="19" fillId="0" borderId="0" xfId="0" applyFont="1" applyAlignment="1">
      <alignment vertical="top" wrapText="1"/>
    </xf>
    <xf numFmtId="0" fontId="0" fillId="0" borderId="0" xfId="0" applyAlignment="1">
      <alignment vertical="top" wrapText="1"/>
    </xf>
    <xf numFmtId="0" fontId="21" fillId="0" borderId="0" xfId="0" applyFont="1" applyAlignment="1">
      <alignment vertical="top" wrapText="1"/>
    </xf>
    <xf numFmtId="0" fontId="17" fillId="0" borderId="0" xfId="0" applyFont="1" applyAlignment="1">
      <alignment vertical="top" wrapText="1"/>
    </xf>
    <xf numFmtId="0" fontId="16" fillId="0" borderId="0" xfId="0" applyFont="1" applyAlignment="1">
      <alignment vertical="top" wrapText="1"/>
    </xf>
    <xf numFmtId="0" fontId="14" fillId="0" borderId="0" xfId="0" applyFont="1" applyAlignment="1">
      <alignment vertical="top"/>
    </xf>
    <xf numFmtId="0" fontId="12" fillId="0" borderId="0" xfId="0" applyFont="1" applyAlignment="1">
      <alignment vertical="top"/>
    </xf>
    <xf numFmtId="0" fontId="15" fillId="0" borderId="0" xfId="0" applyFont="1" applyAlignment="1">
      <alignment vertical="center" wrapText="1"/>
    </xf>
    <xf numFmtId="14" fontId="0" fillId="0" borderId="0" xfId="0" applyNumberFormat="1" applyAlignment="1">
      <alignment vertical="top" wrapText="1"/>
    </xf>
    <xf numFmtId="0" fontId="18" fillId="0" borderId="0" xfId="0" applyFont="1" applyAlignment="1">
      <alignment vertical="top" wrapText="1"/>
    </xf>
    <xf numFmtId="0" fontId="20" fillId="0" borderId="0" xfId="0" applyFont="1" applyAlignment="1">
      <alignment vertical="center" wrapText="1"/>
    </xf>
    <xf numFmtId="0" fontId="0" fillId="0" borderId="0" xfId="0" applyAlignment="1">
      <alignment vertical="top"/>
    </xf>
    <xf numFmtId="0" fontId="22" fillId="0" borderId="0" xfId="0" applyFont="1" applyAlignment="1">
      <alignment horizontal="left" vertical="center" wrapText="1"/>
    </xf>
    <xf numFmtId="0" fontId="22" fillId="0" borderId="0" xfId="0" applyFont="1" applyAlignment="1">
      <alignment horizontal="left" vertical="center"/>
    </xf>
    <xf numFmtId="0" fontId="11" fillId="0" borderId="0" xfId="0" applyFont="1" applyAlignment="1">
      <alignment vertical="top" wrapText="1"/>
    </xf>
    <xf numFmtId="0" fontId="10" fillId="0" borderId="0" xfId="0" applyFont="1"/>
    <xf numFmtId="0" fontId="1" fillId="0" borderId="0" xfId="0" applyFont="1"/>
    <xf numFmtId="0" fontId="3" fillId="0" borderId="0" xfId="0" applyFont="1" applyAlignment="1">
      <alignment horizontal="left" vertical="top" wrapText="1"/>
    </xf>
    <xf numFmtId="3" fontId="3" fillId="0" borderId="0" xfId="0" applyNumberFormat="1" applyFont="1" applyAlignment="1">
      <alignment horizontal="center" vertical="top" wrapText="1"/>
    </xf>
    <xf numFmtId="3" fontId="1" fillId="0" borderId="0" xfId="0" applyNumberFormat="1" applyFont="1"/>
    <xf numFmtId="0" fontId="2" fillId="0" borderId="0" xfId="0" applyFont="1" applyAlignment="1" applyProtection="1">
      <alignment horizontal="left" vertical="top" wrapText="1"/>
      <protection locked="0"/>
    </xf>
    <xf numFmtId="3" fontId="2" fillId="0" borderId="0" xfId="0" applyNumberFormat="1" applyFont="1" applyAlignment="1">
      <alignment horizontal="center" vertical="top" wrapText="1"/>
    </xf>
    <xf numFmtId="0" fontId="3" fillId="0" borderId="0" xfId="0" applyFont="1" applyAlignment="1">
      <alignment horizontal="right" vertical="top" wrapText="1"/>
    </xf>
    <xf numFmtId="0" fontId="2" fillId="0" borderId="0" xfId="0" applyFont="1" applyAlignment="1">
      <alignment horizontal="left" vertical="top" wrapText="1"/>
    </xf>
    <xf numFmtId="0" fontId="1" fillId="0" borderId="0" xfId="0" quotePrefix="1" applyFont="1"/>
    <xf numFmtId="0" fontId="4" fillId="0" borderId="0" xfId="0" applyFont="1" applyAlignment="1">
      <alignment horizontal="right" vertical="top" wrapText="1"/>
    </xf>
    <xf numFmtId="3" fontId="4" fillId="0" borderId="0" xfId="0" applyNumberFormat="1" applyFont="1" applyAlignment="1">
      <alignment horizontal="center" vertical="top" wrapText="1"/>
    </xf>
    <xf numFmtId="0" fontId="25" fillId="0" borderId="0" xfId="0" applyFont="1"/>
    <xf numFmtId="0" fontId="24" fillId="0" borderId="0" xfId="0" applyFont="1" applyAlignment="1">
      <alignment vertical="center" wrapText="1"/>
    </xf>
    <xf numFmtId="0" fontId="26" fillId="0" borderId="0" xfId="1"/>
    <xf numFmtId="9" fontId="0" fillId="0" borderId="0" xfId="0" applyNumberFormat="1"/>
    <xf numFmtId="9" fontId="6" fillId="0" borderId="0" xfId="0" applyNumberFormat="1" applyFont="1"/>
    <xf numFmtId="0" fontId="27" fillId="0" borderId="0" xfId="0" applyFont="1"/>
    <xf numFmtId="0" fontId="27" fillId="0" borderId="0" xfId="0" applyFont="1" applyAlignment="1">
      <alignment horizontal="right"/>
    </xf>
    <xf numFmtId="0" fontId="0" fillId="0" borderId="0" xfId="0"/>
    <xf numFmtId="0" fontId="5" fillId="0" borderId="0" xfId="0" applyFont="1"/>
    <xf numFmtId="0" fontId="9" fillId="4" borderId="0" xfId="0" applyFont="1" applyFill="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0" fillId="9" borderId="0" xfId="0" applyFill="1"/>
    <xf numFmtId="14" fontId="0" fillId="9" borderId="0" xfId="0" applyNumberFormat="1" applyFill="1"/>
    <xf numFmtId="0" fontId="28" fillId="8" borderId="0" xfId="0" applyFont="1" applyFill="1"/>
    <xf numFmtId="0" fontId="9" fillId="4" borderId="0" xfId="0" applyFont="1" applyFill="1" applyAlignment="1">
      <alignment horizontal="center" vertical="center"/>
    </xf>
    <xf numFmtId="0" fontId="0" fillId="0" borderId="0" xfId="0"/>
    <xf numFmtId="0" fontId="6" fillId="10" borderId="0" xfId="0" applyFont="1" applyFill="1"/>
    <xf numFmtId="0" fontId="0" fillId="10" borderId="0" xfId="0" applyFill="1"/>
    <xf numFmtId="9" fontId="0" fillId="10" borderId="0" xfId="0" applyNumberFormat="1" applyFill="1"/>
    <xf numFmtId="0" fontId="0" fillId="11" borderId="0" xfId="0" applyFill="1"/>
    <xf numFmtId="9" fontId="0" fillId="11" borderId="0" xfId="0" applyNumberFormat="1" applyFill="1"/>
    <xf numFmtId="0" fontId="10" fillId="4" borderId="0" xfId="0" applyFont="1" applyFill="1"/>
    <xf numFmtId="0" fontId="7" fillId="12" borderId="0" xfId="0" applyFont="1" applyFill="1"/>
    <xf numFmtId="0" fontId="10" fillId="12" borderId="0" xfId="0" applyFont="1" applyFill="1"/>
    <xf numFmtId="9" fontId="10" fillId="12" borderId="0" xfId="0" applyNumberFormat="1" applyFont="1" applyFill="1"/>
    <xf numFmtId="9" fontId="7" fillId="12" borderId="0" xfId="0" applyNumberFormat="1" applyFont="1" applyFill="1"/>
    <xf numFmtId="0" fontId="18" fillId="0" borderId="0" xfId="0" applyFont="1" applyAlignment="1">
      <alignment horizontal="center" vertical="center" wrapText="1"/>
    </xf>
    <xf numFmtId="0" fontId="9" fillId="4" borderId="0" xfId="0" applyFont="1" applyFill="1" applyAlignment="1">
      <alignment horizontal="center" vertical="center"/>
    </xf>
    <xf numFmtId="0" fontId="0" fillId="0" borderId="0" xfId="0"/>
    <xf numFmtId="0" fontId="0" fillId="2" borderId="0" xfId="0" applyFill="1" applyAlignment="1">
      <alignment horizontal="center" vertical="center" wrapText="1"/>
    </xf>
    <xf numFmtId="0" fontId="30" fillId="0" borderId="0" xfId="0" applyFont="1" applyAlignment="1">
      <alignment horizontal="center" vertical="top" wrapText="1"/>
    </xf>
    <xf numFmtId="14" fontId="18" fillId="0" borderId="0" xfId="0" applyNumberFormat="1" applyFont="1" applyAlignment="1">
      <alignment horizontal="right" vertical="top" wrapText="1"/>
    </xf>
    <xf numFmtId="0" fontId="0" fillId="0" borderId="0" xfId="0" applyAlignment="1">
      <alignment horizontal="left" vertical="center" wrapText="1"/>
    </xf>
    <xf numFmtId="0" fontId="23" fillId="0" borderId="0" xfId="0" applyFont="1" applyAlignment="1">
      <alignment horizontal="center" vertical="top" wrapText="1"/>
    </xf>
    <xf numFmtId="0" fontId="24" fillId="0" borderId="0" xfId="0" applyFont="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top" wrapText="1"/>
    </xf>
    <xf numFmtId="0" fontId="20" fillId="7" borderId="0" xfId="0" applyFont="1" applyFill="1" applyAlignment="1">
      <alignment horizontal="center" vertical="center" wrapText="1"/>
    </xf>
    <xf numFmtId="0" fontId="0" fillId="0" borderId="0" xfId="0" applyAlignment="1">
      <alignment horizontal="center"/>
    </xf>
    <xf numFmtId="0" fontId="29" fillId="0" borderId="0" xfId="0" applyFont="1" applyAlignment="1">
      <alignment horizontal="center" wrapText="1"/>
    </xf>
    <xf numFmtId="0" fontId="0" fillId="0" borderId="0" xfId="0" applyAlignment="1">
      <alignment horizontal="center" vertical="center" wrapText="1"/>
    </xf>
    <xf numFmtId="0" fontId="0" fillId="0" borderId="0" xfId="0" applyAlignment="1">
      <alignment horizontal="left" vertical="top" wrapText="1"/>
    </xf>
    <xf numFmtId="0" fontId="11" fillId="7" borderId="0" xfId="0" applyFont="1" applyFill="1" applyAlignment="1">
      <alignment horizontal="center" vertical="center" wrapText="1"/>
    </xf>
    <xf numFmtId="0" fontId="11" fillId="0" borderId="0" xfId="0" applyFont="1" applyAlignment="1">
      <alignment horizontal="center" vertical="top" wrapText="1"/>
    </xf>
    <xf numFmtId="0" fontId="17" fillId="0" borderId="0" xfId="0" applyFont="1" applyAlignment="1">
      <alignment horizontal="center" vertical="top" wrapText="1"/>
    </xf>
  </cellXfs>
  <cellStyles count="2">
    <cellStyle name="Lien hypertexte" xfId="1" builtinId="8"/>
    <cellStyle name="Normal" xfId="0" builtinId="0"/>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s>
  <tableStyles count="2" defaultTableStyle="TableStyleMedium2" defaultPivotStyle="PivotStyleLight16">
    <tableStyle name="Style de tableau 1" pivot="0" count="3" xr9:uid="{00000000-0011-0000-FFFF-FFFF00000000}">
      <tableStyleElement type="headerRow" dxfId="10"/>
      <tableStyleElement type="firstRowStripe" dxfId="9"/>
      <tableStyleElement type="secondRowStripe" dxfId="8"/>
    </tableStyle>
    <tableStyle name="Style de tableau 1 2" pivot="0" count="3" xr9:uid="{00000000-0011-0000-FFFF-FFFF01000000}">
      <tableStyleElement type="headerRow" dxfId="7"/>
      <tableStyleElement type="firstRowStripe" dxfId="6"/>
      <tableStyleElement type="second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Graphique'!$C$2:$C$89</c:f>
              <c:numCache>
                <c:formatCode>General</c:formatCode>
                <c:ptCount val="88"/>
                <c:pt idx="0">
                  <c:v>29</c:v>
                </c:pt>
                <c:pt idx="1">
                  <c:v>24</c:v>
                </c:pt>
                <c:pt idx="2">
                  <c:v>28</c:v>
                </c:pt>
                <c:pt idx="3">
                  <c:v>24</c:v>
                </c:pt>
                <c:pt idx="4">
                  <c:v>17</c:v>
                </c:pt>
                <c:pt idx="5">
                  <c:v>17</c:v>
                </c:pt>
                <c:pt idx="6">
                  <c:v>17</c:v>
                </c:pt>
                <c:pt idx="7">
                  <c:v>17</c:v>
                </c:pt>
                <c:pt idx="8">
                  <c:v>17</c:v>
                </c:pt>
                <c:pt idx="9">
                  <c:v>17</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11</c:v>
                </c:pt>
                <c:pt idx="44">
                  <c:v>11</c:v>
                </c:pt>
                <c:pt idx="45">
                  <c:v>11</c:v>
                </c:pt>
                <c:pt idx="46">
                  <c:v>11</c:v>
                </c:pt>
                <c:pt idx="47">
                  <c:v>11</c:v>
                </c:pt>
                <c:pt idx="48">
                  <c:v>11</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8</c:v>
                </c:pt>
                <c:pt idx="65">
                  <c:v>8</c:v>
                </c:pt>
                <c:pt idx="66">
                  <c:v>8</c:v>
                </c:pt>
                <c:pt idx="67">
                  <c:v>8</c:v>
                </c:pt>
                <c:pt idx="68">
                  <c:v>8</c:v>
                </c:pt>
                <c:pt idx="69">
                  <c:v>8</c:v>
                </c:pt>
                <c:pt idx="70">
                  <c:v>19</c:v>
                </c:pt>
                <c:pt idx="71">
                  <c:v>19</c:v>
                </c:pt>
                <c:pt idx="72">
                  <c:v>8</c:v>
                </c:pt>
                <c:pt idx="73">
                  <c:v>8</c:v>
                </c:pt>
                <c:pt idx="74">
                  <c:v>8</c:v>
                </c:pt>
                <c:pt idx="75">
                  <c:v>8</c:v>
                </c:pt>
                <c:pt idx="76">
                  <c:v>8</c:v>
                </c:pt>
                <c:pt idx="77">
                  <c:v>8</c:v>
                </c:pt>
                <c:pt idx="78">
                  <c:v>8</c:v>
                </c:pt>
                <c:pt idx="79">
                  <c:v>8</c:v>
                </c:pt>
                <c:pt idx="80">
                  <c:v>8</c:v>
                </c:pt>
                <c:pt idx="81">
                  <c:v>8</c:v>
                </c:pt>
                <c:pt idx="82">
                  <c:v>16</c:v>
                </c:pt>
                <c:pt idx="83">
                  <c:v>15</c:v>
                </c:pt>
                <c:pt idx="84">
                  <c:v>19</c:v>
                </c:pt>
                <c:pt idx="85">
                  <c:v>15</c:v>
                </c:pt>
                <c:pt idx="86">
                  <c:v>19</c:v>
                </c:pt>
                <c:pt idx="87">
                  <c:v>15</c:v>
                </c:pt>
              </c:numCache>
            </c:numRef>
          </c:val>
          <c:extLst>
            <c:ext xmlns:c16="http://schemas.microsoft.com/office/drawing/2014/chart" uri="{C3380CC4-5D6E-409C-BE32-E72D297353CC}">
              <c16:uniqueId val="{00000001-2E49-4132-836E-5FB0A928CA4C}"/>
            </c:ext>
          </c:extLst>
        </c:ser>
        <c:ser>
          <c:idx val="1"/>
          <c:order val="1"/>
          <c:tx>
            <c:v>Terminaux</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Graphique'!$D$2:$D$89</c:f>
              <c:numCache>
                <c:formatCode>General</c:formatCode>
                <c:ptCount val="88"/>
                <c:pt idx="0">
                  <c:v>79</c:v>
                </c:pt>
                <c:pt idx="1">
                  <c:v>73</c:v>
                </c:pt>
                <c:pt idx="2">
                  <c:v>73</c:v>
                </c:pt>
                <c:pt idx="3">
                  <c:v>71</c:v>
                </c:pt>
                <c:pt idx="4">
                  <c:v>56</c:v>
                </c:pt>
                <c:pt idx="5">
                  <c:v>53</c:v>
                </c:pt>
                <c:pt idx="6">
                  <c:v>53</c:v>
                </c:pt>
                <c:pt idx="7">
                  <c:v>53</c:v>
                </c:pt>
                <c:pt idx="8">
                  <c:v>53</c:v>
                </c:pt>
                <c:pt idx="9">
                  <c:v>53</c:v>
                </c:pt>
                <c:pt idx="10">
                  <c:v>46</c:v>
                </c:pt>
                <c:pt idx="11">
                  <c:v>46</c:v>
                </c:pt>
                <c:pt idx="12">
                  <c:v>46</c:v>
                </c:pt>
                <c:pt idx="13">
                  <c:v>45</c:v>
                </c:pt>
                <c:pt idx="14">
                  <c:v>45</c:v>
                </c:pt>
                <c:pt idx="15">
                  <c:v>43</c:v>
                </c:pt>
                <c:pt idx="16">
                  <c:v>43</c:v>
                </c:pt>
                <c:pt idx="17">
                  <c:v>40</c:v>
                </c:pt>
                <c:pt idx="18">
                  <c:v>40</c:v>
                </c:pt>
                <c:pt idx="19">
                  <c:v>40</c:v>
                </c:pt>
                <c:pt idx="20">
                  <c:v>40</c:v>
                </c:pt>
                <c:pt idx="21">
                  <c:v>39</c:v>
                </c:pt>
                <c:pt idx="22">
                  <c:v>39</c:v>
                </c:pt>
                <c:pt idx="23">
                  <c:v>39</c:v>
                </c:pt>
                <c:pt idx="24">
                  <c:v>39</c:v>
                </c:pt>
                <c:pt idx="25">
                  <c:v>39</c:v>
                </c:pt>
                <c:pt idx="26">
                  <c:v>38</c:v>
                </c:pt>
                <c:pt idx="27">
                  <c:v>36</c:v>
                </c:pt>
                <c:pt idx="28">
                  <c:v>36</c:v>
                </c:pt>
                <c:pt idx="29">
                  <c:v>36</c:v>
                </c:pt>
                <c:pt idx="30">
                  <c:v>34</c:v>
                </c:pt>
                <c:pt idx="31">
                  <c:v>33</c:v>
                </c:pt>
                <c:pt idx="32">
                  <c:v>33</c:v>
                </c:pt>
                <c:pt idx="33">
                  <c:v>32</c:v>
                </c:pt>
                <c:pt idx="34">
                  <c:v>32</c:v>
                </c:pt>
                <c:pt idx="35">
                  <c:v>32</c:v>
                </c:pt>
                <c:pt idx="36">
                  <c:v>31</c:v>
                </c:pt>
                <c:pt idx="37">
                  <c:v>31</c:v>
                </c:pt>
                <c:pt idx="38">
                  <c:v>31</c:v>
                </c:pt>
                <c:pt idx="39">
                  <c:v>29</c:v>
                </c:pt>
                <c:pt idx="40">
                  <c:v>29</c:v>
                </c:pt>
                <c:pt idx="41">
                  <c:v>29</c:v>
                </c:pt>
                <c:pt idx="42">
                  <c:v>28</c:v>
                </c:pt>
                <c:pt idx="43">
                  <c:v>28</c:v>
                </c:pt>
                <c:pt idx="44">
                  <c:v>27</c:v>
                </c:pt>
                <c:pt idx="45">
                  <c:v>27</c:v>
                </c:pt>
                <c:pt idx="46">
                  <c:v>27</c:v>
                </c:pt>
                <c:pt idx="47">
                  <c:v>27</c:v>
                </c:pt>
                <c:pt idx="48">
                  <c:v>26</c:v>
                </c:pt>
                <c:pt idx="49">
                  <c:v>24</c:v>
                </c:pt>
                <c:pt idx="50">
                  <c:v>24</c:v>
                </c:pt>
                <c:pt idx="51">
                  <c:v>24</c:v>
                </c:pt>
                <c:pt idx="52">
                  <c:v>24</c:v>
                </c:pt>
                <c:pt idx="53">
                  <c:v>24</c:v>
                </c:pt>
                <c:pt idx="54">
                  <c:v>22</c:v>
                </c:pt>
                <c:pt idx="55">
                  <c:v>21</c:v>
                </c:pt>
                <c:pt idx="56">
                  <c:v>21</c:v>
                </c:pt>
                <c:pt idx="57">
                  <c:v>21</c:v>
                </c:pt>
                <c:pt idx="58">
                  <c:v>21</c:v>
                </c:pt>
                <c:pt idx="59">
                  <c:v>21</c:v>
                </c:pt>
                <c:pt idx="60">
                  <c:v>21</c:v>
                </c:pt>
                <c:pt idx="61">
                  <c:v>21</c:v>
                </c:pt>
                <c:pt idx="62">
                  <c:v>21</c:v>
                </c:pt>
                <c:pt idx="63">
                  <c:v>20</c:v>
                </c:pt>
                <c:pt idx="64">
                  <c:v>20</c:v>
                </c:pt>
                <c:pt idx="65">
                  <c:v>20</c:v>
                </c:pt>
                <c:pt idx="66">
                  <c:v>20</c:v>
                </c:pt>
                <c:pt idx="67">
                  <c:v>20</c:v>
                </c:pt>
                <c:pt idx="68">
                  <c:v>20</c:v>
                </c:pt>
                <c:pt idx="69">
                  <c:v>20</c:v>
                </c:pt>
                <c:pt idx="70">
                  <c:v>32</c:v>
                </c:pt>
                <c:pt idx="71">
                  <c:v>32</c:v>
                </c:pt>
                <c:pt idx="72">
                  <c:v>19</c:v>
                </c:pt>
                <c:pt idx="73">
                  <c:v>17</c:v>
                </c:pt>
                <c:pt idx="74">
                  <c:v>17</c:v>
                </c:pt>
                <c:pt idx="75">
                  <c:v>17</c:v>
                </c:pt>
                <c:pt idx="76">
                  <c:v>15</c:v>
                </c:pt>
                <c:pt idx="77">
                  <c:v>15</c:v>
                </c:pt>
                <c:pt idx="78">
                  <c:v>15</c:v>
                </c:pt>
                <c:pt idx="79">
                  <c:v>15</c:v>
                </c:pt>
                <c:pt idx="80">
                  <c:v>15</c:v>
                </c:pt>
                <c:pt idx="81">
                  <c:v>15</c:v>
                </c:pt>
                <c:pt idx="82">
                  <c:v>26</c:v>
                </c:pt>
                <c:pt idx="83">
                  <c:v>26</c:v>
                </c:pt>
                <c:pt idx="84">
                  <c:v>26</c:v>
                </c:pt>
                <c:pt idx="85">
                  <c:v>26</c:v>
                </c:pt>
                <c:pt idx="86">
                  <c:v>26</c:v>
                </c:pt>
                <c:pt idx="87">
                  <c:v>26</c:v>
                </c:pt>
              </c:numCache>
            </c:numRef>
          </c:val>
          <c:extLst>
            <c:ext xmlns:c16="http://schemas.microsoft.com/office/drawing/2014/chart" uri="{C3380CC4-5D6E-409C-BE32-E72D297353CC}">
              <c16:uniqueId val="{00000002-2E49-4132-836E-5FB0A928CA4C}"/>
            </c:ext>
          </c:extLst>
        </c:ser>
        <c:dLbls>
          <c:showLegendKey val="0"/>
          <c:showVal val="0"/>
          <c:showCatName val="0"/>
          <c:showSerName val="0"/>
          <c:showPercent val="0"/>
          <c:showBubbleSize val="0"/>
        </c:dLbls>
        <c:gapWidth val="150"/>
        <c:overlap val="100"/>
        <c:axId val="322499135"/>
        <c:axId val="322506335"/>
      </c:barChart>
      <c:catAx>
        <c:axId val="322499135"/>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322506335"/>
        <c:crosses val="autoZero"/>
        <c:auto val="1"/>
        <c:lblAlgn val="ctr"/>
        <c:lblOffset val="100"/>
        <c:noMultiLvlLbl val="0"/>
      </c:catAx>
      <c:valAx>
        <c:axId val="322506335"/>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322499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Graphique'!$G$2:$G$177</c:f>
              <c:numCache>
                <c:formatCode>General</c:formatCode>
                <c:ptCount val="176"/>
                <c:pt idx="0">
                  <c:v>6</c:v>
                </c:pt>
                <c:pt idx="2">
                  <c:v>5</c:v>
                </c:pt>
                <c:pt idx="4">
                  <c:v>6</c:v>
                </c:pt>
                <c:pt idx="6">
                  <c:v>5</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6</c:v>
                </c:pt>
                <c:pt idx="142">
                  <c:v>6</c:v>
                </c:pt>
                <c:pt idx="144">
                  <c:v>3</c:v>
                </c:pt>
                <c:pt idx="146">
                  <c:v>3</c:v>
                </c:pt>
                <c:pt idx="148">
                  <c:v>3</c:v>
                </c:pt>
                <c:pt idx="150">
                  <c:v>3</c:v>
                </c:pt>
                <c:pt idx="152">
                  <c:v>3</c:v>
                </c:pt>
                <c:pt idx="154">
                  <c:v>3</c:v>
                </c:pt>
                <c:pt idx="156">
                  <c:v>3</c:v>
                </c:pt>
                <c:pt idx="158">
                  <c:v>3</c:v>
                </c:pt>
                <c:pt idx="160">
                  <c:v>3</c:v>
                </c:pt>
                <c:pt idx="162">
                  <c:v>3</c:v>
                </c:pt>
                <c:pt idx="164">
                  <c:v>5</c:v>
                </c:pt>
                <c:pt idx="166">
                  <c:v>5</c:v>
                </c:pt>
                <c:pt idx="168">
                  <c:v>6</c:v>
                </c:pt>
                <c:pt idx="170">
                  <c:v>5</c:v>
                </c:pt>
                <c:pt idx="172">
                  <c:v>6</c:v>
                </c:pt>
                <c:pt idx="174">
                  <c:v>5</c:v>
                </c:pt>
              </c:numCache>
            </c:numRef>
          </c:val>
          <c:extLst>
            <c:ext xmlns:c16="http://schemas.microsoft.com/office/drawing/2014/chart" uri="{C3380CC4-5D6E-409C-BE32-E72D297353CC}">
              <c16:uniqueId val="{00000001-3F9A-4718-A099-3D3C32B606B9}"/>
            </c:ext>
          </c:extLst>
        </c:ser>
        <c:ser>
          <c:idx val="1"/>
          <c:order val="1"/>
          <c:tx>
            <c:v>Camions 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Graphique'!$H$2:$H$177</c:f>
              <c:numCache>
                <c:formatCode>General</c:formatCode>
                <c:ptCount val="176"/>
                <c:pt idx="0">
                  <c:v>5</c:v>
                </c:pt>
                <c:pt idx="2">
                  <c:v>5</c:v>
                </c:pt>
                <c:pt idx="4">
                  <c:v>5</c:v>
                </c:pt>
                <c:pt idx="6">
                  <c:v>5</c:v>
                </c:pt>
                <c:pt idx="8">
                  <c:v>5</c:v>
                </c:pt>
                <c:pt idx="10">
                  <c:v>5</c:v>
                </c:pt>
                <c:pt idx="12">
                  <c:v>5</c:v>
                </c:pt>
                <c:pt idx="14">
                  <c:v>5</c:v>
                </c:pt>
                <c:pt idx="16">
                  <c:v>5</c:v>
                </c:pt>
                <c:pt idx="18">
                  <c:v>5</c:v>
                </c:pt>
                <c:pt idx="20">
                  <c:v>5</c:v>
                </c:pt>
                <c:pt idx="22">
                  <c:v>5</c:v>
                </c:pt>
                <c:pt idx="24">
                  <c:v>5</c:v>
                </c:pt>
                <c:pt idx="26">
                  <c:v>5</c:v>
                </c:pt>
                <c:pt idx="28">
                  <c:v>5</c:v>
                </c:pt>
                <c:pt idx="30">
                  <c:v>5</c:v>
                </c:pt>
                <c:pt idx="32">
                  <c:v>5</c:v>
                </c:pt>
                <c:pt idx="34">
                  <c:v>5</c:v>
                </c:pt>
                <c:pt idx="36">
                  <c:v>5</c:v>
                </c:pt>
                <c:pt idx="38">
                  <c:v>5</c:v>
                </c:pt>
                <c:pt idx="40">
                  <c:v>5</c:v>
                </c:pt>
                <c:pt idx="42">
                  <c:v>5</c:v>
                </c:pt>
                <c:pt idx="44">
                  <c:v>5</c:v>
                </c:pt>
                <c:pt idx="46">
                  <c:v>5</c:v>
                </c:pt>
                <c:pt idx="48">
                  <c:v>5</c:v>
                </c:pt>
                <c:pt idx="50">
                  <c:v>5</c:v>
                </c:pt>
                <c:pt idx="52">
                  <c:v>5</c:v>
                </c:pt>
                <c:pt idx="54">
                  <c:v>5</c:v>
                </c:pt>
                <c:pt idx="56">
                  <c:v>5</c:v>
                </c:pt>
                <c:pt idx="58">
                  <c:v>5</c:v>
                </c:pt>
                <c:pt idx="60">
                  <c:v>5</c:v>
                </c:pt>
                <c:pt idx="62">
                  <c:v>5</c:v>
                </c:pt>
                <c:pt idx="64">
                  <c:v>5</c:v>
                </c:pt>
                <c:pt idx="66">
                  <c:v>5</c:v>
                </c:pt>
                <c:pt idx="68">
                  <c:v>5</c:v>
                </c:pt>
                <c:pt idx="70">
                  <c:v>5</c:v>
                </c:pt>
                <c:pt idx="72">
                  <c:v>5</c:v>
                </c:pt>
                <c:pt idx="74">
                  <c:v>5</c:v>
                </c:pt>
                <c:pt idx="76">
                  <c:v>5</c:v>
                </c:pt>
                <c:pt idx="78">
                  <c:v>5</c:v>
                </c:pt>
                <c:pt idx="80">
                  <c:v>5</c:v>
                </c:pt>
                <c:pt idx="82">
                  <c:v>5</c:v>
                </c:pt>
                <c:pt idx="84">
                  <c:v>5</c:v>
                </c:pt>
                <c:pt idx="86">
                  <c:v>5</c:v>
                </c:pt>
                <c:pt idx="88">
                  <c:v>5</c:v>
                </c:pt>
                <c:pt idx="90">
                  <c:v>5</c:v>
                </c:pt>
                <c:pt idx="92">
                  <c:v>5</c:v>
                </c:pt>
                <c:pt idx="94">
                  <c:v>5</c:v>
                </c:pt>
                <c:pt idx="96">
                  <c:v>5</c:v>
                </c:pt>
                <c:pt idx="98">
                  <c:v>5</c:v>
                </c:pt>
                <c:pt idx="100">
                  <c:v>5</c:v>
                </c:pt>
                <c:pt idx="102">
                  <c:v>5</c:v>
                </c:pt>
                <c:pt idx="104">
                  <c:v>5</c:v>
                </c:pt>
                <c:pt idx="106">
                  <c:v>5</c:v>
                </c:pt>
                <c:pt idx="108">
                  <c:v>5</c:v>
                </c:pt>
                <c:pt idx="110">
                  <c:v>5</c:v>
                </c:pt>
                <c:pt idx="112">
                  <c:v>5</c:v>
                </c:pt>
                <c:pt idx="114">
                  <c:v>5</c:v>
                </c:pt>
                <c:pt idx="116">
                  <c:v>5</c:v>
                </c:pt>
                <c:pt idx="118">
                  <c:v>5</c:v>
                </c:pt>
                <c:pt idx="120">
                  <c:v>5</c:v>
                </c:pt>
                <c:pt idx="122">
                  <c:v>5</c:v>
                </c:pt>
                <c:pt idx="124">
                  <c:v>5</c:v>
                </c:pt>
                <c:pt idx="126">
                  <c:v>5</c:v>
                </c:pt>
                <c:pt idx="128">
                  <c:v>5</c:v>
                </c:pt>
                <c:pt idx="130">
                  <c:v>5</c:v>
                </c:pt>
                <c:pt idx="132">
                  <c:v>5</c:v>
                </c:pt>
                <c:pt idx="134">
                  <c:v>5</c:v>
                </c:pt>
                <c:pt idx="136">
                  <c:v>5</c:v>
                </c:pt>
                <c:pt idx="138">
                  <c:v>5</c:v>
                </c:pt>
                <c:pt idx="140">
                  <c:v>5</c:v>
                </c:pt>
                <c:pt idx="142">
                  <c:v>5</c:v>
                </c:pt>
                <c:pt idx="144">
                  <c:v>5</c:v>
                </c:pt>
                <c:pt idx="146">
                  <c:v>5</c:v>
                </c:pt>
                <c:pt idx="148">
                  <c:v>5</c:v>
                </c:pt>
                <c:pt idx="150">
                  <c:v>5</c:v>
                </c:pt>
                <c:pt idx="152">
                  <c:v>5</c:v>
                </c:pt>
                <c:pt idx="154">
                  <c:v>5</c:v>
                </c:pt>
                <c:pt idx="156">
                  <c:v>5</c:v>
                </c:pt>
                <c:pt idx="158">
                  <c:v>5</c:v>
                </c:pt>
                <c:pt idx="160">
                  <c:v>5</c:v>
                </c:pt>
                <c:pt idx="162">
                  <c:v>5</c:v>
                </c:pt>
                <c:pt idx="164">
                  <c:v>5</c:v>
                </c:pt>
                <c:pt idx="166">
                  <c:v>5</c:v>
                </c:pt>
                <c:pt idx="168">
                  <c:v>5</c:v>
                </c:pt>
                <c:pt idx="170">
                  <c:v>5</c:v>
                </c:pt>
                <c:pt idx="172">
                  <c:v>5</c:v>
                </c:pt>
                <c:pt idx="174">
                  <c:v>5</c:v>
                </c:pt>
              </c:numCache>
            </c:numRef>
          </c:val>
          <c:extLst>
            <c:ext xmlns:c16="http://schemas.microsoft.com/office/drawing/2014/chart" uri="{C3380CC4-5D6E-409C-BE32-E72D297353CC}">
              <c16:uniqueId val="{00000002-3F9A-4718-A099-3D3C32B606B9}"/>
            </c:ext>
          </c:extLst>
        </c:ser>
        <c:dLbls>
          <c:showLegendKey val="0"/>
          <c:showVal val="0"/>
          <c:showCatName val="0"/>
          <c:showSerName val="0"/>
          <c:showPercent val="0"/>
          <c:showBubbleSize val="0"/>
        </c:dLbls>
        <c:gapWidth val="150"/>
        <c:overlap val="100"/>
        <c:axId val="322502495"/>
        <c:axId val="322499615"/>
      </c:barChart>
      <c:catAx>
        <c:axId val="322502495"/>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322499615"/>
        <c:crosses val="autoZero"/>
        <c:auto val="1"/>
        <c:lblAlgn val="ctr"/>
        <c:lblOffset val="100"/>
        <c:noMultiLvlLbl val="0"/>
      </c:catAx>
      <c:valAx>
        <c:axId val="322499615"/>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32250249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Graphique'!$I$3:$I$177</c:f>
              <c:numCache>
                <c:formatCode>General</c:formatCode>
                <c:ptCount val="175"/>
                <c:pt idx="0">
                  <c:v>5</c:v>
                </c:pt>
                <c:pt idx="2">
                  <c:v>4</c:v>
                </c:pt>
                <c:pt idx="4">
                  <c:v>5</c:v>
                </c:pt>
                <c:pt idx="6">
                  <c:v>4</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5</c:v>
                </c:pt>
                <c:pt idx="142">
                  <c:v>5</c:v>
                </c:pt>
                <c:pt idx="144">
                  <c:v>3</c:v>
                </c:pt>
                <c:pt idx="146">
                  <c:v>3</c:v>
                </c:pt>
                <c:pt idx="148">
                  <c:v>3</c:v>
                </c:pt>
                <c:pt idx="150">
                  <c:v>3</c:v>
                </c:pt>
                <c:pt idx="152">
                  <c:v>3</c:v>
                </c:pt>
                <c:pt idx="154">
                  <c:v>3</c:v>
                </c:pt>
                <c:pt idx="156">
                  <c:v>3</c:v>
                </c:pt>
                <c:pt idx="158">
                  <c:v>3</c:v>
                </c:pt>
                <c:pt idx="160">
                  <c:v>3</c:v>
                </c:pt>
                <c:pt idx="162">
                  <c:v>3</c:v>
                </c:pt>
                <c:pt idx="164">
                  <c:v>5</c:v>
                </c:pt>
                <c:pt idx="166">
                  <c:v>4</c:v>
                </c:pt>
                <c:pt idx="168">
                  <c:v>5</c:v>
                </c:pt>
                <c:pt idx="170">
                  <c:v>4</c:v>
                </c:pt>
                <c:pt idx="172">
                  <c:v>5</c:v>
                </c:pt>
                <c:pt idx="174">
                  <c:v>4</c:v>
                </c:pt>
              </c:numCache>
            </c:numRef>
          </c:val>
          <c:extLst>
            <c:ext xmlns:c16="http://schemas.microsoft.com/office/drawing/2014/chart" uri="{C3380CC4-5D6E-409C-BE32-E72D297353CC}">
              <c16:uniqueId val="{00000001-A69D-4DDA-BA02-717A1662889E}"/>
            </c:ext>
          </c:extLst>
        </c:ser>
        <c:ser>
          <c:idx val="1"/>
          <c:order val="1"/>
          <c:tx>
            <c:v>Camions 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Graphique'!$J$3:$J$177</c:f>
              <c:numCache>
                <c:formatCode>General</c:formatCode>
                <c:ptCount val="175"/>
                <c:pt idx="0">
                  <c:v>4</c:v>
                </c:pt>
                <c:pt idx="2">
                  <c:v>4</c:v>
                </c:pt>
                <c:pt idx="4">
                  <c:v>4</c:v>
                </c:pt>
                <c:pt idx="6">
                  <c:v>4</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2</c:v>
                </c:pt>
                <c:pt idx="56">
                  <c:v>2</c:v>
                </c:pt>
                <c:pt idx="58">
                  <c:v>2</c:v>
                </c:pt>
                <c:pt idx="60">
                  <c:v>2</c:v>
                </c:pt>
                <c:pt idx="62">
                  <c:v>2</c:v>
                </c:pt>
                <c:pt idx="64">
                  <c:v>2</c:v>
                </c:pt>
                <c:pt idx="66">
                  <c:v>2</c:v>
                </c:pt>
                <c:pt idx="68">
                  <c:v>2</c:v>
                </c:pt>
                <c:pt idx="70">
                  <c:v>2</c:v>
                </c:pt>
                <c:pt idx="72">
                  <c:v>2</c:v>
                </c:pt>
                <c:pt idx="74">
                  <c:v>2</c:v>
                </c:pt>
                <c:pt idx="76">
                  <c:v>2</c:v>
                </c:pt>
                <c:pt idx="78">
                  <c:v>2</c:v>
                </c:pt>
                <c:pt idx="80">
                  <c:v>2</c:v>
                </c:pt>
                <c:pt idx="82">
                  <c:v>2</c:v>
                </c:pt>
                <c:pt idx="84">
                  <c:v>2</c:v>
                </c:pt>
                <c:pt idx="86">
                  <c:v>2</c:v>
                </c:pt>
                <c:pt idx="88">
                  <c:v>2</c:v>
                </c:pt>
                <c:pt idx="90">
                  <c:v>2</c:v>
                </c:pt>
                <c:pt idx="92">
                  <c:v>2</c:v>
                </c:pt>
                <c:pt idx="94">
                  <c:v>2</c:v>
                </c:pt>
                <c:pt idx="96">
                  <c:v>2</c:v>
                </c:pt>
                <c:pt idx="98">
                  <c:v>2</c:v>
                </c:pt>
                <c:pt idx="100">
                  <c:v>2</c:v>
                </c:pt>
                <c:pt idx="102">
                  <c:v>2</c:v>
                </c:pt>
                <c:pt idx="104">
                  <c:v>2</c:v>
                </c:pt>
                <c:pt idx="106">
                  <c:v>2</c:v>
                </c:pt>
                <c:pt idx="108">
                  <c:v>2</c:v>
                </c:pt>
                <c:pt idx="110">
                  <c:v>2</c:v>
                </c:pt>
                <c:pt idx="112">
                  <c:v>2</c:v>
                </c:pt>
                <c:pt idx="114">
                  <c:v>2</c:v>
                </c:pt>
                <c:pt idx="116">
                  <c:v>2</c:v>
                </c:pt>
                <c:pt idx="118">
                  <c:v>2</c:v>
                </c:pt>
                <c:pt idx="120">
                  <c:v>2</c:v>
                </c:pt>
                <c:pt idx="122">
                  <c:v>2</c:v>
                </c:pt>
                <c:pt idx="124">
                  <c:v>2</c:v>
                </c:pt>
                <c:pt idx="126">
                  <c:v>2</c:v>
                </c:pt>
                <c:pt idx="128">
                  <c:v>2</c:v>
                </c:pt>
                <c:pt idx="130">
                  <c:v>2</c:v>
                </c:pt>
                <c:pt idx="132">
                  <c:v>2</c:v>
                </c:pt>
                <c:pt idx="134">
                  <c:v>2</c:v>
                </c:pt>
                <c:pt idx="136">
                  <c:v>2</c:v>
                </c:pt>
                <c:pt idx="138">
                  <c:v>2</c:v>
                </c:pt>
                <c:pt idx="140">
                  <c:v>2</c:v>
                </c:pt>
                <c:pt idx="142">
                  <c:v>2</c:v>
                </c:pt>
                <c:pt idx="144">
                  <c:v>2</c:v>
                </c:pt>
                <c:pt idx="146">
                  <c:v>2</c:v>
                </c:pt>
                <c:pt idx="148">
                  <c:v>2</c:v>
                </c:pt>
                <c:pt idx="150">
                  <c:v>2</c:v>
                </c:pt>
                <c:pt idx="152">
                  <c:v>2</c:v>
                </c:pt>
                <c:pt idx="154">
                  <c:v>2</c:v>
                </c:pt>
                <c:pt idx="156">
                  <c:v>2</c:v>
                </c:pt>
                <c:pt idx="158">
                  <c:v>2</c:v>
                </c:pt>
                <c:pt idx="160">
                  <c:v>2</c:v>
                </c:pt>
                <c:pt idx="162">
                  <c:v>2</c:v>
                </c:pt>
                <c:pt idx="164">
                  <c:v>2</c:v>
                </c:pt>
                <c:pt idx="166">
                  <c:v>2</c:v>
                </c:pt>
                <c:pt idx="168">
                  <c:v>2</c:v>
                </c:pt>
                <c:pt idx="170">
                  <c:v>2</c:v>
                </c:pt>
                <c:pt idx="172">
                  <c:v>2</c:v>
                </c:pt>
                <c:pt idx="174">
                  <c:v>2</c:v>
                </c:pt>
              </c:numCache>
            </c:numRef>
          </c:val>
          <c:extLst>
            <c:ext xmlns:c16="http://schemas.microsoft.com/office/drawing/2014/chart" uri="{C3380CC4-5D6E-409C-BE32-E72D297353CC}">
              <c16:uniqueId val="{00000002-A69D-4DDA-BA02-717A1662889E}"/>
            </c:ext>
          </c:extLst>
        </c:ser>
        <c:dLbls>
          <c:showLegendKey val="0"/>
          <c:showVal val="0"/>
          <c:showCatName val="0"/>
          <c:showSerName val="0"/>
          <c:showPercent val="0"/>
          <c:showBubbleSize val="0"/>
        </c:dLbls>
        <c:gapWidth val="150"/>
        <c:overlap val="100"/>
        <c:axId val="322502975"/>
        <c:axId val="322514015"/>
      </c:barChart>
      <c:catAx>
        <c:axId val="322502975"/>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322514015"/>
        <c:crosses val="autoZero"/>
        <c:auto val="1"/>
        <c:lblAlgn val="ctr"/>
        <c:lblOffset val="100"/>
        <c:noMultiLvlLbl val="0"/>
      </c:catAx>
      <c:valAx>
        <c:axId val="322514015"/>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32250297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Graphique'!$G$2:$G$177</c:f>
              <c:numCache>
                <c:formatCode>General</c:formatCode>
                <c:ptCount val="176"/>
                <c:pt idx="0">
                  <c:v>6</c:v>
                </c:pt>
                <c:pt idx="2">
                  <c:v>5</c:v>
                </c:pt>
                <c:pt idx="4">
                  <c:v>6</c:v>
                </c:pt>
                <c:pt idx="6">
                  <c:v>5</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6</c:v>
                </c:pt>
                <c:pt idx="142">
                  <c:v>6</c:v>
                </c:pt>
                <c:pt idx="144">
                  <c:v>3</c:v>
                </c:pt>
                <c:pt idx="146">
                  <c:v>3</c:v>
                </c:pt>
                <c:pt idx="148">
                  <c:v>3</c:v>
                </c:pt>
                <c:pt idx="150">
                  <c:v>3</c:v>
                </c:pt>
                <c:pt idx="152">
                  <c:v>3</c:v>
                </c:pt>
                <c:pt idx="154">
                  <c:v>3</c:v>
                </c:pt>
                <c:pt idx="156">
                  <c:v>3</c:v>
                </c:pt>
                <c:pt idx="158">
                  <c:v>3</c:v>
                </c:pt>
                <c:pt idx="160">
                  <c:v>3</c:v>
                </c:pt>
                <c:pt idx="162">
                  <c:v>3</c:v>
                </c:pt>
                <c:pt idx="164">
                  <c:v>5</c:v>
                </c:pt>
                <c:pt idx="166">
                  <c:v>5</c:v>
                </c:pt>
                <c:pt idx="168">
                  <c:v>6</c:v>
                </c:pt>
                <c:pt idx="170">
                  <c:v>5</c:v>
                </c:pt>
                <c:pt idx="172">
                  <c:v>6</c:v>
                </c:pt>
                <c:pt idx="174">
                  <c:v>5</c:v>
                </c:pt>
              </c:numCache>
            </c:numRef>
          </c:val>
          <c:extLst>
            <c:ext xmlns:c16="http://schemas.microsoft.com/office/drawing/2014/chart" uri="{C3380CC4-5D6E-409C-BE32-E72D297353CC}">
              <c16:uniqueId val="{00000001-0C17-43F4-A77B-81DB6457DCE2}"/>
            </c:ext>
          </c:extLst>
        </c:ser>
        <c:ser>
          <c:idx val="1"/>
          <c:order val="1"/>
          <c:tx>
            <c:v>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Graphique'!$H$2:$H$177</c:f>
              <c:numCache>
                <c:formatCode>General</c:formatCode>
                <c:ptCount val="176"/>
                <c:pt idx="0">
                  <c:v>5</c:v>
                </c:pt>
                <c:pt idx="2">
                  <c:v>5</c:v>
                </c:pt>
                <c:pt idx="4">
                  <c:v>5</c:v>
                </c:pt>
                <c:pt idx="6">
                  <c:v>5</c:v>
                </c:pt>
                <c:pt idx="8">
                  <c:v>5</c:v>
                </c:pt>
                <c:pt idx="10">
                  <c:v>5</c:v>
                </c:pt>
                <c:pt idx="12">
                  <c:v>5</c:v>
                </c:pt>
                <c:pt idx="14">
                  <c:v>5</c:v>
                </c:pt>
                <c:pt idx="16">
                  <c:v>5</c:v>
                </c:pt>
                <c:pt idx="18">
                  <c:v>5</c:v>
                </c:pt>
                <c:pt idx="20">
                  <c:v>5</c:v>
                </c:pt>
                <c:pt idx="22">
                  <c:v>5</c:v>
                </c:pt>
                <c:pt idx="24">
                  <c:v>5</c:v>
                </c:pt>
                <c:pt idx="26">
                  <c:v>5</c:v>
                </c:pt>
                <c:pt idx="28">
                  <c:v>5</c:v>
                </c:pt>
                <c:pt idx="30">
                  <c:v>5</c:v>
                </c:pt>
                <c:pt idx="32">
                  <c:v>5</c:v>
                </c:pt>
                <c:pt idx="34">
                  <c:v>5</c:v>
                </c:pt>
                <c:pt idx="36">
                  <c:v>5</c:v>
                </c:pt>
                <c:pt idx="38">
                  <c:v>5</c:v>
                </c:pt>
                <c:pt idx="40">
                  <c:v>5</c:v>
                </c:pt>
                <c:pt idx="42">
                  <c:v>5</c:v>
                </c:pt>
                <c:pt idx="44">
                  <c:v>5</c:v>
                </c:pt>
                <c:pt idx="46">
                  <c:v>5</c:v>
                </c:pt>
                <c:pt idx="48">
                  <c:v>5</c:v>
                </c:pt>
                <c:pt idx="50">
                  <c:v>5</c:v>
                </c:pt>
                <c:pt idx="52">
                  <c:v>5</c:v>
                </c:pt>
                <c:pt idx="54">
                  <c:v>5</c:v>
                </c:pt>
                <c:pt idx="56">
                  <c:v>5</c:v>
                </c:pt>
                <c:pt idx="58">
                  <c:v>5</c:v>
                </c:pt>
                <c:pt idx="60">
                  <c:v>5</c:v>
                </c:pt>
                <c:pt idx="62">
                  <c:v>5</c:v>
                </c:pt>
                <c:pt idx="64">
                  <c:v>5</c:v>
                </c:pt>
                <c:pt idx="66">
                  <c:v>5</c:v>
                </c:pt>
                <c:pt idx="68">
                  <c:v>5</c:v>
                </c:pt>
                <c:pt idx="70">
                  <c:v>5</c:v>
                </c:pt>
                <c:pt idx="72">
                  <c:v>5</c:v>
                </c:pt>
                <c:pt idx="74">
                  <c:v>5</c:v>
                </c:pt>
                <c:pt idx="76">
                  <c:v>5</c:v>
                </c:pt>
                <c:pt idx="78">
                  <c:v>5</c:v>
                </c:pt>
                <c:pt idx="80">
                  <c:v>5</c:v>
                </c:pt>
                <c:pt idx="82">
                  <c:v>5</c:v>
                </c:pt>
                <c:pt idx="84">
                  <c:v>5</c:v>
                </c:pt>
                <c:pt idx="86">
                  <c:v>5</c:v>
                </c:pt>
                <c:pt idx="88">
                  <c:v>5</c:v>
                </c:pt>
                <c:pt idx="90">
                  <c:v>5</c:v>
                </c:pt>
                <c:pt idx="92">
                  <c:v>5</c:v>
                </c:pt>
                <c:pt idx="94">
                  <c:v>5</c:v>
                </c:pt>
                <c:pt idx="96">
                  <c:v>5</c:v>
                </c:pt>
                <c:pt idx="98">
                  <c:v>5</c:v>
                </c:pt>
                <c:pt idx="100">
                  <c:v>5</c:v>
                </c:pt>
                <c:pt idx="102">
                  <c:v>5</c:v>
                </c:pt>
                <c:pt idx="104">
                  <c:v>5</c:v>
                </c:pt>
                <c:pt idx="106">
                  <c:v>5</c:v>
                </c:pt>
                <c:pt idx="108">
                  <c:v>5</c:v>
                </c:pt>
                <c:pt idx="110">
                  <c:v>5</c:v>
                </c:pt>
                <c:pt idx="112">
                  <c:v>5</c:v>
                </c:pt>
                <c:pt idx="114">
                  <c:v>5</c:v>
                </c:pt>
                <c:pt idx="116">
                  <c:v>5</c:v>
                </c:pt>
                <c:pt idx="118">
                  <c:v>5</c:v>
                </c:pt>
                <c:pt idx="120">
                  <c:v>5</c:v>
                </c:pt>
                <c:pt idx="122">
                  <c:v>5</c:v>
                </c:pt>
                <c:pt idx="124">
                  <c:v>5</c:v>
                </c:pt>
                <c:pt idx="126">
                  <c:v>5</c:v>
                </c:pt>
                <c:pt idx="128">
                  <c:v>5</c:v>
                </c:pt>
                <c:pt idx="130">
                  <c:v>5</c:v>
                </c:pt>
                <c:pt idx="132">
                  <c:v>5</c:v>
                </c:pt>
                <c:pt idx="134">
                  <c:v>5</c:v>
                </c:pt>
                <c:pt idx="136">
                  <c:v>5</c:v>
                </c:pt>
                <c:pt idx="138">
                  <c:v>5</c:v>
                </c:pt>
                <c:pt idx="140">
                  <c:v>5</c:v>
                </c:pt>
                <c:pt idx="142">
                  <c:v>5</c:v>
                </c:pt>
                <c:pt idx="144">
                  <c:v>5</c:v>
                </c:pt>
                <c:pt idx="146">
                  <c:v>5</c:v>
                </c:pt>
                <c:pt idx="148">
                  <c:v>5</c:v>
                </c:pt>
                <c:pt idx="150">
                  <c:v>5</c:v>
                </c:pt>
                <c:pt idx="152">
                  <c:v>5</c:v>
                </c:pt>
                <c:pt idx="154">
                  <c:v>5</c:v>
                </c:pt>
                <c:pt idx="156">
                  <c:v>5</c:v>
                </c:pt>
                <c:pt idx="158">
                  <c:v>5</c:v>
                </c:pt>
                <c:pt idx="160">
                  <c:v>5</c:v>
                </c:pt>
                <c:pt idx="162">
                  <c:v>5</c:v>
                </c:pt>
                <c:pt idx="164">
                  <c:v>5</c:v>
                </c:pt>
                <c:pt idx="166">
                  <c:v>5</c:v>
                </c:pt>
                <c:pt idx="168">
                  <c:v>5</c:v>
                </c:pt>
                <c:pt idx="170">
                  <c:v>5</c:v>
                </c:pt>
                <c:pt idx="172">
                  <c:v>5</c:v>
                </c:pt>
                <c:pt idx="174">
                  <c:v>5</c:v>
                </c:pt>
              </c:numCache>
            </c:numRef>
          </c:val>
          <c:extLst>
            <c:ext xmlns:c16="http://schemas.microsoft.com/office/drawing/2014/chart" uri="{C3380CC4-5D6E-409C-BE32-E72D297353CC}">
              <c16:uniqueId val="{00000002-0C17-43F4-A77B-81DB6457DCE2}"/>
            </c:ext>
          </c:extLst>
        </c:ser>
        <c:ser>
          <c:idx val="2"/>
          <c:order val="2"/>
          <c:tx>
            <c:v>Production Opti</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Graphique'!$I$2:$I$177</c:f>
              <c:numCache>
                <c:formatCode>General</c:formatCode>
                <c:ptCount val="176"/>
                <c:pt idx="1">
                  <c:v>5</c:v>
                </c:pt>
                <c:pt idx="3">
                  <c:v>4</c:v>
                </c:pt>
                <c:pt idx="5">
                  <c:v>5</c:v>
                </c:pt>
                <c:pt idx="7">
                  <c:v>4</c:v>
                </c:pt>
                <c:pt idx="9">
                  <c:v>3</c:v>
                </c:pt>
                <c:pt idx="11">
                  <c:v>3</c:v>
                </c:pt>
                <c:pt idx="13">
                  <c:v>3</c:v>
                </c:pt>
                <c:pt idx="15">
                  <c:v>3</c:v>
                </c:pt>
                <c:pt idx="17">
                  <c:v>3</c:v>
                </c:pt>
                <c:pt idx="19">
                  <c:v>3</c:v>
                </c:pt>
                <c:pt idx="21">
                  <c:v>3</c:v>
                </c:pt>
                <c:pt idx="23">
                  <c:v>3</c:v>
                </c:pt>
                <c:pt idx="25">
                  <c:v>3</c:v>
                </c:pt>
                <c:pt idx="27">
                  <c:v>3</c:v>
                </c:pt>
                <c:pt idx="29">
                  <c:v>3</c:v>
                </c:pt>
                <c:pt idx="31">
                  <c:v>3</c:v>
                </c:pt>
                <c:pt idx="33">
                  <c:v>3</c:v>
                </c:pt>
                <c:pt idx="35">
                  <c:v>3</c:v>
                </c:pt>
                <c:pt idx="37">
                  <c:v>3</c:v>
                </c:pt>
                <c:pt idx="39">
                  <c:v>3</c:v>
                </c:pt>
                <c:pt idx="41">
                  <c:v>3</c:v>
                </c:pt>
                <c:pt idx="43">
                  <c:v>3</c:v>
                </c:pt>
                <c:pt idx="45">
                  <c:v>3</c:v>
                </c:pt>
                <c:pt idx="47">
                  <c:v>3</c:v>
                </c:pt>
                <c:pt idx="49">
                  <c:v>3</c:v>
                </c:pt>
                <c:pt idx="51">
                  <c:v>3</c:v>
                </c:pt>
                <c:pt idx="53">
                  <c:v>3</c:v>
                </c:pt>
                <c:pt idx="55">
                  <c:v>3</c:v>
                </c:pt>
                <c:pt idx="57">
                  <c:v>3</c:v>
                </c:pt>
                <c:pt idx="59">
                  <c:v>3</c:v>
                </c:pt>
                <c:pt idx="61">
                  <c:v>3</c:v>
                </c:pt>
                <c:pt idx="63">
                  <c:v>3</c:v>
                </c:pt>
                <c:pt idx="65">
                  <c:v>3</c:v>
                </c:pt>
                <c:pt idx="67">
                  <c:v>3</c:v>
                </c:pt>
                <c:pt idx="69">
                  <c:v>3</c:v>
                </c:pt>
                <c:pt idx="71">
                  <c:v>3</c:v>
                </c:pt>
                <c:pt idx="73">
                  <c:v>3</c:v>
                </c:pt>
                <c:pt idx="75">
                  <c:v>3</c:v>
                </c:pt>
                <c:pt idx="77">
                  <c:v>3</c:v>
                </c:pt>
                <c:pt idx="79">
                  <c:v>3</c:v>
                </c:pt>
                <c:pt idx="81">
                  <c:v>3</c:v>
                </c:pt>
                <c:pt idx="83">
                  <c:v>3</c:v>
                </c:pt>
                <c:pt idx="85">
                  <c:v>3</c:v>
                </c:pt>
                <c:pt idx="87">
                  <c:v>3</c:v>
                </c:pt>
                <c:pt idx="89">
                  <c:v>3</c:v>
                </c:pt>
                <c:pt idx="91">
                  <c:v>3</c:v>
                </c:pt>
                <c:pt idx="93">
                  <c:v>3</c:v>
                </c:pt>
                <c:pt idx="95">
                  <c:v>3</c:v>
                </c:pt>
                <c:pt idx="97">
                  <c:v>3</c:v>
                </c:pt>
                <c:pt idx="99">
                  <c:v>3</c:v>
                </c:pt>
                <c:pt idx="101">
                  <c:v>3</c:v>
                </c:pt>
                <c:pt idx="103">
                  <c:v>3</c:v>
                </c:pt>
                <c:pt idx="105">
                  <c:v>3</c:v>
                </c:pt>
                <c:pt idx="107">
                  <c:v>3</c:v>
                </c:pt>
                <c:pt idx="109">
                  <c:v>3</c:v>
                </c:pt>
                <c:pt idx="111">
                  <c:v>3</c:v>
                </c:pt>
                <c:pt idx="113">
                  <c:v>3</c:v>
                </c:pt>
                <c:pt idx="115">
                  <c:v>3</c:v>
                </c:pt>
                <c:pt idx="117">
                  <c:v>3</c:v>
                </c:pt>
                <c:pt idx="119">
                  <c:v>3</c:v>
                </c:pt>
                <c:pt idx="121">
                  <c:v>3</c:v>
                </c:pt>
                <c:pt idx="123">
                  <c:v>3</c:v>
                </c:pt>
                <c:pt idx="125">
                  <c:v>3</c:v>
                </c:pt>
                <c:pt idx="127">
                  <c:v>3</c:v>
                </c:pt>
                <c:pt idx="129">
                  <c:v>3</c:v>
                </c:pt>
                <c:pt idx="131">
                  <c:v>3</c:v>
                </c:pt>
                <c:pt idx="133">
                  <c:v>3</c:v>
                </c:pt>
                <c:pt idx="135">
                  <c:v>3</c:v>
                </c:pt>
                <c:pt idx="137">
                  <c:v>3</c:v>
                </c:pt>
                <c:pt idx="139">
                  <c:v>3</c:v>
                </c:pt>
                <c:pt idx="141">
                  <c:v>5</c:v>
                </c:pt>
                <c:pt idx="143">
                  <c:v>5</c:v>
                </c:pt>
                <c:pt idx="145">
                  <c:v>3</c:v>
                </c:pt>
                <c:pt idx="147">
                  <c:v>3</c:v>
                </c:pt>
                <c:pt idx="149">
                  <c:v>3</c:v>
                </c:pt>
                <c:pt idx="151">
                  <c:v>3</c:v>
                </c:pt>
                <c:pt idx="153">
                  <c:v>3</c:v>
                </c:pt>
                <c:pt idx="155">
                  <c:v>3</c:v>
                </c:pt>
                <c:pt idx="157">
                  <c:v>3</c:v>
                </c:pt>
                <c:pt idx="159">
                  <c:v>3</c:v>
                </c:pt>
                <c:pt idx="161">
                  <c:v>3</c:v>
                </c:pt>
                <c:pt idx="163">
                  <c:v>3</c:v>
                </c:pt>
                <c:pt idx="165">
                  <c:v>5</c:v>
                </c:pt>
                <c:pt idx="167">
                  <c:v>4</c:v>
                </c:pt>
                <c:pt idx="169">
                  <c:v>5</c:v>
                </c:pt>
                <c:pt idx="171">
                  <c:v>4</c:v>
                </c:pt>
                <c:pt idx="173">
                  <c:v>5</c:v>
                </c:pt>
                <c:pt idx="175">
                  <c:v>4</c:v>
                </c:pt>
              </c:numCache>
            </c:numRef>
          </c:val>
          <c:extLst>
            <c:ext xmlns:c16="http://schemas.microsoft.com/office/drawing/2014/chart" uri="{C3380CC4-5D6E-409C-BE32-E72D297353CC}">
              <c16:uniqueId val="{00000003-0C17-43F4-A77B-81DB6457DCE2}"/>
            </c:ext>
          </c:extLst>
        </c:ser>
        <c:ser>
          <c:idx val="3"/>
          <c:order val="3"/>
          <c:tx>
            <c:v>Terminaux Opti</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Graphique'!$J$2:$J$177</c:f>
              <c:numCache>
                <c:formatCode>General</c:formatCode>
                <c:ptCount val="176"/>
                <c:pt idx="1">
                  <c:v>4</c:v>
                </c:pt>
                <c:pt idx="3">
                  <c:v>4</c:v>
                </c:pt>
                <c:pt idx="5">
                  <c:v>4</c:v>
                </c:pt>
                <c:pt idx="7">
                  <c:v>4</c:v>
                </c:pt>
                <c:pt idx="9">
                  <c:v>3</c:v>
                </c:pt>
                <c:pt idx="11">
                  <c:v>3</c:v>
                </c:pt>
                <c:pt idx="13">
                  <c:v>3</c:v>
                </c:pt>
                <c:pt idx="15">
                  <c:v>3</c:v>
                </c:pt>
                <c:pt idx="17">
                  <c:v>3</c:v>
                </c:pt>
                <c:pt idx="19">
                  <c:v>3</c:v>
                </c:pt>
                <c:pt idx="21">
                  <c:v>3</c:v>
                </c:pt>
                <c:pt idx="23">
                  <c:v>3</c:v>
                </c:pt>
                <c:pt idx="25">
                  <c:v>3</c:v>
                </c:pt>
                <c:pt idx="27">
                  <c:v>3</c:v>
                </c:pt>
                <c:pt idx="29">
                  <c:v>3</c:v>
                </c:pt>
                <c:pt idx="31">
                  <c:v>3</c:v>
                </c:pt>
                <c:pt idx="33">
                  <c:v>3</c:v>
                </c:pt>
                <c:pt idx="35">
                  <c:v>3</c:v>
                </c:pt>
                <c:pt idx="37">
                  <c:v>3</c:v>
                </c:pt>
                <c:pt idx="39">
                  <c:v>3</c:v>
                </c:pt>
                <c:pt idx="41">
                  <c:v>3</c:v>
                </c:pt>
                <c:pt idx="43">
                  <c:v>3</c:v>
                </c:pt>
                <c:pt idx="45">
                  <c:v>3</c:v>
                </c:pt>
                <c:pt idx="47">
                  <c:v>3</c:v>
                </c:pt>
                <c:pt idx="49">
                  <c:v>3</c:v>
                </c:pt>
                <c:pt idx="51">
                  <c:v>3</c:v>
                </c:pt>
                <c:pt idx="53">
                  <c:v>3</c:v>
                </c:pt>
                <c:pt idx="55">
                  <c:v>2</c:v>
                </c:pt>
                <c:pt idx="57">
                  <c:v>2</c:v>
                </c:pt>
                <c:pt idx="59">
                  <c:v>2</c:v>
                </c:pt>
                <c:pt idx="61">
                  <c:v>2</c:v>
                </c:pt>
                <c:pt idx="63">
                  <c:v>2</c:v>
                </c:pt>
                <c:pt idx="65">
                  <c:v>2</c:v>
                </c:pt>
                <c:pt idx="67">
                  <c:v>2</c:v>
                </c:pt>
                <c:pt idx="69">
                  <c:v>2</c:v>
                </c:pt>
                <c:pt idx="71">
                  <c:v>2</c:v>
                </c:pt>
                <c:pt idx="73">
                  <c:v>2</c:v>
                </c:pt>
                <c:pt idx="75">
                  <c:v>2</c:v>
                </c:pt>
                <c:pt idx="77">
                  <c:v>2</c:v>
                </c:pt>
                <c:pt idx="79">
                  <c:v>2</c:v>
                </c:pt>
                <c:pt idx="81">
                  <c:v>2</c:v>
                </c:pt>
                <c:pt idx="83">
                  <c:v>2</c:v>
                </c:pt>
                <c:pt idx="85">
                  <c:v>2</c:v>
                </c:pt>
                <c:pt idx="87">
                  <c:v>2</c:v>
                </c:pt>
                <c:pt idx="89">
                  <c:v>2</c:v>
                </c:pt>
                <c:pt idx="91">
                  <c:v>2</c:v>
                </c:pt>
                <c:pt idx="93">
                  <c:v>2</c:v>
                </c:pt>
                <c:pt idx="95">
                  <c:v>2</c:v>
                </c:pt>
                <c:pt idx="97">
                  <c:v>2</c:v>
                </c:pt>
                <c:pt idx="99">
                  <c:v>2</c:v>
                </c:pt>
                <c:pt idx="101">
                  <c:v>2</c:v>
                </c:pt>
                <c:pt idx="103">
                  <c:v>2</c:v>
                </c:pt>
                <c:pt idx="105">
                  <c:v>2</c:v>
                </c:pt>
                <c:pt idx="107">
                  <c:v>2</c:v>
                </c:pt>
                <c:pt idx="109">
                  <c:v>2</c:v>
                </c:pt>
                <c:pt idx="111">
                  <c:v>2</c:v>
                </c:pt>
                <c:pt idx="113">
                  <c:v>2</c:v>
                </c:pt>
                <c:pt idx="115">
                  <c:v>2</c:v>
                </c:pt>
                <c:pt idx="117">
                  <c:v>2</c:v>
                </c:pt>
                <c:pt idx="119">
                  <c:v>2</c:v>
                </c:pt>
                <c:pt idx="121">
                  <c:v>2</c:v>
                </c:pt>
                <c:pt idx="123">
                  <c:v>2</c:v>
                </c:pt>
                <c:pt idx="125">
                  <c:v>2</c:v>
                </c:pt>
                <c:pt idx="127">
                  <c:v>2</c:v>
                </c:pt>
                <c:pt idx="129">
                  <c:v>2</c:v>
                </c:pt>
                <c:pt idx="131">
                  <c:v>2</c:v>
                </c:pt>
                <c:pt idx="133">
                  <c:v>2</c:v>
                </c:pt>
                <c:pt idx="135">
                  <c:v>2</c:v>
                </c:pt>
                <c:pt idx="137">
                  <c:v>2</c:v>
                </c:pt>
                <c:pt idx="139">
                  <c:v>2</c:v>
                </c:pt>
                <c:pt idx="141">
                  <c:v>2</c:v>
                </c:pt>
                <c:pt idx="143">
                  <c:v>2</c:v>
                </c:pt>
                <c:pt idx="145">
                  <c:v>2</c:v>
                </c:pt>
                <c:pt idx="147">
                  <c:v>2</c:v>
                </c:pt>
                <c:pt idx="149">
                  <c:v>2</c:v>
                </c:pt>
                <c:pt idx="151">
                  <c:v>2</c:v>
                </c:pt>
                <c:pt idx="153">
                  <c:v>2</c:v>
                </c:pt>
                <c:pt idx="155">
                  <c:v>2</c:v>
                </c:pt>
                <c:pt idx="157">
                  <c:v>2</c:v>
                </c:pt>
                <c:pt idx="159">
                  <c:v>2</c:v>
                </c:pt>
                <c:pt idx="161">
                  <c:v>2</c:v>
                </c:pt>
                <c:pt idx="163">
                  <c:v>2</c:v>
                </c:pt>
                <c:pt idx="165">
                  <c:v>2</c:v>
                </c:pt>
                <c:pt idx="167">
                  <c:v>2</c:v>
                </c:pt>
                <c:pt idx="169">
                  <c:v>2</c:v>
                </c:pt>
                <c:pt idx="171">
                  <c:v>2</c:v>
                </c:pt>
                <c:pt idx="173">
                  <c:v>2</c:v>
                </c:pt>
                <c:pt idx="175">
                  <c:v>2</c:v>
                </c:pt>
              </c:numCache>
            </c:numRef>
          </c:val>
          <c:extLst>
            <c:ext xmlns:c16="http://schemas.microsoft.com/office/drawing/2014/chart" uri="{C3380CC4-5D6E-409C-BE32-E72D297353CC}">
              <c16:uniqueId val="{00000004-0C17-43F4-A77B-81DB6457DCE2}"/>
            </c:ext>
          </c:extLst>
        </c:ser>
        <c:dLbls>
          <c:showLegendKey val="0"/>
          <c:showVal val="0"/>
          <c:showCatName val="0"/>
          <c:showSerName val="0"/>
          <c:showPercent val="0"/>
          <c:showBubbleSize val="0"/>
        </c:dLbls>
        <c:gapWidth val="150"/>
        <c:overlap val="100"/>
        <c:axId val="345963199"/>
        <c:axId val="345958879"/>
      </c:barChart>
      <c:catAx>
        <c:axId val="345963199"/>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345958879"/>
        <c:crosses val="autoZero"/>
        <c:auto val="1"/>
        <c:lblAlgn val="ctr"/>
        <c:lblOffset val="100"/>
        <c:noMultiLvlLbl val="0"/>
      </c:catAx>
      <c:valAx>
        <c:axId val="345958879"/>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3459631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Comparaison du remplissage des camions par étage et zone</a:t>
            </a:r>
          </a:p>
        </c:rich>
      </c:tx>
      <c:overlay val="0"/>
    </c:title>
    <c:autoTitleDeleted val="0"/>
    <c:plotArea>
      <c:layout/>
      <c:barChart>
        <c:barDir val="col"/>
        <c:grouping val="clustered"/>
        <c:varyColors val="0"/>
        <c:ser>
          <c:idx val="0"/>
          <c:order val="0"/>
          <c:tx>
            <c:v>Remplissage camions sans CCC</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Graphique'!$K$2:$K$89</c:f>
              <c:numCache>
                <c:formatCode>General</c:formatCode>
                <c:ptCount val="88"/>
                <c:pt idx="0">
                  <c:v>46</c:v>
                </c:pt>
                <c:pt idx="1">
                  <c:v>48</c:v>
                </c:pt>
                <c:pt idx="2">
                  <c:v>48</c:v>
                </c:pt>
                <c:pt idx="3">
                  <c:v>47</c:v>
                </c:pt>
                <c:pt idx="4">
                  <c:v>54</c:v>
                </c:pt>
                <c:pt idx="5">
                  <c:v>52</c:v>
                </c:pt>
                <c:pt idx="6">
                  <c:v>52</c:v>
                </c:pt>
                <c:pt idx="7">
                  <c:v>52</c:v>
                </c:pt>
                <c:pt idx="8">
                  <c:v>52</c:v>
                </c:pt>
                <c:pt idx="9">
                  <c:v>52</c:v>
                </c:pt>
                <c:pt idx="10">
                  <c:v>53</c:v>
                </c:pt>
                <c:pt idx="11">
                  <c:v>53</c:v>
                </c:pt>
                <c:pt idx="12">
                  <c:v>53</c:v>
                </c:pt>
                <c:pt idx="13">
                  <c:v>54</c:v>
                </c:pt>
                <c:pt idx="14">
                  <c:v>54</c:v>
                </c:pt>
                <c:pt idx="15">
                  <c:v>55.000000000000007</c:v>
                </c:pt>
                <c:pt idx="16">
                  <c:v>55.000000000000007</c:v>
                </c:pt>
                <c:pt idx="17">
                  <c:v>57.000000000000007</c:v>
                </c:pt>
                <c:pt idx="18">
                  <c:v>57.000000000000007</c:v>
                </c:pt>
                <c:pt idx="19">
                  <c:v>57.000000000000007</c:v>
                </c:pt>
                <c:pt idx="20">
                  <c:v>57.000000000000007</c:v>
                </c:pt>
                <c:pt idx="21">
                  <c:v>56.000000000000007</c:v>
                </c:pt>
                <c:pt idx="22">
                  <c:v>56.000000000000007</c:v>
                </c:pt>
                <c:pt idx="23">
                  <c:v>56.000000000000007</c:v>
                </c:pt>
                <c:pt idx="24">
                  <c:v>56.000000000000007</c:v>
                </c:pt>
                <c:pt idx="25">
                  <c:v>56.000000000000007</c:v>
                </c:pt>
                <c:pt idx="26">
                  <c:v>55.000000000000007</c:v>
                </c:pt>
                <c:pt idx="27">
                  <c:v>53</c:v>
                </c:pt>
                <c:pt idx="28">
                  <c:v>53</c:v>
                </c:pt>
                <c:pt idx="29">
                  <c:v>53</c:v>
                </c:pt>
                <c:pt idx="30">
                  <c:v>50</c:v>
                </c:pt>
                <c:pt idx="31">
                  <c:v>49</c:v>
                </c:pt>
                <c:pt idx="32">
                  <c:v>49</c:v>
                </c:pt>
                <c:pt idx="33">
                  <c:v>48</c:v>
                </c:pt>
                <c:pt idx="34">
                  <c:v>48</c:v>
                </c:pt>
                <c:pt idx="35">
                  <c:v>48</c:v>
                </c:pt>
                <c:pt idx="36">
                  <c:v>51</c:v>
                </c:pt>
                <c:pt idx="37">
                  <c:v>51</c:v>
                </c:pt>
                <c:pt idx="38">
                  <c:v>51</c:v>
                </c:pt>
                <c:pt idx="39">
                  <c:v>52</c:v>
                </c:pt>
                <c:pt idx="40">
                  <c:v>52</c:v>
                </c:pt>
                <c:pt idx="41">
                  <c:v>52</c:v>
                </c:pt>
                <c:pt idx="42">
                  <c:v>51</c:v>
                </c:pt>
                <c:pt idx="43">
                  <c:v>51</c:v>
                </c:pt>
                <c:pt idx="44">
                  <c:v>49</c:v>
                </c:pt>
                <c:pt idx="45">
                  <c:v>49</c:v>
                </c:pt>
                <c:pt idx="46">
                  <c:v>49</c:v>
                </c:pt>
                <c:pt idx="47">
                  <c:v>49</c:v>
                </c:pt>
                <c:pt idx="48">
                  <c:v>48</c:v>
                </c:pt>
                <c:pt idx="49">
                  <c:v>41</c:v>
                </c:pt>
                <c:pt idx="50">
                  <c:v>41</c:v>
                </c:pt>
                <c:pt idx="51">
                  <c:v>41</c:v>
                </c:pt>
                <c:pt idx="52">
                  <c:v>41</c:v>
                </c:pt>
                <c:pt idx="53">
                  <c:v>41</c:v>
                </c:pt>
                <c:pt idx="54">
                  <c:v>39</c:v>
                </c:pt>
                <c:pt idx="55">
                  <c:v>41</c:v>
                </c:pt>
                <c:pt idx="56">
                  <c:v>41</c:v>
                </c:pt>
                <c:pt idx="57">
                  <c:v>41</c:v>
                </c:pt>
                <c:pt idx="58">
                  <c:v>41</c:v>
                </c:pt>
                <c:pt idx="59">
                  <c:v>41</c:v>
                </c:pt>
                <c:pt idx="60">
                  <c:v>41</c:v>
                </c:pt>
                <c:pt idx="61">
                  <c:v>41</c:v>
                </c:pt>
                <c:pt idx="62">
                  <c:v>41</c:v>
                </c:pt>
                <c:pt idx="63">
                  <c:v>39</c:v>
                </c:pt>
                <c:pt idx="64">
                  <c:v>39</c:v>
                </c:pt>
                <c:pt idx="65">
                  <c:v>39</c:v>
                </c:pt>
                <c:pt idx="66">
                  <c:v>39</c:v>
                </c:pt>
                <c:pt idx="67">
                  <c:v>39</c:v>
                </c:pt>
                <c:pt idx="68">
                  <c:v>39</c:v>
                </c:pt>
                <c:pt idx="69">
                  <c:v>39</c:v>
                </c:pt>
                <c:pt idx="70">
                  <c:v>46</c:v>
                </c:pt>
                <c:pt idx="71">
                  <c:v>46</c:v>
                </c:pt>
                <c:pt idx="72">
                  <c:v>38</c:v>
                </c:pt>
                <c:pt idx="73">
                  <c:v>35</c:v>
                </c:pt>
                <c:pt idx="74">
                  <c:v>35</c:v>
                </c:pt>
                <c:pt idx="75">
                  <c:v>35</c:v>
                </c:pt>
                <c:pt idx="76">
                  <c:v>32</c:v>
                </c:pt>
                <c:pt idx="77">
                  <c:v>32</c:v>
                </c:pt>
                <c:pt idx="78">
                  <c:v>32</c:v>
                </c:pt>
                <c:pt idx="79">
                  <c:v>32</c:v>
                </c:pt>
                <c:pt idx="80">
                  <c:v>32</c:v>
                </c:pt>
                <c:pt idx="81">
                  <c:v>32</c:v>
                </c:pt>
                <c:pt idx="82">
                  <c:v>44</c:v>
                </c:pt>
                <c:pt idx="83">
                  <c:v>43</c:v>
                </c:pt>
                <c:pt idx="84">
                  <c:v>43</c:v>
                </c:pt>
                <c:pt idx="85">
                  <c:v>43</c:v>
                </c:pt>
                <c:pt idx="86">
                  <c:v>43</c:v>
                </c:pt>
                <c:pt idx="87">
                  <c:v>43</c:v>
                </c:pt>
              </c:numCache>
            </c:numRef>
          </c:val>
          <c:extLst>
            <c:ext xmlns:c16="http://schemas.microsoft.com/office/drawing/2014/chart" uri="{C3380CC4-5D6E-409C-BE32-E72D297353CC}">
              <c16:uniqueId val="{00000001-2767-4D1E-B97C-D35B253C0C15}"/>
            </c:ext>
          </c:extLst>
        </c:ser>
        <c:ser>
          <c:idx val="1"/>
          <c:order val="1"/>
          <c:tx>
            <c:v>Remplissage camions avec CCC</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Graphique'!$L$2:$L$89</c:f>
              <c:numCache>
                <c:formatCode>General</c:formatCode>
                <c:ptCount val="88"/>
                <c:pt idx="0">
                  <c:v>55.000000000000007</c:v>
                </c:pt>
                <c:pt idx="1">
                  <c:v>53</c:v>
                </c:pt>
                <c:pt idx="2">
                  <c:v>52</c:v>
                </c:pt>
                <c:pt idx="3">
                  <c:v>52</c:v>
                </c:pt>
                <c:pt idx="4">
                  <c:v>49</c:v>
                </c:pt>
                <c:pt idx="5">
                  <c:v>47</c:v>
                </c:pt>
                <c:pt idx="6">
                  <c:v>47</c:v>
                </c:pt>
                <c:pt idx="7">
                  <c:v>47</c:v>
                </c:pt>
                <c:pt idx="8">
                  <c:v>47</c:v>
                </c:pt>
                <c:pt idx="9">
                  <c:v>47</c:v>
                </c:pt>
                <c:pt idx="10">
                  <c:v>46</c:v>
                </c:pt>
                <c:pt idx="11">
                  <c:v>46</c:v>
                </c:pt>
                <c:pt idx="12">
                  <c:v>46</c:v>
                </c:pt>
                <c:pt idx="13">
                  <c:v>45</c:v>
                </c:pt>
                <c:pt idx="14">
                  <c:v>45</c:v>
                </c:pt>
                <c:pt idx="15">
                  <c:v>45</c:v>
                </c:pt>
                <c:pt idx="16">
                  <c:v>45</c:v>
                </c:pt>
                <c:pt idx="17">
                  <c:v>56.000000000000007</c:v>
                </c:pt>
                <c:pt idx="18">
                  <c:v>56.000000000000007</c:v>
                </c:pt>
                <c:pt idx="19">
                  <c:v>56.000000000000007</c:v>
                </c:pt>
                <c:pt idx="20">
                  <c:v>56.000000000000007</c:v>
                </c:pt>
                <c:pt idx="21">
                  <c:v>55.000000000000007</c:v>
                </c:pt>
                <c:pt idx="22">
                  <c:v>55.000000000000007</c:v>
                </c:pt>
                <c:pt idx="23">
                  <c:v>55.000000000000007</c:v>
                </c:pt>
                <c:pt idx="24">
                  <c:v>55.000000000000007</c:v>
                </c:pt>
                <c:pt idx="25">
                  <c:v>55.000000000000007</c:v>
                </c:pt>
                <c:pt idx="26">
                  <c:v>54</c:v>
                </c:pt>
                <c:pt idx="27">
                  <c:v>49</c:v>
                </c:pt>
                <c:pt idx="28">
                  <c:v>49</c:v>
                </c:pt>
                <c:pt idx="29">
                  <c:v>49</c:v>
                </c:pt>
                <c:pt idx="30">
                  <c:v>48</c:v>
                </c:pt>
                <c:pt idx="31">
                  <c:v>47</c:v>
                </c:pt>
                <c:pt idx="32">
                  <c:v>47</c:v>
                </c:pt>
                <c:pt idx="33">
                  <c:v>47</c:v>
                </c:pt>
                <c:pt idx="34">
                  <c:v>47</c:v>
                </c:pt>
                <c:pt idx="35">
                  <c:v>47</c:v>
                </c:pt>
                <c:pt idx="36">
                  <c:v>46</c:v>
                </c:pt>
                <c:pt idx="37">
                  <c:v>46</c:v>
                </c:pt>
                <c:pt idx="38">
                  <c:v>46</c:v>
                </c:pt>
                <c:pt idx="39">
                  <c:v>45</c:v>
                </c:pt>
                <c:pt idx="40">
                  <c:v>45</c:v>
                </c:pt>
                <c:pt idx="41">
                  <c:v>45</c:v>
                </c:pt>
                <c:pt idx="42">
                  <c:v>44</c:v>
                </c:pt>
                <c:pt idx="43">
                  <c:v>44</c:v>
                </c:pt>
                <c:pt idx="44">
                  <c:v>42</c:v>
                </c:pt>
                <c:pt idx="45">
                  <c:v>42</c:v>
                </c:pt>
                <c:pt idx="46">
                  <c:v>42</c:v>
                </c:pt>
                <c:pt idx="47">
                  <c:v>42</c:v>
                </c:pt>
                <c:pt idx="48">
                  <c:v>42</c:v>
                </c:pt>
                <c:pt idx="49">
                  <c:v>34</c:v>
                </c:pt>
                <c:pt idx="50">
                  <c:v>34</c:v>
                </c:pt>
                <c:pt idx="51">
                  <c:v>34</c:v>
                </c:pt>
                <c:pt idx="52">
                  <c:v>34</c:v>
                </c:pt>
                <c:pt idx="53">
                  <c:v>34</c:v>
                </c:pt>
                <c:pt idx="54">
                  <c:v>33</c:v>
                </c:pt>
                <c:pt idx="55">
                  <c:v>40</c:v>
                </c:pt>
                <c:pt idx="56">
                  <c:v>40</c:v>
                </c:pt>
                <c:pt idx="57">
                  <c:v>40</c:v>
                </c:pt>
                <c:pt idx="58">
                  <c:v>40</c:v>
                </c:pt>
                <c:pt idx="59">
                  <c:v>40</c:v>
                </c:pt>
                <c:pt idx="60">
                  <c:v>40</c:v>
                </c:pt>
                <c:pt idx="61">
                  <c:v>40</c:v>
                </c:pt>
                <c:pt idx="62">
                  <c:v>40</c:v>
                </c:pt>
                <c:pt idx="63">
                  <c:v>39</c:v>
                </c:pt>
                <c:pt idx="64">
                  <c:v>39</c:v>
                </c:pt>
                <c:pt idx="65">
                  <c:v>39</c:v>
                </c:pt>
                <c:pt idx="66">
                  <c:v>39</c:v>
                </c:pt>
                <c:pt idx="67">
                  <c:v>39</c:v>
                </c:pt>
                <c:pt idx="68">
                  <c:v>39</c:v>
                </c:pt>
                <c:pt idx="69">
                  <c:v>39</c:v>
                </c:pt>
                <c:pt idx="70">
                  <c:v>45</c:v>
                </c:pt>
                <c:pt idx="71">
                  <c:v>45</c:v>
                </c:pt>
                <c:pt idx="72">
                  <c:v>38</c:v>
                </c:pt>
                <c:pt idx="73">
                  <c:v>39</c:v>
                </c:pt>
                <c:pt idx="74">
                  <c:v>39</c:v>
                </c:pt>
                <c:pt idx="75">
                  <c:v>39</c:v>
                </c:pt>
                <c:pt idx="76">
                  <c:v>37</c:v>
                </c:pt>
                <c:pt idx="77">
                  <c:v>37</c:v>
                </c:pt>
                <c:pt idx="78">
                  <c:v>37</c:v>
                </c:pt>
                <c:pt idx="79">
                  <c:v>37</c:v>
                </c:pt>
                <c:pt idx="80">
                  <c:v>37</c:v>
                </c:pt>
                <c:pt idx="81">
                  <c:v>37</c:v>
                </c:pt>
                <c:pt idx="82">
                  <c:v>38</c:v>
                </c:pt>
                <c:pt idx="83">
                  <c:v>42</c:v>
                </c:pt>
                <c:pt idx="84">
                  <c:v>43</c:v>
                </c:pt>
                <c:pt idx="85">
                  <c:v>42</c:v>
                </c:pt>
                <c:pt idx="86">
                  <c:v>43</c:v>
                </c:pt>
                <c:pt idx="87">
                  <c:v>42</c:v>
                </c:pt>
              </c:numCache>
            </c:numRef>
          </c:val>
          <c:extLst>
            <c:ext xmlns:c16="http://schemas.microsoft.com/office/drawing/2014/chart" uri="{C3380CC4-5D6E-409C-BE32-E72D297353CC}">
              <c16:uniqueId val="{00000002-2767-4D1E-B97C-D35B253C0C15}"/>
            </c:ext>
          </c:extLst>
        </c:ser>
        <c:dLbls>
          <c:showLegendKey val="0"/>
          <c:showVal val="0"/>
          <c:showCatName val="0"/>
          <c:showSerName val="0"/>
          <c:showPercent val="0"/>
          <c:showBubbleSize val="0"/>
        </c:dLbls>
        <c:gapWidth val="150"/>
        <c:axId val="317544895"/>
        <c:axId val="317541535"/>
      </c:barChart>
      <c:catAx>
        <c:axId val="317544895"/>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317541535"/>
        <c:crosses val="autoZero"/>
        <c:auto val="1"/>
        <c:lblAlgn val="ctr"/>
        <c:lblOffset val="100"/>
        <c:noMultiLvlLbl val="0"/>
      </c:catAx>
      <c:valAx>
        <c:axId val="317541535"/>
        <c:scaling>
          <c:orientation val="minMax"/>
        </c:scaling>
        <c:delete val="0"/>
        <c:axPos val="l"/>
        <c:majorGridlines/>
        <c:title>
          <c:tx>
            <c:rich>
              <a:bodyPr/>
              <a:lstStyle/>
              <a:p>
                <a:pPr>
                  <a:defRPr/>
                </a:pPr>
                <a:r>
                  <a:rPr lang="fr-FR"/>
                  <a:t>Remplissage (%)</a:t>
                </a:r>
              </a:p>
            </c:rich>
          </c:tx>
          <c:overlay val="0"/>
        </c:title>
        <c:numFmt formatCode="General" sourceLinked="1"/>
        <c:majorTickMark val="out"/>
        <c:minorTickMark val="none"/>
        <c:tickLblPos val="nextTo"/>
        <c:crossAx val="31754489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1-7FFD-425D-85E6-F8105C9263DF}"/>
            </c:ext>
          </c:extLst>
        </c:ser>
        <c:dLbls>
          <c:showLegendKey val="0"/>
          <c:showVal val="0"/>
          <c:showCatName val="0"/>
          <c:showSerName val="0"/>
          <c:showPercent val="0"/>
          <c:showBubbleSize val="0"/>
        </c:dLbls>
        <c:gapWidth val="150"/>
        <c:axId val="343691391"/>
        <c:axId val="343692351"/>
      </c:barChart>
      <c:lineChart>
        <c:grouping val="standard"/>
        <c:varyColors val="0"/>
        <c:ser>
          <c:idx val="1"/>
          <c:order val="1"/>
          <c:tx>
            <c:v>Nombre de Camions</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Graphique'!$O$2:$O$38</c:f>
              <c:numCache>
                <c:formatCode>General</c:formatCode>
                <c:ptCount val="37"/>
                <c:pt idx="0">
                  <c:v>10.5</c:v>
                </c:pt>
                <c:pt idx="1">
                  <c:v>0.65625</c:v>
                </c:pt>
                <c:pt idx="2">
                  <c:v>12.65625</c:v>
                </c:pt>
                <c:pt idx="3">
                  <c:v>3.5625</c:v>
                </c:pt>
                <c:pt idx="4">
                  <c:v>5.8125</c:v>
                </c:pt>
                <c:pt idx="5">
                  <c:v>5.0625</c:v>
                </c:pt>
                <c:pt idx="6">
                  <c:v>5.0625</c:v>
                </c:pt>
                <c:pt idx="7">
                  <c:v>8.3125</c:v>
                </c:pt>
                <c:pt idx="8">
                  <c:v>9.7874999999999996</c:v>
                </c:pt>
                <c:pt idx="9">
                  <c:v>9.0875000000000004</c:v>
                </c:pt>
                <c:pt idx="10">
                  <c:v>14.3375</c:v>
                </c:pt>
                <c:pt idx="11">
                  <c:v>16.920833333333334</c:v>
                </c:pt>
                <c:pt idx="12">
                  <c:v>21.295833333333334</c:v>
                </c:pt>
                <c:pt idx="13">
                  <c:v>20.279166666666669</c:v>
                </c:pt>
                <c:pt idx="14">
                  <c:v>28.645833333333336</c:v>
                </c:pt>
                <c:pt idx="15">
                  <c:v>29.229166666666668</c:v>
                </c:pt>
                <c:pt idx="16">
                  <c:v>33.0625</c:v>
                </c:pt>
                <c:pt idx="17">
                  <c:v>30.322916666666671</c:v>
                </c:pt>
                <c:pt idx="18">
                  <c:v>33.739583333333329</c:v>
                </c:pt>
                <c:pt idx="19">
                  <c:v>34.833333333333329</c:v>
                </c:pt>
                <c:pt idx="20">
                  <c:v>33.916666666666657</c:v>
                </c:pt>
                <c:pt idx="21">
                  <c:v>34.583333333333329</c:v>
                </c:pt>
                <c:pt idx="22">
                  <c:v>34.416666666666657</c:v>
                </c:pt>
                <c:pt idx="23">
                  <c:v>32.083333333333329</c:v>
                </c:pt>
                <c:pt idx="24">
                  <c:v>36.083333333333329</c:v>
                </c:pt>
                <c:pt idx="25">
                  <c:v>33.583333333333329</c:v>
                </c:pt>
                <c:pt idx="26">
                  <c:v>32.583333333333329</c:v>
                </c:pt>
                <c:pt idx="27">
                  <c:v>32.583333333333329</c:v>
                </c:pt>
                <c:pt idx="28">
                  <c:v>37.749999999999993</c:v>
                </c:pt>
                <c:pt idx="29">
                  <c:v>29.833333333333332</c:v>
                </c:pt>
                <c:pt idx="30">
                  <c:v>18.833333333333336</c:v>
                </c:pt>
                <c:pt idx="31">
                  <c:v>11.916666666666668</c:v>
                </c:pt>
                <c:pt idx="32">
                  <c:v>11.416666666666668</c:v>
                </c:pt>
                <c:pt idx="33">
                  <c:v>8.25</c:v>
                </c:pt>
                <c:pt idx="34">
                  <c:v>8</c:v>
                </c:pt>
                <c:pt idx="35">
                  <c:v>3.5</c:v>
                </c:pt>
                <c:pt idx="36">
                  <c:v>1.5</c:v>
                </c:pt>
              </c:numCache>
            </c:numRef>
          </c:val>
          <c:smooth val="1"/>
          <c:extLst>
            <c:ext xmlns:c16="http://schemas.microsoft.com/office/drawing/2014/chart" uri="{C3380CC4-5D6E-409C-BE32-E72D297353CC}">
              <c16:uniqueId val="{00000002-7FFD-425D-85E6-F8105C9263DF}"/>
            </c:ext>
          </c:extLst>
        </c:ser>
        <c:dLbls>
          <c:showLegendKey val="0"/>
          <c:showVal val="0"/>
          <c:showCatName val="0"/>
          <c:showSerName val="0"/>
          <c:showPercent val="0"/>
          <c:showBubbleSize val="0"/>
        </c:dLbls>
        <c:marker val="1"/>
        <c:smooth val="0"/>
        <c:axId val="343698591"/>
        <c:axId val="343696671"/>
      </c:lineChart>
      <c:catAx>
        <c:axId val="343691391"/>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343692351"/>
        <c:crosses val="autoZero"/>
        <c:auto val="1"/>
        <c:lblAlgn val="ctr"/>
        <c:lblOffset val="100"/>
        <c:noMultiLvlLbl val="0"/>
      </c:catAx>
      <c:valAx>
        <c:axId val="343692351"/>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343691391"/>
        <c:crosses val="autoZero"/>
        <c:crossBetween val="between"/>
      </c:valAx>
      <c:valAx>
        <c:axId val="343696671"/>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343698591"/>
        <c:crosses val="max"/>
        <c:crossBetween val="between"/>
      </c:valAx>
      <c:catAx>
        <c:axId val="343698591"/>
        <c:scaling>
          <c:orientation val="minMax"/>
        </c:scaling>
        <c:delete val="1"/>
        <c:axPos val="b"/>
        <c:numFmt formatCode="General" sourceLinked="1"/>
        <c:majorTickMark val="out"/>
        <c:minorTickMark val="none"/>
        <c:tickLblPos val="nextTo"/>
        <c:crossAx val="343696671"/>
        <c:crosses val="autoZero"/>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1-98BF-48AC-8B80-7438D6FE3090}"/>
            </c:ext>
          </c:extLst>
        </c:ser>
        <c:dLbls>
          <c:showLegendKey val="0"/>
          <c:showVal val="0"/>
          <c:showCatName val="0"/>
          <c:showSerName val="0"/>
          <c:showPercent val="0"/>
          <c:showBubbleSize val="0"/>
        </c:dLbls>
        <c:gapWidth val="150"/>
        <c:axId val="128062703"/>
        <c:axId val="129170607"/>
      </c:barChart>
      <c:lineChart>
        <c:grouping val="standard"/>
        <c:varyColors val="0"/>
        <c:ser>
          <c:idx val="1"/>
          <c:order val="1"/>
          <c:tx>
            <c:v>Nombre de Camions</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Graphique'!$P$2:$P$38</c:f>
              <c:numCache>
                <c:formatCode>General</c:formatCode>
                <c:ptCount val="37"/>
                <c:pt idx="0">
                  <c:v>8.5</c:v>
                </c:pt>
                <c:pt idx="1">
                  <c:v>0.53125</c:v>
                </c:pt>
                <c:pt idx="2">
                  <c:v>10.53125</c:v>
                </c:pt>
                <c:pt idx="3">
                  <c:v>3.3125</c:v>
                </c:pt>
                <c:pt idx="4">
                  <c:v>5.5625</c:v>
                </c:pt>
                <c:pt idx="5">
                  <c:v>4.8125</c:v>
                </c:pt>
                <c:pt idx="6">
                  <c:v>4.8125</c:v>
                </c:pt>
                <c:pt idx="7">
                  <c:v>7.0625</c:v>
                </c:pt>
                <c:pt idx="8">
                  <c:v>7.2874999999999996</c:v>
                </c:pt>
                <c:pt idx="9">
                  <c:v>6.0875000000000004</c:v>
                </c:pt>
                <c:pt idx="10">
                  <c:v>9.8375000000000004</c:v>
                </c:pt>
                <c:pt idx="11">
                  <c:v>11.5875</c:v>
                </c:pt>
                <c:pt idx="12">
                  <c:v>15.612500000000002</c:v>
                </c:pt>
                <c:pt idx="13">
                  <c:v>15.062500000000004</c:v>
                </c:pt>
                <c:pt idx="14">
                  <c:v>21.362500000000004</c:v>
                </c:pt>
                <c:pt idx="15">
                  <c:v>22.612500000000004</c:v>
                </c:pt>
                <c:pt idx="16">
                  <c:v>24.312500000000004</c:v>
                </c:pt>
                <c:pt idx="17">
                  <c:v>19.03125</c:v>
                </c:pt>
                <c:pt idx="18">
                  <c:v>22.381249999999994</c:v>
                </c:pt>
                <c:pt idx="19">
                  <c:v>21.566666666666666</c:v>
                </c:pt>
                <c:pt idx="20">
                  <c:v>21.216666666666661</c:v>
                </c:pt>
                <c:pt idx="21">
                  <c:v>20.583333333333329</c:v>
                </c:pt>
                <c:pt idx="22">
                  <c:v>21.416666666666661</c:v>
                </c:pt>
                <c:pt idx="23">
                  <c:v>19.583333333333332</c:v>
                </c:pt>
                <c:pt idx="24">
                  <c:v>22.083333333333329</c:v>
                </c:pt>
                <c:pt idx="25">
                  <c:v>20.583333333333329</c:v>
                </c:pt>
                <c:pt idx="26">
                  <c:v>21.083333333333325</c:v>
                </c:pt>
                <c:pt idx="27">
                  <c:v>19.883333333333333</c:v>
                </c:pt>
                <c:pt idx="28">
                  <c:v>22.549999999999994</c:v>
                </c:pt>
                <c:pt idx="29">
                  <c:v>16.383333333333333</c:v>
                </c:pt>
                <c:pt idx="30">
                  <c:v>10.883333333333335</c:v>
                </c:pt>
                <c:pt idx="31">
                  <c:v>7.0166666666666666</c:v>
                </c:pt>
                <c:pt idx="32">
                  <c:v>8.3166666666666682</c:v>
                </c:pt>
                <c:pt idx="33">
                  <c:v>6.2500000000000009</c:v>
                </c:pt>
                <c:pt idx="34">
                  <c:v>6.3500000000000005</c:v>
                </c:pt>
                <c:pt idx="35">
                  <c:v>2.7</c:v>
                </c:pt>
                <c:pt idx="36">
                  <c:v>1.25</c:v>
                </c:pt>
              </c:numCache>
            </c:numRef>
          </c:val>
          <c:smooth val="1"/>
          <c:extLst>
            <c:ext xmlns:c16="http://schemas.microsoft.com/office/drawing/2014/chart" uri="{C3380CC4-5D6E-409C-BE32-E72D297353CC}">
              <c16:uniqueId val="{00000002-98BF-48AC-8B80-7438D6FE3090}"/>
            </c:ext>
          </c:extLst>
        </c:ser>
        <c:dLbls>
          <c:showLegendKey val="0"/>
          <c:showVal val="0"/>
          <c:showCatName val="0"/>
          <c:showSerName val="0"/>
          <c:showPercent val="0"/>
          <c:showBubbleSize val="0"/>
        </c:dLbls>
        <c:marker val="1"/>
        <c:smooth val="0"/>
        <c:axId val="355988799"/>
        <c:axId val="129169167"/>
      </c:lineChart>
      <c:catAx>
        <c:axId val="128062703"/>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129170607"/>
        <c:crosses val="autoZero"/>
        <c:auto val="1"/>
        <c:lblAlgn val="ctr"/>
        <c:lblOffset val="100"/>
        <c:noMultiLvlLbl val="0"/>
      </c:catAx>
      <c:valAx>
        <c:axId val="129170607"/>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28062703"/>
        <c:crosses val="autoZero"/>
        <c:crossBetween val="between"/>
      </c:valAx>
      <c:valAx>
        <c:axId val="129169167"/>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355988799"/>
        <c:crosses val="max"/>
        <c:crossBetween val="between"/>
      </c:valAx>
      <c:catAx>
        <c:axId val="355988799"/>
        <c:scaling>
          <c:orientation val="minMax"/>
        </c:scaling>
        <c:delete val="1"/>
        <c:axPos val="b"/>
        <c:numFmt formatCode="General" sourceLinked="1"/>
        <c:majorTickMark val="out"/>
        <c:minorTickMark val="none"/>
        <c:tickLblPos val="nextTo"/>
        <c:crossAx val="129169167"/>
        <c:crosses val="autoZero"/>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1-40C7-4F47-A79A-DE4EF8E984DA}"/>
            </c:ext>
          </c:extLst>
        </c:ser>
        <c:dLbls>
          <c:showLegendKey val="0"/>
          <c:showVal val="0"/>
          <c:showCatName val="0"/>
          <c:showSerName val="0"/>
          <c:showPercent val="0"/>
          <c:showBubbleSize val="0"/>
        </c:dLbls>
        <c:gapWidth val="150"/>
        <c:axId val="355461279"/>
        <c:axId val="355459839"/>
      </c:barChart>
      <c:lineChart>
        <c:grouping val="standard"/>
        <c:varyColors val="0"/>
        <c:ser>
          <c:idx val="1"/>
          <c:order val="1"/>
          <c:tx>
            <c:v>Non Optimisée</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Graphique'!$O$2:$O$38</c:f>
              <c:numCache>
                <c:formatCode>General</c:formatCode>
                <c:ptCount val="37"/>
                <c:pt idx="0">
                  <c:v>10.5</c:v>
                </c:pt>
                <c:pt idx="1">
                  <c:v>0.65625</c:v>
                </c:pt>
                <c:pt idx="2">
                  <c:v>12.65625</c:v>
                </c:pt>
                <c:pt idx="3">
                  <c:v>3.5625</c:v>
                </c:pt>
                <c:pt idx="4">
                  <c:v>5.8125</c:v>
                </c:pt>
                <c:pt idx="5">
                  <c:v>5.0625</c:v>
                </c:pt>
                <c:pt idx="6">
                  <c:v>5.0625</c:v>
                </c:pt>
                <c:pt idx="7">
                  <c:v>8.3125</c:v>
                </c:pt>
                <c:pt idx="8">
                  <c:v>9.7874999999999996</c:v>
                </c:pt>
                <c:pt idx="9">
                  <c:v>9.0875000000000004</c:v>
                </c:pt>
                <c:pt idx="10">
                  <c:v>14.3375</c:v>
                </c:pt>
                <c:pt idx="11">
                  <c:v>16.920833333333334</c:v>
                </c:pt>
                <c:pt idx="12">
                  <c:v>21.295833333333334</c:v>
                </c:pt>
                <c:pt idx="13">
                  <c:v>20.279166666666669</c:v>
                </c:pt>
                <c:pt idx="14">
                  <c:v>28.645833333333336</c:v>
                </c:pt>
                <c:pt idx="15">
                  <c:v>29.229166666666668</c:v>
                </c:pt>
                <c:pt idx="16">
                  <c:v>33.0625</c:v>
                </c:pt>
                <c:pt idx="17">
                  <c:v>30.322916666666671</c:v>
                </c:pt>
                <c:pt idx="18">
                  <c:v>33.739583333333329</c:v>
                </c:pt>
                <c:pt idx="19">
                  <c:v>34.833333333333329</c:v>
                </c:pt>
                <c:pt idx="20">
                  <c:v>33.916666666666657</c:v>
                </c:pt>
                <c:pt idx="21">
                  <c:v>34.583333333333329</c:v>
                </c:pt>
                <c:pt idx="22">
                  <c:v>34.416666666666657</c:v>
                </c:pt>
                <c:pt idx="23">
                  <c:v>32.083333333333329</c:v>
                </c:pt>
                <c:pt idx="24">
                  <c:v>36.083333333333329</c:v>
                </c:pt>
                <c:pt idx="25">
                  <c:v>33.583333333333329</c:v>
                </c:pt>
                <c:pt idx="26">
                  <c:v>32.583333333333329</c:v>
                </c:pt>
                <c:pt idx="27">
                  <c:v>32.583333333333329</c:v>
                </c:pt>
                <c:pt idx="28">
                  <c:v>37.749999999999993</c:v>
                </c:pt>
                <c:pt idx="29">
                  <c:v>29.833333333333332</c:v>
                </c:pt>
                <c:pt idx="30">
                  <c:v>18.833333333333336</c:v>
                </c:pt>
                <c:pt idx="31">
                  <c:v>11.916666666666668</c:v>
                </c:pt>
                <c:pt idx="32">
                  <c:v>11.416666666666668</c:v>
                </c:pt>
                <c:pt idx="33">
                  <c:v>8.25</c:v>
                </c:pt>
                <c:pt idx="34">
                  <c:v>8</c:v>
                </c:pt>
                <c:pt idx="35">
                  <c:v>3.5</c:v>
                </c:pt>
                <c:pt idx="36">
                  <c:v>1.5</c:v>
                </c:pt>
              </c:numCache>
            </c:numRef>
          </c:val>
          <c:smooth val="1"/>
          <c:extLst>
            <c:ext xmlns:c16="http://schemas.microsoft.com/office/drawing/2014/chart" uri="{C3380CC4-5D6E-409C-BE32-E72D297353CC}">
              <c16:uniqueId val="{00000002-40C7-4F47-A79A-DE4EF8E984DA}"/>
            </c:ext>
          </c:extLst>
        </c:ser>
        <c:ser>
          <c:idx val="2"/>
          <c:order val="2"/>
          <c:tx>
            <c:v>Optimisée</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Graphique'!$P$2:$P$38</c:f>
              <c:numCache>
                <c:formatCode>General</c:formatCode>
                <c:ptCount val="37"/>
                <c:pt idx="0">
                  <c:v>8.5</c:v>
                </c:pt>
                <c:pt idx="1">
                  <c:v>0.53125</c:v>
                </c:pt>
                <c:pt idx="2">
                  <c:v>10.53125</c:v>
                </c:pt>
                <c:pt idx="3">
                  <c:v>3.3125</c:v>
                </c:pt>
                <c:pt idx="4">
                  <c:v>5.5625</c:v>
                </c:pt>
                <c:pt idx="5">
                  <c:v>4.8125</c:v>
                </c:pt>
                <c:pt idx="6">
                  <c:v>4.8125</c:v>
                </c:pt>
                <c:pt idx="7">
                  <c:v>7.0625</c:v>
                </c:pt>
                <c:pt idx="8">
                  <c:v>7.2874999999999996</c:v>
                </c:pt>
                <c:pt idx="9">
                  <c:v>6.0875000000000004</c:v>
                </c:pt>
                <c:pt idx="10">
                  <c:v>9.8375000000000004</c:v>
                </c:pt>
                <c:pt idx="11">
                  <c:v>11.5875</c:v>
                </c:pt>
                <c:pt idx="12">
                  <c:v>15.612500000000002</c:v>
                </c:pt>
                <c:pt idx="13">
                  <c:v>15.062500000000004</c:v>
                </c:pt>
                <c:pt idx="14">
                  <c:v>21.362500000000004</c:v>
                </c:pt>
                <c:pt idx="15">
                  <c:v>22.612500000000004</c:v>
                </c:pt>
                <c:pt idx="16">
                  <c:v>24.312500000000004</c:v>
                </c:pt>
                <c:pt idx="17">
                  <c:v>19.03125</c:v>
                </c:pt>
                <c:pt idx="18">
                  <c:v>22.381249999999994</c:v>
                </c:pt>
                <c:pt idx="19">
                  <c:v>21.566666666666666</c:v>
                </c:pt>
                <c:pt idx="20">
                  <c:v>21.216666666666661</c:v>
                </c:pt>
                <c:pt idx="21">
                  <c:v>20.583333333333329</c:v>
                </c:pt>
                <c:pt idx="22">
                  <c:v>21.416666666666661</c:v>
                </c:pt>
                <c:pt idx="23">
                  <c:v>19.583333333333332</c:v>
                </c:pt>
                <c:pt idx="24">
                  <c:v>22.083333333333329</c:v>
                </c:pt>
                <c:pt idx="25">
                  <c:v>20.583333333333329</c:v>
                </c:pt>
                <c:pt idx="26">
                  <c:v>21.083333333333325</c:v>
                </c:pt>
                <c:pt idx="27">
                  <c:v>19.883333333333333</c:v>
                </c:pt>
                <c:pt idx="28">
                  <c:v>22.549999999999994</c:v>
                </c:pt>
                <c:pt idx="29">
                  <c:v>16.383333333333333</c:v>
                </c:pt>
                <c:pt idx="30">
                  <c:v>10.883333333333335</c:v>
                </c:pt>
                <c:pt idx="31">
                  <c:v>7.0166666666666666</c:v>
                </c:pt>
                <c:pt idx="32">
                  <c:v>8.3166666666666682</c:v>
                </c:pt>
                <c:pt idx="33">
                  <c:v>6.2500000000000009</c:v>
                </c:pt>
                <c:pt idx="34">
                  <c:v>6.3500000000000005</c:v>
                </c:pt>
                <c:pt idx="35">
                  <c:v>2.7</c:v>
                </c:pt>
                <c:pt idx="36">
                  <c:v>1.25</c:v>
                </c:pt>
              </c:numCache>
            </c:numRef>
          </c:val>
          <c:smooth val="1"/>
          <c:extLst>
            <c:ext xmlns:c16="http://schemas.microsoft.com/office/drawing/2014/chart" uri="{C3380CC4-5D6E-409C-BE32-E72D297353CC}">
              <c16:uniqueId val="{00000003-40C7-4F47-A79A-DE4EF8E984DA}"/>
            </c:ext>
          </c:extLst>
        </c:ser>
        <c:dLbls>
          <c:showLegendKey val="0"/>
          <c:showVal val="0"/>
          <c:showCatName val="0"/>
          <c:showSerName val="0"/>
          <c:showPercent val="0"/>
          <c:showBubbleSize val="0"/>
        </c:dLbls>
        <c:marker val="1"/>
        <c:smooth val="0"/>
        <c:axId val="313843343"/>
        <c:axId val="345960319"/>
      </c:lineChart>
      <c:catAx>
        <c:axId val="355461279"/>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355459839"/>
        <c:crosses val="autoZero"/>
        <c:auto val="1"/>
        <c:lblAlgn val="ctr"/>
        <c:lblOffset val="100"/>
        <c:noMultiLvlLbl val="0"/>
      </c:catAx>
      <c:valAx>
        <c:axId val="355459839"/>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355461279"/>
        <c:crosses val="autoZero"/>
        <c:crossBetween val="between"/>
      </c:valAx>
      <c:valAx>
        <c:axId val="345960319"/>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313843343"/>
        <c:crosses val="max"/>
        <c:crossBetween val="between"/>
      </c:valAx>
      <c:catAx>
        <c:axId val="313843343"/>
        <c:scaling>
          <c:orientation val="minMax"/>
        </c:scaling>
        <c:delete val="1"/>
        <c:axPos val="b"/>
        <c:numFmt formatCode="General" sourceLinked="1"/>
        <c:majorTickMark val="out"/>
        <c:minorTickMark val="none"/>
        <c:tickLblPos val="nextTo"/>
        <c:crossAx val="345960319"/>
        <c:crosses val="autoZero"/>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Graphique'!$C$2:$C$89</c:f>
              <c:numCache>
                <c:formatCode>General</c:formatCode>
                <c:ptCount val="88"/>
                <c:pt idx="0">
                  <c:v>29</c:v>
                </c:pt>
                <c:pt idx="1">
                  <c:v>24</c:v>
                </c:pt>
                <c:pt idx="2">
                  <c:v>28</c:v>
                </c:pt>
                <c:pt idx="3">
                  <c:v>24</c:v>
                </c:pt>
                <c:pt idx="4">
                  <c:v>17</c:v>
                </c:pt>
                <c:pt idx="5">
                  <c:v>17</c:v>
                </c:pt>
                <c:pt idx="6">
                  <c:v>17</c:v>
                </c:pt>
                <c:pt idx="7">
                  <c:v>17</c:v>
                </c:pt>
                <c:pt idx="8">
                  <c:v>17</c:v>
                </c:pt>
                <c:pt idx="9">
                  <c:v>17</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11</c:v>
                </c:pt>
                <c:pt idx="44">
                  <c:v>11</c:v>
                </c:pt>
                <c:pt idx="45">
                  <c:v>11</c:v>
                </c:pt>
                <c:pt idx="46">
                  <c:v>11</c:v>
                </c:pt>
                <c:pt idx="47">
                  <c:v>11</c:v>
                </c:pt>
                <c:pt idx="48">
                  <c:v>11</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8</c:v>
                </c:pt>
                <c:pt idx="65">
                  <c:v>8</c:v>
                </c:pt>
                <c:pt idx="66">
                  <c:v>8</c:v>
                </c:pt>
                <c:pt idx="67">
                  <c:v>8</c:v>
                </c:pt>
                <c:pt idx="68">
                  <c:v>8</c:v>
                </c:pt>
                <c:pt idx="69">
                  <c:v>8</c:v>
                </c:pt>
                <c:pt idx="70">
                  <c:v>19</c:v>
                </c:pt>
                <c:pt idx="71">
                  <c:v>19</c:v>
                </c:pt>
                <c:pt idx="72">
                  <c:v>8</c:v>
                </c:pt>
                <c:pt idx="73">
                  <c:v>8</c:v>
                </c:pt>
                <c:pt idx="74">
                  <c:v>8</c:v>
                </c:pt>
                <c:pt idx="75">
                  <c:v>8</c:v>
                </c:pt>
                <c:pt idx="76">
                  <c:v>8</c:v>
                </c:pt>
                <c:pt idx="77">
                  <c:v>8</c:v>
                </c:pt>
                <c:pt idx="78">
                  <c:v>8</c:v>
                </c:pt>
                <c:pt idx="79">
                  <c:v>8</c:v>
                </c:pt>
                <c:pt idx="80">
                  <c:v>8</c:v>
                </c:pt>
                <c:pt idx="81">
                  <c:v>8</c:v>
                </c:pt>
                <c:pt idx="82">
                  <c:v>16</c:v>
                </c:pt>
                <c:pt idx="83">
                  <c:v>15</c:v>
                </c:pt>
                <c:pt idx="84">
                  <c:v>19</c:v>
                </c:pt>
                <c:pt idx="85">
                  <c:v>15</c:v>
                </c:pt>
                <c:pt idx="86">
                  <c:v>19</c:v>
                </c:pt>
                <c:pt idx="87">
                  <c:v>15</c:v>
                </c:pt>
              </c:numCache>
            </c:numRef>
          </c:val>
          <c:extLst>
            <c:ext xmlns:c16="http://schemas.microsoft.com/office/drawing/2014/chart" uri="{C3380CC4-5D6E-409C-BE32-E72D297353CC}">
              <c16:uniqueId val="{00000000-62B8-4D87-B549-FC25E7AE62FB}"/>
            </c:ext>
          </c:extLst>
        </c:ser>
        <c:ser>
          <c:idx val="1"/>
          <c:order val="1"/>
          <c:tx>
            <c:v>Terminaux</c:v>
          </c:tx>
          <c:invertIfNegative val="0"/>
          <c:cat>
            <c:strRef>
              <c:f>'Bilan Graphique'!$B$2:$B$89</c:f>
              <c:strCache>
                <c:ptCount val="88"/>
                <c:pt idx="0">
                  <c:v>-2 - Z1 Z2</c:v>
                </c:pt>
                <c:pt idx="1">
                  <c:v>-2 - Z3 Z4</c:v>
                </c:pt>
                <c:pt idx="2">
                  <c:v>-1 - Z1 Z2</c:v>
                </c:pt>
                <c:pt idx="3">
                  <c:v>-1 - Z3 Z4</c:v>
                </c:pt>
                <c:pt idx="4">
                  <c:v>0 - Z1 Z2</c:v>
                </c:pt>
                <c:pt idx="5">
                  <c:v>0 - Z3 Z4</c:v>
                </c:pt>
                <c:pt idx="6">
                  <c:v>1 - Z1 Z2</c:v>
                </c:pt>
                <c:pt idx="7">
                  <c:v>1 - Z3 Z4</c:v>
                </c:pt>
                <c:pt idx="8">
                  <c:v>2 - Z1 Z2</c:v>
                </c:pt>
                <c:pt idx="9">
                  <c:v>2 - Z3 Z4</c:v>
                </c:pt>
                <c:pt idx="10">
                  <c:v>3 - Z1 Z2</c:v>
                </c:pt>
                <c:pt idx="11">
                  <c:v>3 - Z3 Z4</c:v>
                </c:pt>
                <c:pt idx="12">
                  <c:v>4 - Z1 Z2</c:v>
                </c:pt>
                <c:pt idx="13">
                  <c:v>4 - Z3 Z4</c:v>
                </c:pt>
                <c:pt idx="14">
                  <c:v>5 - Z1 Z2</c:v>
                </c:pt>
                <c:pt idx="15">
                  <c:v>5 - Z3 Z4</c:v>
                </c:pt>
                <c:pt idx="16">
                  <c:v>6 - Z1 Z2</c:v>
                </c:pt>
                <c:pt idx="17">
                  <c:v>6 - Z3 Z4</c:v>
                </c:pt>
                <c:pt idx="18">
                  <c:v>7 - Z1 Z2</c:v>
                </c:pt>
                <c:pt idx="19">
                  <c:v>7 - Z3 Z4</c:v>
                </c:pt>
                <c:pt idx="20">
                  <c:v>8 - Z1 Z2</c:v>
                </c:pt>
                <c:pt idx="21">
                  <c:v>8 - Z3 Z4</c:v>
                </c:pt>
                <c:pt idx="22">
                  <c:v>9 - Z1 Z2</c:v>
                </c:pt>
                <c:pt idx="23">
                  <c:v>9 - Z3 Z4</c:v>
                </c:pt>
                <c:pt idx="24">
                  <c:v>10 - Z1 Z2</c:v>
                </c:pt>
                <c:pt idx="25">
                  <c:v>10 - Z3 Z4</c:v>
                </c:pt>
                <c:pt idx="26">
                  <c:v>11 - Z1 Z2</c:v>
                </c:pt>
                <c:pt idx="27">
                  <c:v>11 - Z3 Z4</c:v>
                </c:pt>
                <c:pt idx="28">
                  <c:v>12 - Z1 Z2</c:v>
                </c:pt>
                <c:pt idx="29">
                  <c:v>12 - Z3 Z4</c:v>
                </c:pt>
                <c:pt idx="30">
                  <c:v>13 - Z1 Z2</c:v>
                </c:pt>
                <c:pt idx="31">
                  <c:v>13 - Z3 Z4</c:v>
                </c:pt>
                <c:pt idx="32">
                  <c:v>14 - Z1 Z2</c:v>
                </c:pt>
                <c:pt idx="33">
                  <c:v>14 - Z3 Z4</c:v>
                </c:pt>
                <c:pt idx="34">
                  <c:v>15 - Z1 Z2</c:v>
                </c:pt>
                <c:pt idx="35">
                  <c:v>15 - Z3 Z4</c:v>
                </c:pt>
                <c:pt idx="36">
                  <c:v>16 - Z1 Z2</c:v>
                </c:pt>
                <c:pt idx="37">
                  <c:v>16 - Z3 Z4</c:v>
                </c:pt>
                <c:pt idx="38">
                  <c:v>17 - Z1 Z2</c:v>
                </c:pt>
                <c:pt idx="39">
                  <c:v>17 - Z3 Z4</c:v>
                </c:pt>
                <c:pt idx="40">
                  <c:v>18 - Z1 Z2</c:v>
                </c:pt>
                <c:pt idx="41">
                  <c:v>18 - Z3 Z4</c:v>
                </c:pt>
                <c:pt idx="42">
                  <c:v>19 - Z1 Z2</c:v>
                </c:pt>
                <c:pt idx="43">
                  <c:v>19 - Z3 Z4</c:v>
                </c:pt>
                <c:pt idx="44">
                  <c:v>20 - Z1 Z2</c:v>
                </c:pt>
                <c:pt idx="45">
                  <c:v>20 - Z3 Z4</c:v>
                </c:pt>
                <c:pt idx="46">
                  <c:v>21 - Z1 Z2</c:v>
                </c:pt>
                <c:pt idx="47">
                  <c:v>21 - Z3 Z4</c:v>
                </c:pt>
                <c:pt idx="48">
                  <c:v>22 - Z1 Z2</c:v>
                </c:pt>
                <c:pt idx="49">
                  <c:v>22 - Z3 Z4</c:v>
                </c:pt>
                <c:pt idx="50">
                  <c:v>23 - Z1 Z2</c:v>
                </c:pt>
                <c:pt idx="51">
                  <c:v>23 - Z3 Z4</c:v>
                </c:pt>
                <c:pt idx="52">
                  <c:v>24 - Z1 Z2</c:v>
                </c:pt>
                <c:pt idx="53">
                  <c:v>24 - Z3 Z4</c:v>
                </c:pt>
                <c:pt idx="54">
                  <c:v>25 - Z1 Z2</c:v>
                </c:pt>
                <c:pt idx="55">
                  <c:v>25 - Z3 Z4</c:v>
                </c:pt>
                <c:pt idx="56">
                  <c:v>26 - Z1 Z2</c:v>
                </c:pt>
                <c:pt idx="57">
                  <c:v>26 - Z3 Z4</c:v>
                </c:pt>
                <c:pt idx="58">
                  <c:v>27 - Z1 Z2</c:v>
                </c:pt>
                <c:pt idx="59">
                  <c:v>27 - Z3 Z4</c:v>
                </c:pt>
                <c:pt idx="60">
                  <c:v>28 - Z1 Z2</c:v>
                </c:pt>
                <c:pt idx="61">
                  <c:v>28 - Z3 Z4</c:v>
                </c:pt>
                <c:pt idx="62">
                  <c:v>29 - Z1 Z2</c:v>
                </c:pt>
                <c:pt idx="63">
                  <c:v>29 - Z3 Z4</c:v>
                </c:pt>
                <c:pt idx="64">
                  <c:v>30 - Z1 Z2</c:v>
                </c:pt>
                <c:pt idx="65">
                  <c:v>30 - Z3 Z4</c:v>
                </c:pt>
                <c:pt idx="66">
                  <c:v>31 - Z1 Z2</c:v>
                </c:pt>
                <c:pt idx="67">
                  <c:v>31 - Z3 Z4</c:v>
                </c:pt>
                <c:pt idx="68">
                  <c:v>32 - Z1 Z2</c:v>
                </c:pt>
                <c:pt idx="69">
                  <c:v>32 - Z3 Z4</c:v>
                </c:pt>
                <c:pt idx="70">
                  <c:v>33 - Z1 Z2</c:v>
                </c:pt>
                <c:pt idx="71">
                  <c:v>33 - Z3 Z4</c:v>
                </c:pt>
                <c:pt idx="72">
                  <c:v>34 - Z1 Z2</c:v>
                </c:pt>
                <c:pt idx="73">
                  <c:v>34 - Z3 Z4</c:v>
                </c:pt>
                <c:pt idx="74">
                  <c:v>35 - Z1 Z2</c:v>
                </c:pt>
                <c:pt idx="75">
                  <c:v>35 - Z3 Z4</c:v>
                </c:pt>
                <c:pt idx="76">
                  <c:v>36 - Z1 Z2</c:v>
                </c:pt>
                <c:pt idx="77">
                  <c:v>36 - Z3 Z4</c:v>
                </c:pt>
                <c:pt idx="78">
                  <c:v>37 - Z1 Z2</c:v>
                </c:pt>
                <c:pt idx="79">
                  <c:v>37 - Z3 Z4</c:v>
                </c:pt>
                <c:pt idx="80">
                  <c:v>38 - Z1 Z2</c:v>
                </c:pt>
                <c:pt idx="81">
                  <c:v>38 - Z3 Z4</c:v>
                </c:pt>
                <c:pt idx="82">
                  <c:v>39 - Z1 Z2</c:v>
                </c:pt>
                <c:pt idx="83">
                  <c:v>39 - Z3 Z4</c:v>
                </c:pt>
                <c:pt idx="84">
                  <c:v>40 - Z1 Z2</c:v>
                </c:pt>
                <c:pt idx="85">
                  <c:v>40 - Z3 Z4</c:v>
                </c:pt>
                <c:pt idx="86">
                  <c:v>41 - Z1 Z2</c:v>
                </c:pt>
                <c:pt idx="87">
                  <c:v>41 - Z3 Z4</c:v>
                </c:pt>
              </c:strCache>
            </c:strRef>
          </c:cat>
          <c:val>
            <c:numRef>
              <c:f>'Bilan Graphique'!$D$2:$D$89</c:f>
              <c:numCache>
                <c:formatCode>General</c:formatCode>
                <c:ptCount val="88"/>
                <c:pt idx="0">
                  <c:v>79</c:v>
                </c:pt>
                <c:pt idx="1">
                  <c:v>73</c:v>
                </c:pt>
                <c:pt idx="2">
                  <c:v>73</c:v>
                </c:pt>
                <c:pt idx="3">
                  <c:v>71</c:v>
                </c:pt>
                <c:pt idx="4">
                  <c:v>56</c:v>
                </c:pt>
                <c:pt idx="5">
                  <c:v>53</c:v>
                </c:pt>
                <c:pt idx="6">
                  <c:v>53</c:v>
                </c:pt>
                <c:pt idx="7">
                  <c:v>53</c:v>
                </c:pt>
                <c:pt idx="8">
                  <c:v>53</c:v>
                </c:pt>
                <c:pt idx="9">
                  <c:v>53</c:v>
                </c:pt>
                <c:pt idx="10">
                  <c:v>46</c:v>
                </c:pt>
                <c:pt idx="11">
                  <c:v>46</c:v>
                </c:pt>
                <c:pt idx="12">
                  <c:v>46</c:v>
                </c:pt>
                <c:pt idx="13">
                  <c:v>45</c:v>
                </c:pt>
                <c:pt idx="14">
                  <c:v>45</c:v>
                </c:pt>
                <c:pt idx="15">
                  <c:v>43</c:v>
                </c:pt>
                <c:pt idx="16">
                  <c:v>43</c:v>
                </c:pt>
                <c:pt idx="17">
                  <c:v>40</c:v>
                </c:pt>
                <c:pt idx="18">
                  <c:v>40</c:v>
                </c:pt>
                <c:pt idx="19">
                  <c:v>40</c:v>
                </c:pt>
                <c:pt idx="20">
                  <c:v>40</c:v>
                </c:pt>
                <c:pt idx="21">
                  <c:v>39</c:v>
                </c:pt>
                <c:pt idx="22">
                  <c:v>39</c:v>
                </c:pt>
                <c:pt idx="23">
                  <c:v>39</c:v>
                </c:pt>
                <c:pt idx="24">
                  <c:v>39</c:v>
                </c:pt>
                <c:pt idx="25">
                  <c:v>39</c:v>
                </c:pt>
                <c:pt idx="26">
                  <c:v>38</c:v>
                </c:pt>
                <c:pt idx="27">
                  <c:v>36</c:v>
                </c:pt>
                <c:pt idx="28">
                  <c:v>36</c:v>
                </c:pt>
                <c:pt idx="29">
                  <c:v>36</c:v>
                </c:pt>
                <c:pt idx="30">
                  <c:v>34</c:v>
                </c:pt>
                <c:pt idx="31">
                  <c:v>33</c:v>
                </c:pt>
                <c:pt idx="32">
                  <c:v>33</c:v>
                </c:pt>
                <c:pt idx="33">
                  <c:v>32</c:v>
                </c:pt>
                <c:pt idx="34">
                  <c:v>32</c:v>
                </c:pt>
                <c:pt idx="35">
                  <c:v>32</c:v>
                </c:pt>
                <c:pt idx="36">
                  <c:v>31</c:v>
                </c:pt>
                <c:pt idx="37">
                  <c:v>31</c:v>
                </c:pt>
                <c:pt idx="38">
                  <c:v>31</c:v>
                </c:pt>
                <c:pt idx="39">
                  <c:v>29</c:v>
                </c:pt>
                <c:pt idx="40">
                  <c:v>29</c:v>
                </c:pt>
                <c:pt idx="41">
                  <c:v>29</c:v>
                </c:pt>
                <c:pt idx="42">
                  <c:v>28</c:v>
                </c:pt>
                <c:pt idx="43">
                  <c:v>28</c:v>
                </c:pt>
                <c:pt idx="44">
                  <c:v>27</c:v>
                </c:pt>
                <c:pt idx="45">
                  <c:v>27</c:v>
                </c:pt>
                <c:pt idx="46">
                  <c:v>27</c:v>
                </c:pt>
                <c:pt idx="47">
                  <c:v>27</c:v>
                </c:pt>
                <c:pt idx="48">
                  <c:v>26</c:v>
                </c:pt>
                <c:pt idx="49">
                  <c:v>24</c:v>
                </c:pt>
                <c:pt idx="50">
                  <c:v>24</c:v>
                </c:pt>
                <c:pt idx="51">
                  <c:v>24</c:v>
                </c:pt>
                <c:pt idx="52">
                  <c:v>24</c:v>
                </c:pt>
                <c:pt idx="53">
                  <c:v>24</c:v>
                </c:pt>
                <c:pt idx="54">
                  <c:v>22</c:v>
                </c:pt>
                <c:pt idx="55">
                  <c:v>21</c:v>
                </c:pt>
                <c:pt idx="56">
                  <c:v>21</c:v>
                </c:pt>
                <c:pt idx="57">
                  <c:v>21</c:v>
                </c:pt>
                <c:pt idx="58">
                  <c:v>21</c:v>
                </c:pt>
                <c:pt idx="59">
                  <c:v>21</c:v>
                </c:pt>
                <c:pt idx="60">
                  <c:v>21</c:v>
                </c:pt>
                <c:pt idx="61">
                  <c:v>21</c:v>
                </c:pt>
                <c:pt idx="62">
                  <c:v>21</c:v>
                </c:pt>
                <c:pt idx="63">
                  <c:v>20</c:v>
                </c:pt>
                <c:pt idx="64">
                  <c:v>20</c:v>
                </c:pt>
                <c:pt idx="65">
                  <c:v>20</c:v>
                </c:pt>
                <c:pt idx="66">
                  <c:v>20</c:v>
                </c:pt>
                <c:pt idx="67">
                  <c:v>20</c:v>
                </c:pt>
                <c:pt idx="68">
                  <c:v>20</c:v>
                </c:pt>
                <c:pt idx="69">
                  <c:v>20</c:v>
                </c:pt>
                <c:pt idx="70">
                  <c:v>32</c:v>
                </c:pt>
                <c:pt idx="71">
                  <c:v>32</c:v>
                </c:pt>
                <c:pt idx="72">
                  <c:v>19</c:v>
                </c:pt>
                <c:pt idx="73">
                  <c:v>17</c:v>
                </c:pt>
                <c:pt idx="74">
                  <c:v>17</c:v>
                </c:pt>
                <c:pt idx="75">
                  <c:v>17</c:v>
                </c:pt>
                <c:pt idx="76">
                  <c:v>15</c:v>
                </c:pt>
                <c:pt idx="77">
                  <c:v>15</c:v>
                </c:pt>
                <c:pt idx="78">
                  <c:v>15</c:v>
                </c:pt>
                <c:pt idx="79">
                  <c:v>15</c:v>
                </c:pt>
                <c:pt idx="80">
                  <c:v>15</c:v>
                </c:pt>
                <c:pt idx="81">
                  <c:v>15</c:v>
                </c:pt>
                <c:pt idx="82">
                  <c:v>26</c:v>
                </c:pt>
                <c:pt idx="83">
                  <c:v>26</c:v>
                </c:pt>
                <c:pt idx="84">
                  <c:v>26</c:v>
                </c:pt>
                <c:pt idx="85">
                  <c:v>26</c:v>
                </c:pt>
                <c:pt idx="86">
                  <c:v>26</c:v>
                </c:pt>
                <c:pt idx="87">
                  <c:v>26</c:v>
                </c:pt>
              </c:numCache>
            </c:numRef>
          </c:val>
          <c:extLst>
            <c:ext xmlns:c16="http://schemas.microsoft.com/office/drawing/2014/chart" uri="{C3380CC4-5D6E-409C-BE32-E72D297353CC}">
              <c16:uniqueId val="{00000001-62B8-4D87-B549-FC25E7AE62FB}"/>
            </c:ext>
          </c:extLst>
        </c:ser>
        <c:dLbls>
          <c:showLegendKey val="0"/>
          <c:showVal val="0"/>
          <c:showCatName val="0"/>
          <c:showSerName val="0"/>
          <c:showPercent val="0"/>
          <c:showBubbleSize val="0"/>
        </c:dLbls>
        <c:gapWidth val="150"/>
        <c:overlap val="100"/>
        <c:axId val="322499135"/>
        <c:axId val="322506335"/>
      </c:barChart>
      <c:catAx>
        <c:axId val="322499135"/>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700"/>
            </a:pPr>
            <a:endParaRPr lang="fr-FR"/>
          </a:p>
        </c:txPr>
        <c:crossAx val="322506335"/>
        <c:crosses val="autoZero"/>
        <c:auto val="1"/>
        <c:lblAlgn val="ctr"/>
        <c:lblOffset val="100"/>
        <c:noMultiLvlLbl val="0"/>
      </c:catAx>
      <c:valAx>
        <c:axId val="322506335"/>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322499135"/>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Graphique'!$G$2:$G$177</c:f>
              <c:numCache>
                <c:formatCode>General</c:formatCode>
                <c:ptCount val="176"/>
                <c:pt idx="0">
                  <c:v>6</c:v>
                </c:pt>
                <c:pt idx="2">
                  <c:v>5</c:v>
                </c:pt>
                <c:pt idx="4">
                  <c:v>6</c:v>
                </c:pt>
                <c:pt idx="6">
                  <c:v>5</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6</c:v>
                </c:pt>
                <c:pt idx="142">
                  <c:v>6</c:v>
                </c:pt>
                <c:pt idx="144">
                  <c:v>3</c:v>
                </c:pt>
                <c:pt idx="146">
                  <c:v>3</c:v>
                </c:pt>
                <c:pt idx="148">
                  <c:v>3</c:v>
                </c:pt>
                <c:pt idx="150">
                  <c:v>3</c:v>
                </c:pt>
                <c:pt idx="152">
                  <c:v>3</c:v>
                </c:pt>
                <c:pt idx="154">
                  <c:v>3</c:v>
                </c:pt>
                <c:pt idx="156">
                  <c:v>3</c:v>
                </c:pt>
                <c:pt idx="158">
                  <c:v>3</c:v>
                </c:pt>
                <c:pt idx="160">
                  <c:v>3</c:v>
                </c:pt>
                <c:pt idx="162">
                  <c:v>3</c:v>
                </c:pt>
                <c:pt idx="164">
                  <c:v>5</c:v>
                </c:pt>
                <c:pt idx="166">
                  <c:v>5</c:v>
                </c:pt>
                <c:pt idx="168">
                  <c:v>6</c:v>
                </c:pt>
                <c:pt idx="170">
                  <c:v>5</c:v>
                </c:pt>
                <c:pt idx="172">
                  <c:v>6</c:v>
                </c:pt>
                <c:pt idx="174">
                  <c:v>5</c:v>
                </c:pt>
              </c:numCache>
            </c:numRef>
          </c:val>
          <c:extLst>
            <c:ext xmlns:c16="http://schemas.microsoft.com/office/drawing/2014/chart" uri="{C3380CC4-5D6E-409C-BE32-E72D297353CC}">
              <c16:uniqueId val="{00000000-408F-48D9-B846-747F1C77DD0C}"/>
            </c:ext>
          </c:extLst>
        </c:ser>
        <c:ser>
          <c:idx val="1"/>
          <c:order val="1"/>
          <c:tx>
            <c:v>Camions 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Graphique'!$H$2:$H$177</c:f>
              <c:numCache>
                <c:formatCode>General</c:formatCode>
                <c:ptCount val="176"/>
                <c:pt idx="0">
                  <c:v>5</c:v>
                </c:pt>
                <c:pt idx="2">
                  <c:v>5</c:v>
                </c:pt>
                <c:pt idx="4">
                  <c:v>5</c:v>
                </c:pt>
                <c:pt idx="6">
                  <c:v>5</c:v>
                </c:pt>
                <c:pt idx="8">
                  <c:v>5</c:v>
                </c:pt>
                <c:pt idx="10">
                  <c:v>5</c:v>
                </c:pt>
                <c:pt idx="12">
                  <c:v>5</c:v>
                </c:pt>
                <c:pt idx="14">
                  <c:v>5</c:v>
                </c:pt>
                <c:pt idx="16">
                  <c:v>5</c:v>
                </c:pt>
                <c:pt idx="18">
                  <c:v>5</c:v>
                </c:pt>
                <c:pt idx="20">
                  <c:v>5</c:v>
                </c:pt>
                <c:pt idx="22">
                  <c:v>5</c:v>
                </c:pt>
                <c:pt idx="24">
                  <c:v>5</c:v>
                </c:pt>
                <c:pt idx="26">
                  <c:v>5</c:v>
                </c:pt>
                <c:pt idx="28">
                  <c:v>5</c:v>
                </c:pt>
                <c:pt idx="30">
                  <c:v>5</c:v>
                </c:pt>
                <c:pt idx="32">
                  <c:v>5</c:v>
                </c:pt>
                <c:pt idx="34">
                  <c:v>5</c:v>
                </c:pt>
                <c:pt idx="36">
                  <c:v>5</c:v>
                </c:pt>
                <c:pt idx="38">
                  <c:v>5</c:v>
                </c:pt>
                <c:pt idx="40">
                  <c:v>5</c:v>
                </c:pt>
                <c:pt idx="42">
                  <c:v>5</c:v>
                </c:pt>
                <c:pt idx="44">
                  <c:v>5</c:v>
                </c:pt>
                <c:pt idx="46">
                  <c:v>5</c:v>
                </c:pt>
                <c:pt idx="48">
                  <c:v>5</c:v>
                </c:pt>
                <c:pt idx="50">
                  <c:v>5</c:v>
                </c:pt>
                <c:pt idx="52">
                  <c:v>5</c:v>
                </c:pt>
                <c:pt idx="54">
                  <c:v>5</c:v>
                </c:pt>
                <c:pt idx="56">
                  <c:v>5</c:v>
                </c:pt>
                <c:pt idx="58">
                  <c:v>5</c:v>
                </c:pt>
                <c:pt idx="60">
                  <c:v>5</c:v>
                </c:pt>
                <c:pt idx="62">
                  <c:v>5</c:v>
                </c:pt>
                <c:pt idx="64">
                  <c:v>5</c:v>
                </c:pt>
                <c:pt idx="66">
                  <c:v>5</c:v>
                </c:pt>
                <c:pt idx="68">
                  <c:v>5</c:v>
                </c:pt>
                <c:pt idx="70">
                  <c:v>5</c:v>
                </c:pt>
                <c:pt idx="72">
                  <c:v>5</c:v>
                </c:pt>
                <c:pt idx="74">
                  <c:v>5</c:v>
                </c:pt>
                <c:pt idx="76">
                  <c:v>5</c:v>
                </c:pt>
                <c:pt idx="78">
                  <c:v>5</c:v>
                </c:pt>
                <c:pt idx="80">
                  <c:v>5</c:v>
                </c:pt>
                <c:pt idx="82">
                  <c:v>5</c:v>
                </c:pt>
                <c:pt idx="84">
                  <c:v>5</c:v>
                </c:pt>
                <c:pt idx="86">
                  <c:v>5</c:v>
                </c:pt>
                <c:pt idx="88">
                  <c:v>5</c:v>
                </c:pt>
                <c:pt idx="90">
                  <c:v>5</c:v>
                </c:pt>
                <c:pt idx="92">
                  <c:v>5</c:v>
                </c:pt>
                <c:pt idx="94">
                  <c:v>5</c:v>
                </c:pt>
                <c:pt idx="96">
                  <c:v>5</c:v>
                </c:pt>
                <c:pt idx="98">
                  <c:v>5</c:v>
                </c:pt>
                <c:pt idx="100">
                  <c:v>5</c:v>
                </c:pt>
                <c:pt idx="102">
                  <c:v>5</c:v>
                </c:pt>
                <c:pt idx="104">
                  <c:v>5</c:v>
                </c:pt>
                <c:pt idx="106">
                  <c:v>5</c:v>
                </c:pt>
                <c:pt idx="108">
                  <c:v>5</c:v>
                </c:pt>
                <c:pt idx="110">
                  <c:v>5</c:v>
                </c:pt>
                <c:pt idx="112">
                  <c:v>5</c:v>
                </c:pt>
                <c:pt idx="114">
                  <c:v>5</c:v>
                </c:pt>
                <c:pt idx="116">
                  <c:v>5</c:v>
                </c:pt>
                <c:pt idx="118">
                  <c:v>5</c:v>
                </c:pt>
                <c:pt idx="120">
                  <c:v>5</c:v>
                </c:pt>
                <c:pt idx="122">
                  <c:v>5</c:v>
                </c:pt>
                <c:pt idx="124">
                  <c:v>5</c:v>
                </c:pt>
                <c:pt idx="126">
                  <c:v>5</c:v>
                </c:pt>
                <c:pt idx="128">
                  <c:v>5</c:v>
                </c:pt>
                <c:pt idx="130">
                  <c:v>5</c:v>
                </c:pt>
                <c:pt idx="132">
                  <c:v>5</c:v>
                </c:pt>
                <c:pt idx="134">
                  <c:v>5</c:v>
                </c:pt>
                <c:pt idx="136">
                  <c:v>5</c:v>
                </c:pt>
                <c:pt idx="138">
                  <c:v>5</c:v>
                </c:pt>
                <c:pt idx="140">
                  <c:v>5</c:v>
                </c:pt>
                <c:pt idx="142">
                  <c:v>5</c:v>
                </c:pt>
                <c:pt idx="144">
                  <c:v>5</c:v>
                </c:pt>
                <c:pt idx="146">
                  <c:v>5</c:v>
                </c:pt>
                <c:pt idx="148">
                  <c:v>5</c:v>
                </c:pt>
                <c:pt idx="150">
                  <c:v>5</c:v>
                </c:pt>
                <c:pt idx="152">
                  <c:v>5</c:v>
                </c:pt>
                <c:pt idx="154">
                  <c:v>5</c:v>
                </c:pt>
                <c:pt idx="156">
                  <c:v>5</c:v>
                </c:pt>
                <c:pt idx="158">
                  <c:v>5</c:v>
                </c:pt>
                <c:pt idx="160">
                  <c:v>5</c:v>
                </c:pt>
                <c:pt idx="162">
                  <c:v>5</c:v>
                </c:pt>
                <c:pt idx="164">
                  <c:v>5</c:v>
                </c:pt>
                <c:pt idx="166">
                  <c:v>5</c:v>
                </c:pt>
                <c:pt idx="168">
                  <c:v>5</c:v>
                </c:pt>
                <c:pt idx="170">
                  <c:v>5</c:v>
                </c:pt>
                <c:pt idx="172">
                  <c:v>5</c:v>
                </c:pt>
                <c:pt idx="174">
                  <c:v>5</c:v>
                </c:pt>
              </c:numCache>
            </c:numRef>
          </c:val>
          <c:extLst>
            <c:ext xmlns:c16="http://schemas.microsoft.com/office/drawing/2014/chart" uri="{C3380CC4-5D6E-409C-BE32-E72D297353CC}">
              <c16:uniqueId val="{00000001-408F-48D9-B846-747F1C77DD0C}"/>
            </c:ext>
          </c:extLst>
        </c:ser>
        <c:dLbls>
          <c:showLegendKey val="0"/>
          <c:showVal val="0"/>
          <c:showCatName val="0"/>
          <c:showSerName val="0"/>
          <c:showPercent val="0"/>
          <c:showBubbleSize val="0"/>
        </c:dLbls>
        <c:gapWidth val="150"/>
        <c:overlap val="100"/>
        <c:axId val="322502495"/>
        <c:axId val="322499615"/>
      </c:barChart>
      <c:catAx>
        <c:axId val="322502495"/>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322499615"/>
        <c:crosses val="autoZero"/>
        <c:auto val="1"/>
        <c:lblAlgn val="ctr"/>
        <c:lblOffset val="100"/>
        <c:noMultiLvlLbl val="0"/>
      </c:catAx>
      <c:valAx>
        <c:axId val="322499615"/>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22502495"/>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Graphique'!$I$3:$I$177</c:f>
              <c:numCache>
                <c:formatCode>General</c:formatCode>
                <c:ptCount val="175"/>
                <c:pt idx="0">
                  <c:v>5</c:v>
                </c:pt>
                <c:pt idx="2">
                  <c:v>4</c:v>
                </c:pt>
                <c:pt idx="4">
                  <c:v>5</c:v>
                </c:pt>
                <c:pt idx="6">
                  <c:v>4</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5</c:v>
                </c:pt>
                <c:pt idx="142">
                  <c:v>5</c:v>
                </c:pt>
                <c:pt idx="144">
                  <c:v>3</c:v>
                </c:pt>
                <c:pt idx="146">
                  <c:v>3</c:v>
                </c:pt>
                <c:pt idx="148">
                  <c:v>3</c:v>
                </c:pt>
                <c:pt idx="150">
                  <c:v>3</c:v>
                </c:pt>
                <c:pt idx="152">
                  <c:v>3</c:v>
                </c:pt>
                <c:pt idx="154">
                  <c:v>3</c:v>
                </c:pt>
                <c:pt idx="156">
                  <c:v>3</c:v>
                </c:pt>
                <c:pt idx="158">
                  <c:v>3</c:v>
                </c:pt>
                <c:pt idx="160">
                  <c:v>3</c:v>
                </c:pt>
                <c:pt idx="162">
                  <c:v>3</c:v>
                </c:pt>
                <c:pt idx="164">
                  <c:v>5</c:v>
                </c:pt>
                <c:pt idx="166">
                  <c:v>4</c:v>
                </c:pt>
                <c:pt idx="168">
                  <c:v>5</c:v>
                </c:pt>
                <c:pt idx="170">
                  <c:v>4</c:v>
                </c:pt>
                <c:pt idx="172">
                  <c:v>5</c:v>
                </c:pt>
                <c:pt idx="174">
                  <c:v>4</c:v>
                </c:pt>
              </c:numCache>
            </c:numRef>
          </c:val>
          <c:extLst>
            <c:ext xmlns:c16="http://schemas.microsoft.com/office/drawing/2014/chart" uri="{C3380CC4-5D6E-409C-BE32-E72D297353CC}">
              <c16:uniqueId val="{00000000-01C6-4F44-889F-6EB0D9AB7990}"/>
            </c:ext>
          </c:extLst>
        </c:ser>
        <c:ser>
          <c:idx val="1"/>
          <c:order val="1"/>
          <c:tx>
            <c:v>Camions 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Graphique'!$J$3:$J$177</c:f>
              <c:numCache>
                <c:formatCode>General</c:formatCode>
                <c:ptCount val="175"/>
                <c:pt idx="0">
                  <c:v>4</c:v>
                </c:pt>
                <c:pt idx="2">
                  <c:v>4</c:v>
                </c:pt>
                <c:pt idx="4">
                  <c:v>4</c:v>
                </c:pt>
                <c:pt idx="6">
                  <c:v>4</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2</c:v>
                </c:pt>
                <c:pt idx="56">
                  <c:v>2</c:v>
                </c:pt>
                <c:pt idx="58">
                  <c:v>2</c:v>
                </c:pt>
                <c:pt idx="60">
                  <c:v>2</c:v>
                </c:pt>
                <c:pt idx="62">
                  <c:v>2</c:v>
                </c:pt>
                <c:pt idx="64">
                  <c:v>2</c:v>
                </c:pt>
                <c:pt idx="66">
                  <c:v>2</c:v>
                </c:pt>
                <c:pt idx="68">
                  <c:v>2</c:v>
                </c:pt>
                <c:pt idx="70">
                  <c:v>2</c:v>
                </c:pt>
                <c:pt idx="72">
                  <c:v>2</c:v>
                </c:pt>
                <c:pt idx="74">
                  <c:v>2</c:v>
                </c:pt>
                <c:pt idx="76">
                  <c:v>2</c:v>
                </c:pt>
                <c:pt idx="78">
                  <c:v>2</c:v>
                </c:pt>
                <c:pt idx="80">
                  <c:v>2</c:v>
                </c:pt>
                <c:pt idx="82">
                  <c:v>2</c:v>
                </c:pt>
                <c:pt idx="84">
                  <c:v>2</c:v>
                </c:pt>
                <c:pt idx="86">
                  <c:v>2</c:v>
                </c:pt>
                <c:pt idx="88">
                  <c:v>2</c:v>
                </c:pt>
                <c:pt idx="90">
                  <c:v>2</c:v>
                </c:pt>
                <c:pt idx="92">
                  <c:v>2</c:v>
                </c:pt>
                <c:pt idx="94">
                  <c:v>2</c:v>
                </c:pt>
                <c:pt idx="96">
                  <c:v>2</c:v>
                </c:pt>
                <c:pt idx="98">
                  <c:v>2</c:v>
                </c:pt>
                <c:pt idx="100">
                  <c:v>2</c:v>
                </c:pt>
                <c:pt idx="102">
                  <c:v>2</c:v>
                </c:pt>
                <c:pt idx="104">
                  <c:v>2</c:v>
                </c:pt>
                <c:pt idx="106">
                  <c:v>2</c:v>
                </c:pt>
                <c:pt idx="108">
                  <c:v>2</c:v>
                </c:pt>
                <c:pt idx="110">
                  <c:v>2</c:v>
                </c:pt>
                <c:pt idx="112">
                  <c:v>2</c:v>
                </c:pt>
                <c:pt idx="114">
                  <c:v>2</c:v>
                </c:pt>
                <c:pt idx="116">
                  <c:v>2</c:v>
                </c:pt>
                <c:pt idx="118">
                  <c:v>2</c:v>
                </c:pt>
                <c:pt idx="120">
                  <c:v>2</c:v>
                </c:pt>
                <c:pt idx="122">
                  <c:v>2</c:v>
                </c:pt>
                <c:pt idx="124">
                  <c:v>2</c:v>
                </c:pt>
                <c:pt idx="126">
                  <c:v>2</c:v>
                </c:pt>
                <c:pt idx="128">
                  <c:v>2</c:v>
                </c:pt>
                <c:pt idx="130">
                  <c:v>2</c:v>
                </c:pt>
                <c:pt idx="132">
                  <c:v>2</c:v>
                </c:pt>
                <c:pt idx="134">
                  <c:v>2</c:v>
                </c:pt>
                <c:pt idx="136">
                  <c:v>2</c:v>
                </c:pt>
                <c:pt idx="138">
                  <c:v>2</c:v>
                </c:pt>
                <c:pt idx="140">
                  <c:v>2</c:v>
                </c:pt>
                <c:pt idx="142">
                  <c:v>2</c:v>
                </c:pt>
                <c:pt idx="144">
                  <c:v>2</c:v>
                </c:pt>
                <c:pt idx="146">
                  <c:v>2</c:v>
                </c:pt>
                <c:pt idx="148">
                  <c:v>2</c:v>
                </c:pt>
                <c:pt idx="150">
                  <c:v>2</c:v>
                </c:pt>
                <c:pt idx="152">
                  <c:v>2</c:v>
                </c:pt>
                <c:pt idx="154">
                  <c:v>2</c:v>
                </c:pt>
                <c:pt idx="156">
                  <c:v>2</c:v>
                </c:pt>
                <c:pt idx="158">
                  <c:v>2</c:v>
                </c:pt>
                <c:pt idx="160">
                  <c:v>2</c:v>
                </c:pt>
                <c:pt idx="162">
                  <c:v>2</c:v>
                </c:pt>
                <c:pt idx="164">
                  <c:v>2</c:v>
                </c:pt>
                <c:pt idx="166">
                  <c:v>2</c:v>
                </c:pt>
                <c:pt idx="168">
                  <c:v>2</c:v>
                </c:pt>
                <c:pt idx="170">
                  <c:v>2</c:v>
                </c:pt>
                <c:pt idx="172">
                  <c:v>2</c:v>
                </c:pt>
                <c:pt idx="174">
                  <c:v>2</c:v>
                </c:pt>
              </c:numCache>
            </c:numRef>
          </c:val>
          <c:extLst>
            <c:ext xmlns:c16="http://schemas.microsoft.com/office/drawing/2014/chart" uri="{C3380CC4-5D6E-409C-BE32-E72D297353CC}">
              <c16:uniqueId val="{00000001-01C6-4F44-889F-6EB0D9AB7990}"/>
            </c:ext>
          </c:extLst>
        </c:ser>
        <c:dLbls>
          <c:showLegendKey val="0"/>
          <c:showVal val="0"/>
          <c:showCatName val="0"/>
          <c:showSerName val="0"/>
          <c:showPercent val="0"/>
          <c:showBubbleSize val="0"/>
        </c:dLbls>
        <c:gapWidth val="150"/>
        <c:overlap val="100"/>
        <c:axId val="322502975"/>
        <c:axId val="322514015"/>
      </c:barChart>
      <c:catAx>
        <c:axId val="322502975"/>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322514015"/>
        <c:crosses val="autoZero"/>
        <c:auto val="1"/>
        <c:lblAlgn val="ctr"/>
        <c:lblOffset val="100"/>
        <c:noMultiLvlLbl val="0"/>
      </c:catAx>
      <c:valAx>
        <c:axId val="322514015"/>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22502975"/>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Graphique'!$G$2:$G$177</c:f>
              <c:numCache>
                <c:formatCode>General</c:formatCode>
                <c:ptCount val="176"/>
                <c:pt idx="0">
                  <c:v>6</c:v>
                </c:pt>
                <c:pt idx="2">
                  <c:v>5</c:v>
                </c:pt>
                <c:pt idx="4">
                  <c:v>6</c:v>
                </c:pt>
                <c:pt idx="6">
                  <c:v>5</c:v>
                </c:pt>
                <c:pt idx="8">
                  <c:v>3</c:v>
                </c:pt>
                <c:pt idx="10">
                  <c:v>3</c:v>
                </c:pt>
                <c:pt idx="12">
                  <c:v>3</c:v>
                </c:pt>
                <c:pt idx="14">
                  <c:v>3</c:v>
                </c:pt>
                <c:pt idx="16">
                  <c:v>3</c:v>
                </c:pt>
                <c:pt idx="18">
                  <c:v>3</c:v>
                </c:pt>
                <c:pt idx="20">
                  <c:v>3</c:v>
                </c:pt>
                <c:pt idx="22">
                  <c:v>3</c:v>
                </c:pt>
                <c:pt idx="24">
                  <c:v>3</c:v>
                </c:pt>
                <c:pt idx="26">
                  <c:v>3</c:v>
                </c:pt>
                <c:pt idx="28">
                  <c:v>3</c:v>
                </c:pt>
                <c:pt idx="30">
                  <c:v>3</c:v>
                </c:pt>
                <c:pt idx="32">
                  <c:v>3</c:v>
                </c:pt>
                <c:pt idx="34">
                  <c:v>3</c:v>
                </c:pt>
                <c:pt idx="36">
                  <c:v>3</c:v>
                </c:pt>
                <c:pt idx="38">
                  <c:v>3</c:v>
                </c:pt>
                <c:pt idx="40">
                  <c:v>3</c:v>
                </c:pt>
                <c:pt idx="42">
                  <c:v>3</c:v>
                </c:pt>
                <c:pt idx="44">
                  <c:v>3</c:v>
                </c:pt>
                <c:pt idx="46">
                  <c:v>3</c:v>
                </c:pt>
                <c:pt idx="48">
                  <c:v>3</c:v>
                </c:pt>
                <c:pt idx="50">
                  <c:v>3</c:v>
                </c:pt>
                <c:pt idx="52">
                  <c:v>3</c:v>
                </c:pt>
                <c:pt idx="54">
                  <c:v>3</c:v>
                </c:pt>
                <c:pt idx="56">
                  <c:v>3</c:v>
                </c:pt>
                <c:pt idx="58">
                  <c:v>3</c:v>
                </c:pt>
                <c:pt idx="60">
                  <c:v>3</c:v>
                </c:pt>
                <c:pt idx="62">
                  <c:v>3</c:v>
                </c:pt>
                <c:pt idx="64">
                  <c:v>3</c:v>
                </c:pt>
                <c:pt idx="66">
                  <c:v>3</c:v>
                </c:pt>
                <c:pt idx="68">
                  <c:v>3</c:v>
                </c:pt>
                <c:pt idx="70">
                  <c:v>3</c:v>
                </c:pt>
                <c:pt idx="72">
                  <c:v>3</c:v>
                </c:pt>
                <c:pt idx="74">
                  <c:v>3</c:v>
                </c:pt>
                <c:pt idx="76">
                  <c:v>3</c:v>
                </c:pt>
                <c:pt idx="78">
                  <c:v>3</c:v>
                </c:pt>
                <c:pt idx="80">
                  <c:v>3</c:v>
                </c:pt>
                <c:pt idx="82">
                  <c:v>3</c:v>
                </c:pt>
                <c:pt idx="84">
                  <c:v>3</c:v>
                </c:pt>
                <c:pt idx="86">
                  <c:v>3</c:v>
                </c:pt>
                <c:pt idx="88">
                  <c:v>3</c:v>
                </c:pt>
                <c:pt idx="90">
                  <c:v>3</c:v>
                </c:pt>
                <c:pt idx="92">
                  <c:v>3</c:v>
                </c:pt>
                <c:pt idx="94">
                  <c:v>3</c:v>
                </c:pt>
                <c:pt idx="96">
                  <c:v>3</c:v>
                </c:pt>
                <c:pt idx="98">
                  <c:v>3</c:v>
                </c:pt>
                <c:pt idx="100">
                  <c:v>3</c:v>
                </c:pt>
                <c:pt idx="102">
                  <c:v>3</c:v>
                </c:pt>
                <c:pt idx="104">
                  <c:v>3</c:v>
                </c:pt>
                <c:pt idx="106">
                  <c:v>3</c:v>
                </c:pt>
                <c:pt idx="108">
                  <c:v>3</c:v>
                </c:pt>
                <c:pt idx="110">
                  <c:v>3</c:v>
                </c:pt>
                <c:pt idx="112">
                  <c:v>3</c:v>
                </c:pt>
                <c:pt idx="114">
                  <c:v>3</c:v>
                </c:pt>
                <c:pt idx="116">
                  <c:v>3</c:v>
                </c:pt>
                <c:pt idx="118">
                  <c:v>3</c:v>
                </c:pt>
                <c:pt idx="120">
                  <c:v>3</c:v>
                </c:pt>
                <c:pt idx="122">
                  <c:v>3</c:v>
                </c:pt>
                <c:pt idx="124">
                  <c:v>3</c:v>
                </c:pt>
                <c:pt idx="126">
                  <c:v>3</c:v>
                </c:pt>
                <c:pt idx="128">
                  <c:v>3</c:v>
                </c:pt>
                <c:pt idx="130">
                  <c:v>3</c:v>
                </c:pt>
                <c:pt idx="132">
                  <c:v>3</c:v>
                </c:pt>
                <c:pt idx="134">
                  <c:v>3</c:v>
                </c:pt>
                <c:pt idx="136">
                  <c:v>3</c:v>
                </c:pt>
                <c:pt idx="138">
                  <c:v>3</c:v>
                </c:pt>
                <c:pt idx="140">
                  <c:v>6</c:v>
                </c:pt>
                <c:pt idx="142">
                  <c:v>6</c:v>
                </c:pt>
                <c:pt idx="144">
                  <c:v>3</c:v>
                </c:pt>
                <c:pt idx="146">
                  <c:v>3</c:v>
                </c:pt>
                <c:pt idx="148">
                  <c:v>3</c:v>
                </c:pt>
                <c:pt idx="150">
                  <c:v>3</c:v>
                </c:pt>
                <c:pt idx="152">
                  <c:v>3</c:v>
                </c:pt>
                <c:pt idx="154">
                  <c:v>3</c:v>
                </c:pt>
                <c:pt idx="156">
                  <c:v>3</c:v>
                </c:pt>
                <c:pt idx="158">
                  <c:v>3</c:v>
                </c:pt>
                <c:pt idx="160">
                  <c:v>3</c:v>
                </c:pt>
                <c:pt idx="162">
                  <c:v>3</c:v>
                </c:pt>
                <c:pt idx="164">
                  <c:v>5</c:v>
                </c:pt>
                <c:pt idx="166">
                  <c:v>5</c:v>
                </c:pt>
                <c:pt idx="168">
                  <c:v>6</c:v>
                </c:pt>
                <c:pt idx="170">
                  <c:v>5</c:v>
                </c:pt>
                <c:pt idx="172">
                  <c:v>6</c:v>
                </c:pt>
                <c:pt idx="174">
                  <c:v>5</c:v>
                </c:pt>
              </c:numCache>
            </c:numRef>
          </c:val>
          <c:extLst>
            <c:ext xmlns:c16="http://schemas.microsoft.com/office/drawing/2014/chart" uri="{C3380CC4-5D6E-409C-BE32-E72D297353CC}">
              <c16:uniqueId val="{00000000-C1E7-4147-B804-EA5D52A5A8AE}"/>
            </c:ext>
          </c:extLst>
        </c:ser>
        <c:ser>
          <c:idx val="1"/>
          <c:order val="1"/>
          <c:tx>
            <c:v>Terminaux</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Graphique'!$H$2:$H$177</c:f>
              <c:numCache>
                <c:formatCode>General</c:formatCode>
                <c:ptCount val="176"/>
                <c:pt idx="0">
                  <c:v>5</c:v>
                </c:pt>
                <c:pt idx="2">
                  <c:v>5</c:v>
                </c:pt>
                <c:pt idx="4">
                  <c:v>5</c:v>
                </c:pt>
                <c:pt idx="6">
                  <c:v>5</c:v>
                </c:pt>
                <c:pt idx="8">
                  <c:v>5</c:v>
                </c:pt>
                <c:pt idx="10">
                  <c:v>5</c:v>
                </c:pt>
                <c:pt idx="12">
                  <c:v>5</c:v>
                </c:pt>
                <c:pt idx="14">
                  <c:v>5</c:v>
                </c:pt>
                <c:pt idx="16">
                  <c:v>5</c:v>
                </c:pt>
                <c:pt idx="18">
                  <c:v>5</c:v>
                </c:pt>
                <c:pt idx="20">
                  <c:v>5</c:v>
                </c:pt>
                <c:pt idx="22">
                  <c:v>5</c:v>
                </c:pt>
                <c:pt idx="24">
                  <c:v>5</c:v>
                </c:pt>
                <c:pt idx="26">
                  <c:v>5</c:v>
                </c:pt>
                <c:pt idx="28">
                  <c:v>5</c:v>
                </c:pt>
                <c:pt idx="30">
                  <c:v>5</c:v>
                </c:pt>
                <c:pt idx="32">
                  <c:v>5</c:v>
                </c:pt>
                <c:pt idx="34">
                  <c:v>5</c:v>
                </c:pt>
                <c:pt idx="36">
                  <c:v>5</c:v>
                </c:pt>
                <c:pt idx="38">
                  <c:v>5</c:v>
                </c:pt>
                <c:pt idx="40">
                  <c:v>5</c:v>
                </c:pt>
                <c:pt idx="42">
                  <c:v>5</c:v>
                </c:pt>
                <c:pt idx="44">
                  <c:v>5</c:v>
                </c:pt>
                <c:pt idx="46">
                  <c:v>5</c:v>
                </c:pt>
                <c:pt idx="48">
                  <c:v>5</c:v>
                </c:pt>
                <c:pt idx="50">
                  <c:v>5</c:v>
                </c:pt>
                <c:pt idx="52">
                  <c:v>5</c:v>
                </c:pt>
                <c:pt idx="54">
                  <c:v>5</c:v>
                </c:pt>
                <c:pt idx="56">
                  <c:v>5</c:v>
                </c:pt>
                <c:pt idx="58">
                  <c:v>5</c:v>
                </c:pt>
                <c:pt idx="60">
                  <c:v>5</c:v>
                </c:pt>
                <c:pt idx="62">
                  <c:v>5</c:v>
                </c:pt>
                <c:pt idx="64">
                  <c:v>5</c:v>
                </c:pt>
                <c:pt idx="66">
                  <c:v>5</c:v>
                </c:pt>
                <c:pt idx="68">
                  <c:v>5</c:v>
                </c:pt>
                <c:pt idx="70">
                  <c:v>5</c:v>
                </c:pt>
                <c:pt idx="72">
                  <c:v>5</c:v>
                </c:pt>
                <c:pt idx="74">
                  <c:v>5</c:v>
                </c:pt>
                <c:pt idx="76">
                  <c:v>5</c:v>
                </c:pt>
                <c:pt idx="78">
                  <c:v>5</c:v>
                </c:pt>
                <c:pt idx="80">
                  <c:v>5</c:v>
                </c:pt>
                <c:pt idx="82">
                  <c:v>5</c:v>
                </c:pt>
                <c:pt idx="84">
                  <c:v>5</c:v>
                </c:pt>
                <c:pt idx="86">
                  <c:v>5</c:v>
                </c:pt>
                <c:pt idx="88">
                  <c:v>5</c:v>
                </c:pt>
                <c:pt idx="90">
                  <c:v>5</c:v>
                </c:pt>
                <c:pt idx="92">
                  <c:v>5</c:v>
                </c:pt>
                <c:pt idx="94">
                  <c:v>5</c:v>
                </c:pt>
                <c:pt idx="96">
                  <c:v>5</c:v>
                </c:pt>
                <c:pt idx="98">
                  <c:v>5</c:v>
                </c:pt>
                <c:pt idx="100">
                  <c:v>5</c:v>
                </c:pt>
                <c:pt idx="102">
                  <c:v>5</c:v>
                </c:pt>
                <c:pt idx="104">
                  <c:v>5</c:v>
                </c:pt>
                <c:pt idx="106">
                  <c:v>5</c:v>
                </c:pt>
                <c:pt idx="108">
                  <c:v>5</c:v>
                </c:pt>
                <c:pt idx="110">
                  <c:v>5</c:v>
                </c:pt>
                <c:pt idx="112">
                  <c:v>5</c:v>
                </c:pt>
                <c:pt idx="114">
                  <c:v>5</c:v>
                </c:pt>
                <c:pt idx="116">
                  <c:v>5</c:v>
                </c:pt>
                <c:pt idx="118">
                  <c:v>5</c:v>
                </c:pt>
                <c:pt idx="120">
                  <c:v>5</c:v>
                </c:pt>
                <c:pt idx="122">
                  <c:v>5</c:v>
                </c:pt>
                <c:pt idx="124">
                  <c:v>5</c:v>
                </c:pt>
                <c:pt idx="126">
                  <c:v>5</c:v>
                </c:pt>
                <c:pt idx="128">
                  <c:v>5</c:v>
                </c:pt>
                <c:pt idx="130">
                  <c:v>5</c:v>
                </c:pt>
                <c:pt idx="132">
                  <c:v>5</c:v>
                </c:pt>
                <c:pt idx="134">
                  <c:v>5</c:v>
                </c:pt>
                <c:pt idx="136">
                  <c:v>5</c:v>
                </c:pt>
                <c:pt idx="138">
                  <c:v>5</c:v>
                </c:pt>
                <c:pt idx="140">
                  <c:v>5</c:v>
                </c:pt>
                <c:pt idx="142">
                  <c:v>5</c:v>
                </c:pt>
                <c:pt idx="144">
                  <c:v>5</c:v>
                </c:pt>
                <c:pt idx="146">
                  <c:v>5</c:v>
                </c:pt>
                <c:pt idx="148">
                  <c:v>5</c:v>
                </c:pt>
                <c:pt idx="150">
                  <c:v>5</c:v>
                </c:pt>
                <c:pt idx="152">
                  <c:v>5</c:v>
                </c:pt>
                <c:pt idx="154">
                  <c:v>5</c:v>
                </c:pt>
                <c:pt idx="156">
                  <c:v>5</c:v>
                </c:pt>
                <c:pt idx="158">
                  <c:v>5</c:v>
                </c:pt>
                <c:pt idx="160">
                  <c:v>5</c:v>
                </c:pt>
                <c:pt idx="162">
                  <c:v>5</c:v>
                </c:pt>
                <c:pt idx="164">
                  <c:v>5</c:v>
                </c:pt>
                <c:pt idx="166">
                  <c:v>5</c:v>
                </c:pt>
                <c:pt idx="168">
                  <c:v>5</c:v>
                </c:pt>
                <c:pt idx="170">
                  <c:v>5</c:v>
                </c:pt>
                <c:pt idx="172">
                  <c:v>5</c:v>
                </c:pt>
                <c:pt idx="174">
                  <c:v>5</c:v>
                </c:pt>
              </c:numCache>
            </c:numRef>
          </c:val>
          <c:extLst>
            <c:ext xmlns:c16="http://schemas.microsoft.com/office/drawing/2014/chart" uri="{C3380CC4-5D6E-409C-BE32-E72D297353CC}">
              <c16:uniqueId val="{00000001-C1E7-4147-B804-EA5D52A5A8AE}"/>
            </c:ext>
          </c:extLst>
        </c:ser>
        <c:ser>
          <c:idx val="2"/>
          <c:order val="2"/>
          <c:tx>
            <c:v>Production Opti</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Graphique'!$I$2:$I$177</c:f>
              <c:numCache>
                <c:formatCode>General</c:formatCode>
                <c:ptCount val="176"/>
                <c:pt idx="1">
                  <c:v>5</c:v>
                </c:pt>
                <c:pt idx="3">
                  <c:v>4</c:v>
                </c:pt>
                <c:pt idx="5">
                  <c:v>5</c:v>
                </c:pt>
                <c:pt idx="7">
                  <c:v>4</c:v>
                </c:pt>
                <c:pt idx="9">
                  <c:v>3</c:v>
                </c:pt>
                <c:pt idx="11">
                  <c:v>3</c:v>
                </c:pt>
                <c:pt idx="13">
                  <c:v>3</c:v>
                </c:pt>
                <c:pt idx="15">
                  <c:v>3</c:v>
                </c:pt>
                <c:pt idx="17">
                  <c:v>3</c:v>
                </c:pt>
                <c:pt idx="19">
                  <c:v>3</c:v>
                </c:pt>
                <c:pt idx="21">
                  <c:v>3</c:v>
                </c:pt>
                <c:pt idx="23">
                  <c:v>3</c:v>
                </c:pt>
                <c:pt idx="25">
                  <c:v>3</c:v>
                </c:pt>
                <c:pt idx="27">
                  <c:v>3</c:v>
                </c:pt>
                <c:pt idx="29">
                  <c:v>3</c:v>
                </c:pt>
                <c:pt idx="31">
                  <c:v>3</c:v>
                </c:pt>
                <c:pt idx="33">
                  <c:v>3</c:v>
                </c:pt>
                <c:pt idx="35">
                  <c:v>3</c:v>
                </c:pt>
                <c:pt idx="37">
                  <c:v>3</c:v>
                </c:pt>
                <c:pt idx="39">
                  <c:v>3</c:v>
                </c:pt>
                <c:pt idx="41">
                  <c:v>3</c:v>
                </c:pt>
                <c:pt idx="43">
                  <c:v>3</c:v>
                </c:pt>
                <c:pt idx="45">
                  <c:v>3</c:v>
                </c:pt>
                <c:pt idx="47">
                  <c:v>3</c:v>
                </c:pt>
                <c:pt idx="49">
                  <c:v>3</c:v>
                </c:pt>
                <c:pt idx="51">
                  <c:v>3</c:v>
                </c:pt>
                <c:pt idx="53">
                  <c:v>3</c:v>
                </c:pt>
                <c:pt idx="55">
                  <c:v>3</c:v>
                </c:pt>
                <c:pt idx="57">
                  <c:v>3</c:v>
                </c:pt>
                <c:pt idx="59">
                  <c:v>3</c:v>
                </c:pt>
                <c:pt idx="61">
                  <c:v>3</c:v>
                </c:pt>
                <c:pt idx="63">
                  <c:v>3</c:v>
                </c:pt>
                <c:pt idx="65">
                  <c:v>3</c:v>
                </c:pt>
                <c:pt idx="67">
                  <c:v>3</c:v>
                </c:pt>
                <c:pt idx="69">
                  <c:v>3</c:v>
                </c:pt>
                <c:pt idx="71">
                  <c:v>3</c:v>
                </c:pt>
                <c:pt idx="73">
                  <c:v>3</c:v>
                </c:pt>
                <c:pt idx="75">
                  <c:v>3</c:v>
                </c:pt>
                <c:pt idx="77">
                  <c:v>3</c:v>
                </c:pt>
                <c:pt idx="79">
                  <c:v>3</c:v>
                </c:pt>
                <c:pt idx="81">
                  <c:v>3</c:v>
                </c:pt>
                <c:pt idx="83">
                  <c:v>3</c:v>
                </c:pt>
                <c:pt idx="85">
                  <c:v>3</c:v>
                </c:pt>
                <c:pt idx="87">
                  <c:v>3</c:v>
                </c:pt>
                <c:pt idx="89">
                  <c:v>3</c:v>
                </c:pt>
                <c:pt idx="91">
                  <c:v>3</c:v>
                </c:pt>
                <c:pt idx="93">
                  <c:v>3</c:v>
                </c:pt>
                <c:pt idx="95">
                  <c:v>3</c:v>
                </c:pt>
                <c:pt idx="97">
                  <c:v>3</c:v>
                </c:pt>
                <c:pt idx="99">
                  <c:v>3</c:v>
                </c:pt>
                <c:pt idx="101">
                  <c:v>3</c:v>
                </c:pt>
                <c:pt idx="103">
                  <c:v>3</c:v>
                </c:pt>
                <c:pt idx="105">
                  <c:v>3</c:v>
                </c:pt>
                <c:pt idx="107">
                  <c:v>3</c:v>
                </c:pt>
                <c:pt idx="109">
                  <c:v>3</c:v>
                </c:pt>
                <c:pt idx="111">
                  <c:v>3</c:v>
                </c:pt>
                <c:pt idx="113">
                  <c:v>3</c:v>
                </c:pt>
                <c:pt idx="115">
                  <c:v>3</c:v>
                </c:pt>
                <c:pt idx="117">
                  <c:v>3</c:v>
                </c:pt>
                <c:pt idx="119">
                  <c:v>3</c:v>
                </c:pt>
                <c:pt idx="121">
                  <c:v>3</c:v>
                </c:pt>
                <c:pt idx="123">
                  <c:v>3</c:v>
                </c:pt>
                <c:pt idx="125">
                  <c:v>3</c:v>
                </c:pt>
                <c:pt idx="127">
                  <c:v>3</c:v>
                </c:pt>
                <c:pt idx="129">
                  <c:v>3</c:v>
                </c:pt>
                <c:pt idx="131">
                  <c:v>3</c:v>
                </c:pt>
                <c:pt idx="133">
                  <c:v>3</c:v>
                </c:pt>
                <c:pt idx="135">
                  <c:v>3</c:v>
                </c:pt>
                <c:pt idx="137">
                  <c:v>3</c:v>
                </c:pt>
                <c:pt idx="139">
                  <c:v>3</c:v>
                </c:pt>
                <c:pt idx="141">
                  <c:v>5</c:v>
                </c:pt>
                <c:pt idx="143">
                  <c:v>5</c:v>
                </c:pt>
                <c:pt idx="145">
                  <c:v>3</c:v>
                </c:pt>
                <c:pt idx="147">
                  <c:v>3</c:v>
                </c:pt>
                <c:pt idx="149">
                  <c:v>3</c:v>
                </c:pt>
                <c:pt idx="151">
                  <c:v>3</c:v>
                </c:pt>
                <c:pt idx="153">
                  <c:v>3</c:v>
                </c:pt>
                <c:pt idx="155">
                  <c:v>3</c:v>
                </c:pt>
                <c:pt idx="157">
                  <c:v>3</c:v>
                </c:pt>
                <c:pt idx="159">
                  <c:v>3</c:v>
                </c:pt>
                <c:pt idx="161">
                  <c:v>3</c:v>
                </c:pt>
                <c:pt idx="163">
                  <c:v>3</c:v>
                </c:pt>
                <c:pt idx="165">
                  <c:v>5</c:v>
                </c:pt>
                <c:pt idx="167">
                  <c:v>4</c:v>
                </c:pt>
                <c:pt idx="169">
                  <c:v>5</c:v>
                </c:pt>
                <c:pt idx="171">
                  <c:v>4</c:v>
                </c:pt>
                <c:pt idx="173">
                  <c:v>5</c:v>
                </c:pt>
                <c:pt idx="175">
                  <c:v>4</c:v>
                </c:pt>
              </c:numCache>
            </c:numRef>
          </c:val>
          <c:extLst>
            <c:ext xmlns:c16="http://schemas.microsoft.com/office/drawing/2014/chart" uri="{C3380CC4-5D6E-409C-BE32-E72D297353CC}">
              <c16:uniqueId val="{00000002-C1E7-4147-B804-EA5D52A5A8AE}"/>
            </c:ext>
          </c:extLst>
        </c:ser>
        <c:ser>
          <c:idx val="3"/>
          <c:order val="3"/>
          <c:tx>
            <c:v>Terminaux Opti</c:v>
          </c:tx>
          <c:invertIfNegative val="0"/>
          <c:cat>
            <c:strRef>
              <c:f>'Bilan Graphique'!$F$2:$F$177</c:f>
              <c:strCache>
                <c:ptCount val="175"/>
                <c:pt idx="0">
                  <c:v>-2 - Z1 Z2</c:v>
                </c:pt>
                <c:pt idx="2">
                  <c:v>-2 - Z3 Z4</c:v>
                </c:pt>
                <c:pt idx="4">
                  <c:v>-1 - Z1 Z2</c:v>
                </c:pt>
                <c:pt idx="6">
                  <c:v>-1 - Z3 Z4</c:v>
                </c:pt>
                <c:pt idx="8">
                  <c:v>0 - Z1 Z2</c:v>
                </c:pt>
                <c:pt idx="10">
                  <c:v>0 - Z3 Z4</c:v>
                </c:pt>
                <c:pt idx="12">
                  <c:v>1 - Z1 Z2</c:v>
                </c:pt>
                <c:pt idx="14">
                  <c:v>1 - Z3 Z4</c:v>
                </c:pt>
                <c:pt idx="16">
                  <c:v>2 - Z1 Z2</c:v>
                </c:pt>
                <c:pt idx="18">
                  <c:v>2 - Z3 Z4</c:v>
                </c:pt>
                <c:pt idx="20">
                  <c:v>3 - Z1 Z2</c:v>
                </c:pt>
                <c:pt idx="22">
                  <c:v>3 - Z3 Z4</c:v>
                </c:pt>
                <c:pt idx="24">
                  <c:v>4 - Z1 Z2</c:v>
                </c:pt>
                <c:pt idx="26">
                  <c:v>4 - Z3 Z4</c:v>
                </c:pt>
                <c:pt idx="28">
                  <c:v>5 - Z1 Z2</c:v>
                </c:pt>
                <c:pt idx="30">
                  <c:v>5 - Z3 Z4</c:v>
                </c:pt>
                <c:pt idx="32">
                  <c:v>6 - Z1 Z2</c:v>
                </c:pt>
                <c:pt idx="34">
                  <c:v>6 - Z3 Z4</c:v>
                </c:pt>
                <c:pt idx="36">
                  <c:v>7 - Z1 Z2</c:v>
                </c:pt>
                <c:pt idx="38">
                  <c:v>7 - Z3 Z4</c:v>
                </c:pt>
                <c:pt idx="40">
                  <c:v>8 - Z1 Z2</c:v>
                </c:pt>
                <c:pt idx="42">
                  <c:v>8 - Z3 Z4</c:v>
                </c:pt>
                <c:pt idx="44">
                  <c:v>9 - Z1 Z2</c:v>
                </c:pt>
                <c:pt idx="46">
                  <c:v>9 - Z3 Z4</c:v>
                </c:pt>
                <c:pt idx="48">
                  <c:v>10 - Z1 Z2</c:v>
                </c:pt>
                <c:pt idx="50">
                  <c:v>10 - Z3 Z4</c:v>
                </c:pt>
                <c:pt idx="52">
                  <c:v>11 - Z1 Z2</c:v>
                </c:pt>
                <c:pt idx="54">
                  <c:v>11 - Z3 Z4</c:v>
                </c:pt>
                <c:pt idx="56">
                  <c:v>12 - Z1 Z2</c:v>
                </c:pt>
                <c:pt idx="58">
                  <c:v>12 - Z3 Z4</c:v>
                </c:pt>
                <c:pt idx="60">
                  <c:v>13 - Z1 Z2</c:v>
                </c:pt>
                <c:pt idx="62">
                  <c:v>13 - Z3 Z4</c:v>
                </c:pt>
                <c:pt idx="64">
                  <c:v>14 - Z1 Z2</c:v>
                </c:pt>
                <c:pt idx="66">
                  <c:v>14 - Z3 Z4</c:v>
                </c:pt>
                <c:pt idx="68">
                  <c:v>15 - Z1 Z2</c:v>
                </c:pt>
                <c:pt idx="70">
                  <c:v>15 - Z3 Z4</c:v>
                </c:pt>
                <c:pt idx="72">
                  <c:v>16 - Z1 Z2</c:v>
                </c:pt>
                <c:pt idx="74">
                  <c:v>16 - Z3 Z4</c:v>
                </c:pt>
                <c:pt idx="76">
                  <c:v>17 - Z1 Z2</c:v>
                </c:pt>
                <c:pt idx="78">
                  <c:v>17 - Z3 Z4</c:v>
                </c:pt>
                <c:pt idx="80">
                  <c:v>18 - Z1 Z2</c:v>
                </c:pt>
                <c:pt idx="82">
                  <c:v>18 - Z3 Z4</c:v>
                </c:pt>
                <c:pt idx="84">
                  <c:v>19 - Z1 Z2</c:v>
                </c:pt>
                <c:pt idx="86">
                  <c:v>19 - Z3 Z4</c:v>
                </c:pt>
                <c:pt idx="88">
                  <c:v>20 - Z1 Z2</c:v>
                </c:pt>
                <c:pt idx="90">
                  <c:v>20 - Z3 Z4</c:v>
                </c:pt>
                <c:pt idx="92">
                  <c:v>21 - Z1 Z2</c:v>
                </c:pt>
                <c:pt idx="94">
                  <c:v>21 - Z3 Z4</c:v>
                </c:pt>
                <c:pt idx="96">
                  <c:v>22 - Z1 Z2</c:v>
                </c:pt>
                <c:pt idx="98">
                  <c:v>22 - Z3 Z4</c:v>
                </c:pt>
                <c:pt idx="100">
                  <c:v>23 - Z1 Z2</c:v>
                </c:pt>
                <c:pt idx="102">
                  <c:v>23 - Z3 Z4</c:v>
                </c:pt>
                <c:pt idx="104">
                  <c:v>24 - Z1 Z2</c:v>
                </c:pt>
                <c:pt idx="106">
                  <c:v>24 - Z3 Z4</c:v>
                </c:pt>
                <c:pt idx="108">
                  <c:v>25 - Z1 Z2</c:v>
                </c:pt>
                <c:pt idx="110">
                  <c:v>25 - Z3 Z4</c:v>
                </c:pt>
                <c:pt idx="112">
                  <c:v>26 - Z1 Z2</c:v>
                </c:pt>
                <c:pt idx="114">
                  <c:v>26 - Z3 Z4</c:v>
                </c:pt>
                <c:pt idx="116">
                  <c:v>27 - Z1 Z2</c:v>
                </c:pt>
                <c:pt idx="118">
                  <c:v>27 - Z3 Z4</c:v>
                </c:pt>
                <c:pt idx="120">
                  <c:v>28 - Z1 Z2</c:v>
                </c:pt>
                <c:pt idx="122">
                  <c:v>28 - Z3 Z4</c:v>
                </c:pt>
                <c:pt idx="124">
                  <c:v>29 - Z1 Z2</c:v>
                </c:pt>
                <c:pt idx="126">
                  <c:v>29 - Z3 Z4</c:v>
                </c:pt>
                <c:pt idx="128">
                  <c:v>30 - Z1 Z2</c:v>
                </c:pt>
                <c:pt idx="130">
                  <c:v>30 - Z3 Z4</c:v>
                </c:pt>
                <c:pt idx="132">
                  <c:v>31 - Z1 Z2</c:v>
                </c:pt>
                <c:pt idx="134">
                  <c:v>31 - Z3 Z4</c:v>
                </c:pt>
                <c:pt idx="136">
                  <c:v>32 - Z1 Z2</c:v>
                </c:pt>
                <c:pt idx="138">
                  <c:v>32 - Z3 Z4</c:v>
                </c:pt>
                <c:pt idx="140">
                  <c:v>33 - Z1 Z2</c:v>
                </c:pt>
                <c:pt idx="142">
                  <c:v>33 - Z3 Z4</c:v>
                </c:pt>
                <c:pt idx="144">
                  <c:v>34 - Z1 Z2</c:v>
                </c:pt>
                <c:pt idx="146">
                  <c:v>34 - Z3 Z4</c:v>
                </c:pt>
                <c:pt idx="148">
                  <c:v>35 - Z1 Z2</c:v>
                </c:pt>
                <c:pt idx="150">
                  <c:v>35 - Z3 Z4</c:v>
                </c:pt>
                <c:pt idx="152">
                  <c:v>36 - Z1 Z2</c:v>
                </c:pt>
                <c:pt idx="154">
                  <c:v>36 - Z3 Z4</c:v>
                </c:pt>
                <c:pt idx="156">
                  <c:v>37 - Z1 Z2</c:v>
                </c:pt>
                <c:pt idx="158">
                  <c:v>37 - Z3 Z4</c:v>
                </c:pt>
                <c:pt idx="160">
                  <c:v>38 - Z1 Z2</c:v>
                </c:pt>
                <c:pt idx="162">
                  <c:v>38 - Z3 Z4</c:v>
                </c:pt>
                <c:pt idx="164">
                  <c:v>39 - Z1 Z2</c:v>
                </c:pt>
                <c:pt idx="166">
                  <c:v>39 - Z3 Z4</c:v>
                </c:pt>
                <c:pt idx="168">
                  <c:v>40 - Z1 Z2</c:v>
                </c:pt>
                <c:pt idx="170">
                  <c:v>40 - Z3 Z4</c:v>
                </c:pt>
                <c:pt idx="172">
                  <c:v>41 - Z1 Z2</c:v>
                </c:pt>
                <c:pt idx="174">
                  <c:v>41 - Z3 Z4</c:v>
                </c:pt>
              </c:strCache>
            </c:strRef>
          </c:cat>
          <c:val>
            <c:numRef>
              <c:f>'Bilan Graphique'!$J$2:$J$177</c:f>
              <c:numCache>
                <c:formatCode>General</c:formatCode>
                <c:ptCount val="176"/>
                <c:pt idx="1">
                  <c:v>4</c:v>
                </c:pt>
                <c:pt idx="3">
                  <c:v>4</c:v>
                </c:pt>
                <c:pt idx="5">
                  <c:v>4</c:v>
                </c:pt>
                <c:pt idx="7">
                  <c:v>4</c:v>
                </c:pt>
                <c:pt idx="9">
                  <c:v>3</c:v>
                </c:pt>
                <c:pt idx="11">
                  <c:v>3</c:v>
                </c:pt>
                <c:pt idx="13">
                  <c:v>3</c:v>
                </c:pt>
                <c:pt idx="15">
                  <c:v>3</c:v>
                </c:pt>
                <c:pt idx="17">
                  <c:v>3</c:v>
                </c:pt>
                <c:pt idx="19">
                  <c:v>3</c:v>
                </c:pt>
                <c:pt idx="21">
                  <c:v>3</c:v>
                </c:pt>
                <c:pt idx="23">
                  <c:v>3</c:v>
                </c:pt>
                <c:pt idx="25">
                  <c:v>3</c:v>
                </c:pt>
                <c:pt idx="27">
                  <c:v>3</c:v>
                </c:pt>
                <c:pt idx="29">
                  <c:v>3</c:v>
                </c:pt>
                <c:pt idx="31">
                  <c:v>3</c:v>
                </c:pt>
                <c:pt idx="33">
                  <c:v>3</c:v>
                </c:pt>
                <c:pt idx="35">
                  <c:v>3</c:v>
                </c:pt>
                <c:pt idx="37">
                  <c:v>3</c:v>
                </c:pt>
                <c:pt idx="39">
                  <c:v>3</c:v>
                </c:pt>
                <c:pt idx="41">
                  <c:v>3</c:v>
                </c:pt>
                <c:pt idx="43">
                  <c:v>3</c:v>
                </c:pt>
                <c:pt idx="45">
                  <c:v>3</c:v>
                </c:pt>
                <c:pt idx="47">
                  <c:v>3</c:v>
                </c:pt>
                <c:pt idx="49">
                  <c:v>3</c:v>
                </c:pt>
                <c:pt idx="51">
                  <c:v>3</c:v>
                </c:pt>
                <c:pt idx="53">
                  <c:v>3</c:v>
                </c:pt>
                <c:pt idx="55">
                  <c:v>2</c:v>
                </c:pt>
                <c:pt idx="57">
                  <c:v>2</c:v>
                </c:pt>
                <c:pt idx="59">
                  <c:v>2</c:v>
                </c:pt>
                <c:pt idx="61">
                  <c:v>2</c:v>
                </c:pt>
                <c:pt idx="63">
                  <c:v>2</c:v>
                </c:pt>
                <c:pt idx="65">
                  <c:v>2</c:v>
                </c:pt>
                <c:pt idx="67">
                  <c:v>2</c:v>
                </c:pt>
                <c:pt idx="69">
                  <c:v>2</c:v>
                </c:pt>
                <c:pt idx="71">
                  <c:v>2</c:v>
                </c:pt>
                <c:pt idx="73">
                  <c:v>2</c:v>
                </c:pt>
                <c:pt idx="75">
                  <c:v>2</c:v>
                </c:pt>
                <c:pt idx="77">
                  <c:v>2</c:v>
                </c:pt>
                <c:pt idx="79">
                  <c:v>2</c:v>
                </c:pt>
                <c:pt idx="81">
                  <c:v>2</c:v>
                </c:pt>
                <c:pt idx="83">
                  <c:v>2</c:v>
                </c:pt>
                <c:pt idx="85">
                  <c:v>2</c:v>
                </c:pt>
                <c:pt idx="87">
                  <c:v>2</c:v>
                </c:pt>
                <c:pt idx="89">
                  <c:v>2</c:v>
                </c:pt>
                <c:pt idx="91">
                  <c:v>2</c:v>
                </c:pt>
                <c:pt idx="93">
                  <c:v>2</c:v>
                </c:pt>
                <c:pt idx="95">
                  <c:v>2</c:v>
                </c:pt>
                <c:pt idx="97">
                  <c:v>2</c:v>
                </c:pt>
                <c:pt idx="99">
                  <c:v>2</c:v>
                </c:pt>
                <c:pt idx="101">
                  <c:v>2</c:v>
                </c:pt>
                <c:pt idx="103">
                  <c:v>2</c:v>
                </c:pt>
                <c:pt idx="105">
                  <c:v>2</c:v>
                </c:pt>
                <c:pt idx="107">
                  <c:v>2</c:v>
                </c:pt>
                <c:pt idx="109">
                  <c:v>2</c:v>
                </c:pt>
                <c:pt idx="111">
                  <c:v>2</c:v>
                </c:pt>
                <c:pt idx="113">
                  <c:v>2</c:v>
                </c:pt>
                <c:pt idx="115">
                  <c:v>2</c:v>
                </c:pt>
                <c:pt idx="117">
                  <c:v>2</c:v>
                </c:pt>
                <c:pt idx="119">
                  <c:v>2</c:v>
                </c:pt>
                <c:pt idx="121">
                  <c:v>2</c:v>
                </c:pt>
                <c:pt idx="123">
                  <c:v>2</c:v>
                </c:pt>
                <c:pt idx="125">
                  <c:v>2</c:v>
                </c:pt>
                <c:pt idx="127">
                  <c:v>2</c:v>
                </c:pt>
                <c:pt idx="129">
                  <c:v>2</c:v>
                </c:pt>
                <c:pt idx="131">
                  <c:v>2</c:v>
                </c:pt>
                <c:pt idx="133">
                  <c:v>2</c:v>
                </c:pt>
                <c:pt idx="135">
                  <c:v>2</c:v>
                </c:pt>
                <c:pt idx="137">
                  <c:v>2</c:v>
                </c:pt>
                <c:pt idx="139">
                  <c:v>2</c:v>
                </c:pt>
                <c:pt idx="141">
                  <c:v>2</c:v>
                </c:pt>
                <c:pt idx="143">
                  <c:v>2</c:v>
                </c:pt>
                <c:pt idx="145">
                  <c:v>2</c:v>
                </c:pt>
                <c:pt idx="147">
                  <c:v>2</c:v>
                </c:pt>
                <c:pt idx="149">
                  <c:v>2</c:v>
                </c:pt>
                <c:pt idx="151">
                  <c:v>2</c:v>
                </c:pt>
                <c:pt idx="153">
                  <c:v>2</c:v>
                </c:pt>
                <c:pt idx="155">
                  <c:v>2</c:v>
                </c:pt>
                <c:pt idx="157">
                  <c:v>2</c:v>
                </c:pt>
                <c:pt idx="159">
                  <c:v>2</c:v>
                </c:pt>
                <c:pt idx="161">
                  <c:v>2</c:v>
                </c:pt>
                <c:pt idx="163">
                  <c:v>2</c:v>
                </c:pt>
                <c:pt idx="165">
                  <c:v>2</c:v>
                </c:pt>
                <c:pt idx="167">
                  <c:v>2</c:v>
                </c:pt>
                <c:pt idx="169">
                  <c:v>2</c:v>
                </c:pt>
                <c:pt idx="171">
                  <c:v>2</c:v>
                </c:pt>
                <c:pt idx="173">
                  <c:v>2</c:v>
                </c:pt>
                <c:pt idx="175">
                  <c:v>2</c:v>
                </c:pt>
              </c:numCache>
            </c:numRef>
          </c:val>
          <c:extLst>
            <c:ext xmlns:c16="http://schemas.microsoft.com/office/drawing/2014/chart" uri="{C3380CC4-5D6E-409C-BE32-E72D297353CC}">
              <c16:uniqueId val="{00000003-C1E7-4147-B804-EA5D52A5A8AE}"/>
            </c:ext>
          </c:extLst>
        </c:ser>
        <c:dLbls>
          <c:showLegendKey val="0"/>
          <c:showVal val="0"/>
          <c:showCatName val="0"/>
          <c:showSerName val="0"/>
          <c:showPercent val="0"/>
          <c:showBubbleSize val="0"/>
        </c:dLbls>
        <c:gapWidth val="150"/>
        <c:overlap val="100"/>
        <c:axId val="345963199"/>
        <c:axId val="345958879"/>
      </c:barChart>
      <c:catAx>
        <c:axId val="345963199"/>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345958879"/>
        <c:crosses val="autoZero"/>
        <c:auto val="1"/>
        <c:lblAlgn val="ctr"/>
        <c:lblOffset val="100"/>
        <c:noMultiLvlLbl val="0"/>
      </c:catAx>
      <c:valAx>
        <c:axId val="345958879"/>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45963199"/>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0-CC70-4DF0-B858-7603370CF0A7}"/>
            </c:ext>
          </c:extLst>
        </c:ser>
        <c:dLbls>
          <c:showLegendKey val="0"/>
          <c:showVal val="0"/>
          <c:showCatName val="0"/>
          <c:showSerName val="0"/>
          <c:showPercent val="0"/>
          <c:showBubbleSize val="0"/>
        </c:dLbls>
        <c:gapWidth val="150"/>
        <c:axId val="343691391"/>
        <c:axId val="343692351"/>
      </c:barChart>
      <c:lineChart>
        <c:grouping val="standard"/>
        <c:varyColors val="0"/>
        <c:ser>
          <c:idx val="1"/>
          <c:order val="1"/>
          <c:tx>
            <c:v>Nombre de Camions</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Graphique'!$O$2:$O$38</c:f>
              <c:numCache>
                <c:formatCode>General</c:formatCode>
                <c:ptCount val="37"/>
                <c:pt idx="0">
                  <c:v>10.5</c:v>
                </c:pt>
                <c:pt idx="1">
                  <c:v>0.65625</c:v>
                </c:pt>
                <c:pt idx="2">
                  <c:v>12.65625</c:v>
                </c:pt>
                <c:pt idx="3">
                  <c:v>3.5625</c:v>
                </c:pt>
                <c:pt idx="4">
                  <c:v>5.8125</c:v>
                </c:pt>
                <c:pt idx="5">
                  <c:v>5.0625</c:v>
                </c:pt>
                <c:pt idx="6">
                  <c:v>5.0625</c:v>
                </c:pt>
                <c:pt idx="7">
                  <c:v>8.3125</c:v>
                </c:pt>
                <c:pt idx="8">
                  <c:v>9.7874999999999996</c:v>
                </c:pt>
                <c:pt idx="9">
                  <c:v>9.0875000000000004</c:v>
                </c:pt>
                <c:pt idx="10">
                  <c:v>14.3375</c:v>
                </c:pt>
                <c:pt idx="11">
                  <c:v>16.920833333333334</c:v>
                </c:pt>
                <c:pt idx="12">
                  <c:v>21.295833333333334</c:v>
                </c:pt>
                <c:pt idx="13">
                  <c:v>20.279166666666669</c:v>
                </c:pt>
                <c:pt idx="14">
                  <c:v>28.645833333333336</c:v>
                </c:pt>
                <c:pt idx="15">
                  <c:v>29.229166666666668</c:v>
                </c:pt>
                <c:pt idx="16">
                  <c:v>33.0625</c:v>
                </c:pt>
                <c:pt idx="17">
                  <c:v>30.322916666666671</c:v>
                </c:pt>
                <c:pt idx="18">
                  <c:v>33.739583333333329</c:v>
                </c:pt>
                <c:pt idx="19">
                  <c:v>34.833333333333329</c:v>
                </c:pt>
                <c:pt idx="20">
                  <c:v>33.916666666666657</c:v>
                </c:pt>
                <c:pt idx="21">
                  <c:v>34.583333333333329</c:v>
                </c:pt>
                <c:pt idx="22">
                  <c:v>34.416666666666657</c:v>
                </c:pt>
                <c:pt idx="23">
                  <c:v>32.083333333333329</c:v>
                </c:pt>
                <c:pt idx="24">
                  <c:v>36.083333333333329</c:v>
                </c:pt>
                <c:pt idx="25">
                  <c:v>33.583333333333329</c:v>
                </c:pt>
                <c:pt idx="26">
                  <c:v>32.583333333333329</c:v>
                </c:pt>
                <c:pt idx="27">
                  <c:v>32.583333333333329</c:v>
                </c:pt>
                <c:pt idx="28">
                  <c:v>37.749999999999993</c:v>
                </c:pt>
                <c:pt idx="29">
                  <c:v>29.833333333333332</c:v>
                </c:pt>
                <c:pt idx="30">
                  <c:v>18.833333333333336</c:v>
                </c:pt>
                <c:pt idx="31">
                  <c:v>11.916666666666668</c:v>
                </c:pt>
                <c:pt idx="32">
                  <c:v>11.416666666666668</c:v>
                </c:pt>
                <c:pt idx="33">
                  <c:v>8.25</c:v>
                </c:pt>
                <c:pt idx="34">
                  <c:v>8</c:v>
                </c:pt>
                <c:pt idx="35">
                  <c:v>3.5</c:v>
                </c:pt>
                <c:pt idx="36">
                  <c:v>1.5</c:v>
                </c:pt>
              </c:numCache>
            </c:numRef>
          </c:val>
          <c:smooth val="1"/>
          <c:extLst>
            <c:ext xmlns:c16="http://schemas.microsoft.com/office/drawing/2014/chart" uri="{C3380CC4-5D6E-409C-BE32-E72D297353CC}">
              <c16:uniqueId val="{00000001-CC70-4DF0-B858-7603370CF0A7}"/>
            </c:ext>
          </c:extLst>
        </c:ser>
        <c:dLbls>
          <c:showLegendKey val="0"/>
          <c:showVal val="0"/>
          <c:showCatName val="0"/>
          <c:showSerName val="0"/>
          <c:showPercent val="0"/>
          <c:showBubbleSize val="0"/>
        </c:dLbls>
        <c:marker val="1"/>
        <c:smooth val="0"/>
        <c:axId val="343698591"/>
        <c:axId val="343696671"/>
      </c:lineChart>
      <c:catAx>
        <c:axId val="343691391"/>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343692351"/>
        <c:crosses val="autoZero"/>
        <c:auto val="1"/>
        <c:lblAlgn val="ctr"/>
        <c:lblOffset val="100"/>
        <c:noMultiLvlLbl val="0"/>
      </c:catAx>
      <c:valAx>
        <c:axId val="343692351"/>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343691391"/>
        <c:crosses val="autoZero"/>
        <c:crossBetween val="between"/>
      </c:valAx>
      <c:valAx>
        <c:axId val="343696671"/>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43698591"/>
        <c:crosses val="max"/>
        <c:crossBetween val="between"/>
      </c:valAx>
      <c:catAx>
        <c:axId val="343698591"/>
        <c:scaling>
          <c:orientation val="minMax"/>
        </c:scaling>
        <c:delete val="1"/>
        <c:axPos val="b"/>
        <c:numFmt formatCode="General" sourceLinked="1"/>
        <c:majorTickMark val="out"/>
        <c:minorTickMark val="none"/>
        <c:tickLblPos val="nextTo"/>
        <c:crossAx val="343696671"/>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0-5377-4C8F-B8E1-5B3EDFFED158}"/>
            </c:ext>
          </c:extLst>
        </c:ser>
        <c:dLbls>
          <c:showLegendKey val="0"/>
          <c:showVal val="0"/>
          <c:showCatName val="0"/>
          <c:showSerName val="0"/>
          <c:showPercent val="0"/>
          <c:showBubbleSize val="0"/>
        </c:dLbls>
        <c:gapWidth val="150"/>
        <c:axId val="128062703"/>
        <c:axId val="129170607"/>
      </c:barChart>
      <c:lineChart>
        <c:grouping val="standard"/>
        <c:varyColors val="0"/>
        <c:ser>
          <c:idx val="1"/>
          <c:order val="1"/>
          <c:tx>
            <c:v>Nombre de Camions</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Graphique'!$P$2:$P$38</c:f>
              <c:numCache>
                <c:formatCode>General</c:formatCode>
                <c:ptCount val="37"/>
                <c:pt idx="0">
                  <c:v>8.5</c:v>
                </c:pt>
                <c:pt idx="1">
                  <c:v>0.53125</c:v>
                </c:pt>
                <c:pt idx="2">
                  <c:v>10.53125</c:v>
                </c:pt>
                <c:pt idx="3">
                  <c:v>3.3125</c:v>
                </c:pt>
                <c:pt idx="4">
                  <c:v>5.5625</c:v>
                </c:pt>
                <c:pt idx="5">
                  <c:v>4.8125</c:v>
                </c:pt>
                <c:pt idx="6">
                  <c:v>4.8125</c:v>
                </c:pt>
                <c:pt idx="7">
                  <c:v>7.0625</c:v>
                </c:pt>
                <c:pt idx="8">
                  <c:v>7.2874999999999996</c:v>
                </c:pt>
                <c:pt idx="9">
                  <c:v>6.0875000000000004</c:v>
                </c:pt>
                <c:pt idx="10">
                  <c:v>9.8375000000000004</c:v>
                </c:pt>
                <c:pt idx="11">
                  <c:v>11.5875</c:v>
                </c:pt>
                <c:pt idx="12">
                  <c:v>15.612500000000002</c:v>
                </c:pt>
                <c:pt idx="13">
                  <c:v>15.062500000000004</c:v>
                </c:pt>
                <c:pt idx="14">
                  <c:v>21.362500000000004</c:v>
                </c:pt>
                <c:pt idx="15">
                  <c:v>22.612500000000004</c:v>
                </c:pt>
                <c:pt idx="16">
                  <c:v>24.312500000000004</c:v>
                </c:pt>
                <c:pt idx="17">
                  <c:v>19.03125</c:v>
                </c:pt>
                <c:pt idx="18">
                  <c:v>22.381249999999994</c:v>
                </c:pt>
                <c:pt idx="19">
                  <c:v>21.566666666666666</c:v>
                </c:pt>
                <c:pt idx="20">
                  <c:v>21.216666666666661</c:v>
                </c:pt>
                <c:pt idx="21">
                  <c:v>20.583333333333329</c:v>
                </c:pt>
                <c:pt idx="22">
                  <c:v>21.416666666666661</c:v>
                </c:pt>
                <c:pt idx="23">
                  <c:v>19.583333333333332</c:v>
                </c:pt>
                <c:pt idx="24">
                  <c:v>22.083333333333329</c:v>
                </c:pt>
                <c:pt idx="25">
                  <c:v>20.583333333333329</c:v>
                </c:pt>
                <c:pt idx="26">
                  <c:v>21.083333333333325</c:v>
                </c:pt>
                <c:pt idx="27">
                  <c:v>19.883333333333333</c:v>
                </c:pt>
                <c:pt idx="28">
                  <c:v>22.549999999999994</c:v>
                </c:pt>
                <c:pt idx="29">
                  <c:v>16.383333333333333</c:v>
                </c:pt>
                <c:pt idx="30">
                  <c:v>10.883333333333335</c:v>
                </c:pt>
                <c:pt idx="31">
                  <c:v>7.0166666666666666</c:v>
                </c:pt>
                <c:pt idx="32">
                  <c:v>8.3166666666666682</c:v>
                </c:pt>
                <c:pt idx="33">
                  <c:v>6.2500000000000009</c:v>
                </c:pt>
                <c:pt idx="34">
                  <c:v>6.3500000000000005</c:v>
                </c:pt>
                <c:pt idx="35">
                  <c:v>2.7</c:v>
                </c:pt>
                <c:pt idx="36">
                  <c:v>1.25</c:v>
                </c:pt>
              </c:numCache>
            </c:numRef>
          </c:val>
          <c:smooth val="1"/>
          <c:extLst>
            <c:ext xmlns:c16="http://schemas.microsoft.com/office/drawing/2014/chart" uri="{C3380CC4-5D6E-409C-BE32-E72D297353CC}">
              <c16:uniqueId val="{00000001-5377-4C8F-B8E1-5B3EDFFED158}"/>
            </c:ext>
          </c:extLst>
        </c:ser>
        <c:dLbls>
          <c:showLegendKey val="0"/>
          <c:showVal val="0"/>
          <c:showCatName val="0"/>
          <c:showSerName val="0"/>
          <c:showPercent val="0"/>
          <c:showBubbleSize val="0"/>
        </c:dLbls>
        <c:marker val="1"/>
        <c:smooth val="0"/>
        <c:axId val="355988799"/>
        <c:axId val="129169167"/>
      </c:lineChart>
      <c:catAx>
        <c:axId val="128062703"/>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129170607"/>
        <c:crosses val="autoZero"/>
        <c:auto val="1"/>
        <c:lblAlgn val="ctr"/>
        <c:lblOffset val="100"/>
        <c:noMultiLvlLbl val="0"/>
      </c:catAx>
      <c:valAx>
        <c:axId val="129170607"/>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28062703"/>
        <c:crosses val="autoZero"/>
        <c:crossBetween val="between"/>
      </c:valAx>
      <c:valAx>
        <c:axId val="129169167"/>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55988799"/>
        <c:crosses val="max"/>
        <c:crossBetween val="between"/>
      </c:valAx>
      <c:catAx>
        <c:axId val="355988799"/>
        <c:scaling>
          <c:orientation val="minMax"/>
        </c:scaling>
        <c:delete val="1"/>
        <c:axPos val="b"/>
        <c:numFmt formatCode="General" sourceLinked="1"/>
        <c:majorTickMark val="out"/>
        <c:minorTickMark val="none"/>
        <c:tickLblPos val="nextTo"/>
        <c:crossAx val="129169167"/>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Graphique'!$N$2:$N$38</c:f>
              <c:numCache>
                <c:formatCode>General</c:formatCode>
                <c:ptCount val="37"/>
                <c:pt idx="0">
                  <c:v>102.5</c:v>
                </c:pt>
                <c:pt idx="1">
                  <c:v>6.40625</c:v>
                </c:pt>
                <c:pt idx="2">
                  <c:v>112.90625</c:v>
                </c:pt>
                <c:pt idx="3">
                  <c:v>25.28125</c:v>
                </c:pt>
                <c:pt idx="4">
                  <c:v>38.03125</c:v>
                </c:pt>
                <c:pt idx="5">
                  <c:v>33.78125</c:v>
                </c:pt>
                <c:pt idx="6">
                  <c:v>33.78125</c:v>
                </c:pt>
                <c:pt idx="7">
                  <c:v>63.03125</c:v>
                </c:pt>
                <c:pt idx="8">
                  <c:v>86.581249999999997</c:v>
                </c:pt>
                <c:pt idx="9">
                  <c:v>89.981250000000003</c:v>
                </c:pt>
                <c:pt idx="10">
                  <c:v>129.73124999999999</c:v>
                </c:pt>
                <c:pt idx="11">
                  <c:v>143.60624999999999</c:v>
                </c:pt>
                <c:pt idx="12">
                  <c:v>167.23958333333337</c:v>
                </c:pt>
                <c:pt idx="13">
                  <c:v>149.68958333333333</c:v>
                </c:pt>
                <c:pt idx="14">
                  <c:v>194.58958333333334</c:v>
                </c:pt>
                <c:pt idx="15">
                  <c:v>184.44791666666669</c:v>
                </c:pt>
                <c:pt idx="16">
                  <c:v>199.51458333333338</c:v>
                </c:pt>
                <c:pt idx="17">
                  <c:v>184.55833333333334</c:v>
                </c:pt>
                <c:pt idx="18">
                  <c:v>188.34166666666664</c:v>
                </c:pt>
                <c:pt idx="19">
                  <c:v>185.86666666666665</c:v>
                </c:pt>
                <c:pt idx="20">
                  <c:v>167.95</c:v>
                </c:pt>
                <c:pt idx="21">
                  <c:v>160.71666666666667</c:v>
                </c:pt>
                <c:pt idx="22">
                  <c:v>143.15000000000003</c:v>
                </c:pt>
                <c:pt idx="23">
                  <c:v>126.81666666666666</c:v>
                </c:pt>
                <c:pt idx="24">
                  <c:v>134.89999999999998</c:v>
                </c:pt>
                <c:pt idx="25">
                  <c:v>128.16666666666666</c:v>
                </c:pt>
                <c:pt idx="26">
                  <c:v>119.53333333333333</c:v>
                </c:pt>
                <c:pt idx="27">
                  <c:v>110.00000000000001</c:v>
                </c:pt>
                <c:pt idx="28">
                  <c:v>127.66666666666667</c:v>
                </c:pt>
                <c:pt idx="29">
                  <c:v>119.88333333333334</c:v>
                </c:pt>
                <c:pt idx="30">
                  <c:v>71.583333333333329</c:v>
                </c:pt>
                <c:pt idx="31">
                  <c:v>43.900000000000006</c:v>
                </c:pt>
                <c:pt idx="32">
                  <c:v>40.666666666666671</c:v>
                </c:pt>
                <c:pt idx="33">
                  <c:v>28.300000000000004</c:v>
                </c:pt>
                <c:pt idx="34">
                  <c:v>28.050000000000004</c:v>
                </c:pt>
                <c:pt idx="35">
                  <c:v>12.1</c:v>
                </c:pt>
                <c:pt idx="36">
                  <c:v>4.75</c:v>
                </c:pt>
              </c:numCache>
            </c:numRef>
          </c:val>
          <c:extLst>
            <c:ext xmlns:c16="http://schemas.microsoft.com/office/drawing/2014/chart" uri="{C3380CC4-5D6E-409C-BE32-E72D297353CC}">
              <c16:uniqueId val="{00000000-8F91-497F-929A-28901053DC9A}"/>
            </c:ext>
          </c:extLst>
        </c:ser>
        <c:dLbls>
          <c:showLegendKey val="0"/>
          <c:showVal val="0"/>
          <c:showCatName val="0"/>
          <c:showSerName val="0"/>
          <c:showPercent val="0"/>
          <c:showBubbleSize val="0"/>
        </c:dLbls>
        <c:gapWidth val="150"/>
        <c:axId val="355461279"/>
        <c:axId val="355459839"/>
      </c:barChart>
      <c:lineChart>
        <c:grouping val="standard"/>
        <c:varyColors val="0"/>
        <c:ser>
          <c:idx val="1"/>
          <c:order val="1"/>
          <c:tx>
            <c:v>Non Optimisée</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Graphique'!$O$2:$O$38</c:f>
              <c:numCache>
                <c:formatCode>General</c:formatCode>
                <c:ptCount val="37"/>
                <c:pt idx="0">
                  <c:v>10.5</c:v>
                </c:pt>
                <c:pt idx="1">
                  <c:v>0.65625</c:v>
                </c:pt>
                <c:pt idx="2">
                  <c:v>12.65625</c:v>
                </c:pt>
                <c:pt idx="3">
                  <c:v>3.5625</c:v>
                </c:pt>
                <c:pt idx="4">
                  <c:v>5.8125</c:v>
                </c:pt>
                <c:pt idx="5">
                  <c:v>5.0625</c:v>
                </c:pt>
                <c:pt idx="6">
                  <c:v>5.0625</c:v>
                </c:pt>
                <c:pt idx="7">
                  <c:v>8.3125</c:v>
                </c:pt>
                <c:pt idx="8">
                  <c:v>9.7874999999999996</c:v>
                </c:pt>
                <c:pt idx="9">
                  <c:v>9.0875000000000004</c:v>
                </c:pt>
                <c:pt idx="10">
                  <c:v>14.3375</c:v>
                </c:pt>
                <c:pt idx="11">
                  <c:v>16.920833333333334</c:v>
                </c:pt>
                <c:pt idx="12">
                  <c:v>21.295833333333334</c:v>
                </c:pt>
                <c:pt idx="13">
                  <c:v>20.279166666666669</c:v>
                </c:pt>
                <c:pt idx="14">
                  <c:v>28.645833333333336</c:v>
                </c:pt>
                <c:pt idx="15">
                  <c:v>29.229166666666668</c:v>
                </c:pt>
                <c:pt idx="16">
                  <c:v>33.0625</c:v>
                </c:pt>
                <c:pt idx="17">
                  <c:v>30.322916666666671</c:v>
                </c:pt>
                <c:pt idx="18">
                  <c:v>33.739583333333329</c:v>
                </c:pt>
                <c:pt idx="19">
                  <c:v>34.833333333333329</c:v>
                </c:pt>
                <c:pt idx="20">
                  <c:v>33.916666666666657</c:v>
                </c:pt>
                <c:pt idx="21">
                  <c:v>34.583333333333329</c:v>
                </c:pt>
                <c:pt idx="22">
                  <c:v>34.416666666666657</c:v>
                </c:pt>
                <c:pt idx="23">
                  <c:v>32.083333333333329</c:v>
                </c:pt>
                <c:pt idx="24">
                  <c:v>36.083333333333329</c:v>
                </c:pt>
                <c:pt idx="25">
                  <c:v>33.583333333333329</c:v>
                </c:pt>
                <c:pt idx="26">
                  <c:v>32.583333333333329</c:v>
                </c:pt>
                <c:pt idx="27">
                  <c:v>32.583333333333329</c:v>
                </c:pt>
                <c:pt idx="28">
                  <c:v>37.749999999999993</c:v>
                </c:pt>
                <c:pt idx="29">
                  <c:v>29.833333333333332</c:v>
                </c:pt>
                <c:pt idx="30">
                  <c:v>18.833333333333336</c:v>
                </c:pt>
                <c:pt idx="31">
                  <c:v>11.916666666666668</c:v>
                </c:pt>
                <c:pt idx="32">
                  <c:v>11.416666666666668</c:v>
                </c:pt>
                <c:pt idx="33">
                  <c:v>8.25</c:v>
                </c:pt>
                <c:pt idx="34">
                  <c:v>8</c:v>
                </c:pt>
                <c:pt idx="35">
                  <c:v>3.5</c:v>
                </c:pt>
                <c:pt idx="36">
                  <c:v>1.5</c:v>
                </c:pt>
              </c:numCache>
            </c:numRef>
          </c:val>
          <c:smooth val="1"/>
          <c:extLst>
            <c:ext xmlns:c16="http://schemas.microsoft.com/office/drawing/2014/chart" uri="{C3380CC4-5D6E-409C-BE32-E72D297353CC}">
              <c16:uniqueId val="{00000001-8F91-497F-929A-28901053DC9A}"/>
            </c:ext>
          </c:extLst>
        </c:ser>
        <c:ser>
          <c:idx val="2"/>
          <c:order val="2"/>
          <c:tx>
            <c:v>Optimisée</c:v>
          </c:tx>
          <c:marker>
            <c:symbol val="none"/>
          </c:marker>
          <c:cat>
            <c:strRef>
              <c:f>'Bilan Graphique'!$M$2:$M$38</c:f>
              <c:strCache>
                <c:ptCount val="37"/>
                <c:pt idx="0">
                  <c:v>2023-11</c:v>
                </c:pt>
                <c:pt idx="1">
                  <c:v>2023-12</c:v>
                </c:pt>
                <c:pt idx="2">
                  <c:v>2024-01</c:v>
                </c:pt>
                <c:pt idx="3">
                  <c:v>2024-02</c:v>
                </c:pt>
                <c:pt idx="4">
                  <c:v>2024-03</c:v>
                </c:pt>
                <c:pt idx="5">
                  <c:v>2024-04</c:v>
                </c:pt>
                <c:pt idx="6">
                  <c:v>2024-05</c:v>
                </c:pt>
                <c:pt idx="7">
                  <c:v>2024-06</c:v>
                </c:pt>
                <c:pt idx="8">
                  <c:v>2024-07</c:v>
                </c:pt>
                <c:pt idx="9">
                  <c:v>2024-08</c:v>
                </c:pt>
                <c:pt idx="10">
                  <c:v>2024-09</c:v>
                </c:pt>
                <c:pt idx="11">
                  <c:v>2024-10</c:v>
                </c:pt>
                <c:pt idx="12">
                  <c:v>2024-11</c:v>
                </c:pt>
                <c:pt idx="13">
                  <c:v>2024-12</c:v>
                </c:pt>
                <c:pt idx="14">
                  <c:v>2025-01</c:v>
                </c:pt>
                <c:pt idx="15">
                  <c:v>2025-02</c:v>
                </c:pt>
                <c:pt idx="16">
                  <c:v>2025-03</c:v>
                </c:pt>
                <c:pt idx="17">
                  <c:v>2025-04</c:v>
                </c:pt>
                <c:pt idx="18">
                  <c:v>2025-05</c:v>
                </c:pt>
                <c:pt idx="19">
                  <c:v>2025-06</c:v>
                </c:pt>
                <c:pt idx="20">
                  <c:v>2025-07</c:v>
                </c:pt>
                <c:pt idx="21">
                  <c:v>2025-08</c:v>
                </c:pt>
                <c:pt idx="22">
                  <c:v>2025-09</c:v>
                </c:pt>
                <c:pt idx="23">
                  <c:v>2025-10</c:v>
                </c:pt>
                <c:pt idx="24">
                  <c:v>2025-11</c:v>
                </c:pt>
                <c:pt idx="25">
                  <c:v>2025-12</c:v>
                </c:pt>
                <c:pt idx="26">
                  <c:v>2026-01</c:v>
                </c:pt>
                <c:pt idx="27">
                  <c:v>2026-02</c:v>
                </c:pt>
                <c:pt idx="28">
                  <c:v>2026-03</c:v>
                </c:pt>
                <c:pt idx="29">
                  <c:v>2026-04</c:v>
                </c:pt>
                <c:pt idx="30">
                  <c:v>2026-05</c:v>
                </c:pt>
                <c:pt idx="31">
                  <c:v>2026-06</c:v>
                </c:pt>
                <c:pt idx="32">
                  <c:v>2026-07</c:v>
                </c:pt>
                <c:pt idx="33">
                  <c:v>2026-08</c:v>
                </c:pt>
                <c:pt idx="34">
                  <c:v>2026-09</c:v>
                </c:pt>
                <c:pt idx="35">
                  <c:v>2026-10</c:v>
                </c:pt>
                <c:pt idx="36">
                  <c:v>2026-11</c:v>
                </c:pt>
              </c:strCache>
            </c:strRef>
          </c:cat>
          <c:val>
            <c:numRef>
              <c:f>'Bilan Graphique'!$P$2:$P$38</c:f>
              <c:numCache>
                <c:formatCode>General</c:formatCode>
                <c:ptCount val="37"/>
                <c:pt idx="0">
                  <c:v>8.5</c:v>
                </c:pt>
                <c:pt idx="1">
                  <c:v>0.53125</c:v>
                </c:pt>
                <c:pt idx="2">
                  <c:v>10.53125</c:v>
                </c:pt>
                <c:pt idx="3">
                  <c:v>3.3125</c:v>
                </c:pt>
                <c:pt idx="4">
                  <c:v>5.5625</c:v>
                </c:pt>
                <c:pt idx="5">
                  <c:v>4.8125</c:v>
                </c:pt>
                <c:pt idx="6">
                  <c:v>4.8125</c:v>
                </c:pt>
                <c:pt idx="7">
                  <c:v>7.0625</c:v>
                </c:pt>
                <c:pt idx="8">
                  <c:v>7.2874999999999996</c:v>
                </c:pt>
                <c:pt idx="9">
                  <c:v>6.0875000000000004</c:v>
                </c:pt>
                <c:pt idx="10">
                  <c:v>9.8375000000000004</c:v>
                </c:pt>
                <c:pt idx="11">
                  <c:v>11.5875</c:v>
                </c:pt>
                <c:pt idx="12">
                  <c:v>15.612500000000002</c:v>
                </c:pt>
                <c:pt idx="13">
                  <c:v>15.062500000000004</c:v>
                </c:pt>
                <c:pt idx="14">
                  <c:v>21.362500000000004</c:v>
                </c:pt>
                <c:pt idx="15">
                  <c:v>22.612500000000004</c:v>
                </c:pt>
                <c:pt idx="16">
                  <c:v>24.312500000000004</c:v>
                </c:pt>
                <c:pt idx="17">
                  <c:v>19.03125</c:v>
                </c:pt>
                <c:pt idx="18">
                  <c:v>22.381249999999994</c:v>
                </c:pt>
                <c:pt idx="19">
                  <c:v>21.566666666666666</c:v>
                </c:pt>
                <c:pt idx="20">
                  <c:v>21.216666666666661</c:v>
                </c:pt>
                <c:pt idx="21">
                  <c:v>20.583333333333329</c:v>
                </c:pt>
                <c:pt idx="22">
                  <c:v>21.416666666666661</c:v>
                </c:pt>
                <c:pt idx="23">
                  <c:v>19.583333333333332</c:v>
                </c:pt>
                <c:pt idx="24">
                  <c:v>22.083333333333329</c:v>
                </c:pt>
                <c:pt idx="25">
                  <c:v>20.583333333333329</c:v>
                </c:pt>
                <c:pt idx="26">
                  <c:v>21.083333333333325</c:v>
                </c:pt>
                <c:pt idx="27">
                  <c:v>19.883333333333333</c:v>
                </c:pt>
                <c:pt idx="28">
                  <c:v>22.549999999999994</c:v>
                </c:pt>
                <c:pt idx="29">
                  <c:v>16.383333333333333</c:v>
                </c:pt>
                <c:pt idx="30">
                  <c:v>10.883333333333335</c:v>
                </c:pt>
                <c:pt idx="31">
                  <c:v>7.0166666666666666</c:v>
                </c:pt>
                <c:pt idx="32">
                  <c:v>8.3166666666666682</c:v>
                </c:pt>
                <c:pt idx="33">
                  <c:v>6.2500000000000009</c:v>
                </c:pt>
                <c:pt idx="34">
                  <c:v>6.3500000000000005</c:v>
                </c:pt>
                <c:pt idx="35">
                  <c:v>2.7</c:v>
                </c:pt>
                <c:pt idx="36">
                  <c:v>1.25</c:v>
                </c:pt>
              </c:numCache>
            </c:numRef>
          </c:val>
          <c:smooth val="1"/>
          <c:extLst>
            <c:ext xmlns:c16="http://schemas.microsoft.com/office/drawing/2014/chart" uri="{C3380CC4-5D6E-409C-BE32-E72D297353CC}">
              <c16:uniqueId val="{00000002-8F91-497F-929A-28901053DC9A}"/>
            </c:ext>
          </c:extLst>
        </c:ser>
        <c:dLbls>
          <c:showLegendKey val="0"/>
          <c:showVal val="0"/>
          <c:showCatName val="0"/>
          <c:showSerName val="0"/>
          <c:showPercent val="0"/>
          <c:showBubbleSize val="0"/>
        </c:dLbls>
        <c:marker val="1"/>
        <c:smooth val="0"/>
        <c:axId val="313843343"/>
        <c:axId val="345960319"/>
      </c:lineChart>
      <c:catAx>
        <c:axId val="355461279"/>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355459839"/>
        <c:crosses val="autoZero"/>
        <c:auto val="1"/>
        <c:lblAlgn val="ctr"/>
        <c:lblOffset val="100"/>
        <c:noMultiLvlLbl val="0"/>
      </c:catAx>
      <c:valAx>
        <c:axId val="355459839"/>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355461279"/>
        <c:crosses val="autoZero"/>
        <c:crossBetween val="between"/>
      </c:valAx>
      <c:valAx>
        <c:axId val="345960319"/>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313843343"/>
        <c:crosses val="max"/>
        <c:crossBetween val="between"/>
      </c:valAx>
      <c:catAx>
        <c:axId val="313843343"/>
        <c:scaling>
          <c:orientation val="minMax"/>
        </c:scaling>
        <c:delete val="1"/>
        <c:axPos val="b"/>
        <c:numFmt formatCode="General" sourceLinked="1"/>
        <c:majorTickMark val="out"/>
        <c:minorTickMark val="none"/>
        <c:tickLblPos val="nextTo"/>
        <c:crossAx val="345960319"/>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xdr:row>
          <xdr:rowOff>76200</xdr:rowOff>
        </xdr:from>
        <xdr:to>
          <xdr:col>6</xdr:col>
          <xdr:colOff>762000</xdr:colOff>
          <xdr:row>2</xdr:row>
          <xdr:rowOff>333375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Création Tableau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200025</xdr:colOff>
          <xdr:row>0</xdr:row>
          <xdr:rowOff>171450</xdr:rowOff>
        </xdr:from>
        <xdr:to>
          <xdr:col>18</xdr:col>
          <xdr:colOff>9525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Création Bilan et Livrable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244475</xdr:colOff>
      <xdr:row>269</xdr:row>
      <xdr:rowOff>0</xdr:rowOff>
    </xdr:from>
    <xdr:to>
      <xdr:col>8</xdr:col>
      <xdr:colOff>1736725</xdr:colOff>
      <xdr:row>289</xdr:row>
      <xdr:rowOff>0</xdr:rowOff>
    </xdr:to>
    <xdr:graphicFrame macro="">
      <xdr:nvGraphicFramePr>
        <xdr:cNvPr id="26" name="Graphique 25">
          <a:extLst>
            <a:ext uri="{FF2B5EF4-FFF2-40B4-BE49-F238E27FC236}">
              <a16:creationId xmlns:a16="http://schemas.microsoft.com/office/drawing/2014/main" id="{D8875923-B328-9531-0DF7-E04C9400D4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1508125</xdr:colOff>
      <xdr:row>292</xdr:row>
      <xdr:rowOff>63500</xdr:rowOff>
    </xdr:from>
    <xdr:to>
      <xdr:col>14</xdr:col>
      <xdr:colOff>542925</xdr:colOff>
      <xdr:row>312</xdr:row>
      <xdr:rowOff>63500</xdr:rowOff>
    </xdr:to>
    <xdr:graphicFrame macro="">
      <xdr:nvGraphicFramePr>
        <xdr:cNvPr id="27" name="Graphique 26">
          <a:extLst>
            <a:ext uri="{FF2B5EF4-FFF2-40B4-BE49-F238E27FC236}">
              <a16:creationId xmlns:a16="http://schemas.microsoft.com/office/drawing/2014/main" id="{A9603D6F-46BB-0587-AE17-595AD1EC1F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1508125</xdr:colOff>
      <xdr:row>292</xdr:row>
      <xdr:rowOff>63500</xdr:rowOff>
    </xdr:from>
    <xdr:to>
      <xdr:col>14</xdr:col>
      <xdr:colOff>542925</xdr:colOff>
      <xdr:row>312</xdr:row>
      <xdr:rowOff>63500</xdr:rowOff>
    </xdr:to>
    <xdr:graphicFrame macro="">
      <xdr:nvGraphicFramePr>
        <xdr:cNvPr id="28" name="Graphique 27">
          <a:extLst>
            <a:ext uri="{FF2B5EF4-FFF2-40B4-BE49-F238E27FC236}">
              <a16:creationId xmlns:a16="http://schemas.microsoft.com/office/drawing/2014/main" id="{DA4B229F-3815-D2E0-7BBE-A1E6C3D334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1508125</xdr:colOff>
      <xdr:row>315</xdr:row>
      <xdr:rowOff>127000</xdr:rowOff>
    </xdr:from>
    <xdr:to>
      <xdr:col>14</xdr:col>
      <xdr:colOff>542925</xdr:colOff>
      <xdr:row>335</xdr:row>
      <xdr:rowOff>127000</xdr:rowOff>
    </xdr:to>
    <xdr:graphicFrame macro="">
      <xdr:nvGraphicFramePr>
        <xdr:cNvPr id="29" name="Graphique 28">
          <a:extLst>
            <a:ext uri="{FF2B5EF4-FFF2-40B4-BE49-F238E27FC236}">
              <a16:creationId xmlns:a16="http://schemas.microsoft.com/office/drawing/2014/main" id="{EF76686D-A962-1AC1-04D9-B24FB3E76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1508125</xdr:colOff>
      <xdr:row>269</xdr:row>
      <xdr:rowOff>0</xdr:rowOff>
    </xdr:from>
    <xdr:to>
      <xdr:col>14</xdr:col>
      <xdr:colOff>542925</xdr:colOff>
      <xdr:row>289</xdr:row>
      <xdr:rowOff>0</xdr:rowOff>
    </xdr:to>
    <xdr:graphicFrame macro="">
      <xdr:nvGraphicFramePr>
        <xdr:cNvPr id="30" name="Graphique 29">
          <a:extLst>
            <a:ext uri="{FF2B5EF4-FFF2-40B4-BE49-F238E27FC236}">
              <a16:creationId xmlns:a16="http://schemas.microsoft.com/office/drawing/2014/main" id="{FF56A58C-B7DB-1499-0618-0FB995348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244475</xdr:colOff>
      <xdr:row>292</xdr:row>
      <xdr:rowOff>63500</xdr:rowOff>
    </xdr:from>
    <xdr:to>
      <xdr:col>8</xdr:col>
      <xdr:colOff>1736725</xdr:colOff>
      <xdr:row>312</xdr:row>
      <xdr:rowOff>63500</xdr:rowOff>
    </xdr:to>
    <xdr:graphicFrame macro="">
      <xdr:nvGraphicFramePr>
        <xdr:cNvPr id="31" name="Graphique 30">
          <a:extLst>
            <a:ext uri="{FF2B5EF4-FFF2-40B4-BE49-F238E27FC236}">
              <a16:creationId xmlns:a16="http://schemas.microsoft.com/office/drawing/2014/main" id="{E4464E8D-A88E-4486-FFCD-1D35A61C8D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244475</xdr:colOff>
      <xdr:row>292</xdr:row>
      <xdr:rowOff>63500</xdr:rowOff>
    </xdr:from>
    <xdr:to>
      <xdr:col>8</xdr:col>
      <xdr:colOff>1736725</xdr:colOff>
      <xdr:row>312</xdr:row>
      <xdr:rowOff>63500</xdr:rowOff>
    </xdr:to>
    <xdr:graphicFrame macro="">
      <xdr:nvGraphicFramePr>
        <xdr:cNvPr id="32" name="Graphique 31">
          <a:extLst>
            <a:ext uri="{FF2B5EF4-FFF2-40B4-BE49-F238E27FC236}">
              <a16:creationId xmlns:a16="http://schemas.microsoft.com/office/drawing/2014/main" id="{DA5342E6-43A6-D573-326A-D6F558E18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244475</xdr:colOff>
      <xdr:row>315</xdr:row>
      <xdr:rowOff>127000</xdr:rowOff>
    </xdr:from>
    <xdr:to>
      <xdr:col>8</xdr:col>
      <xdr:colOff>1736725</xdr:colOff>
      <xdr:row>335</xdr:row>
      <xdr:rowOff>127000</xdr:rowOff>
    </xdr:to>
    <xdr:graphicFrame macro="">
      <xdr:nvGraphicFramePr>
        <xdr:cNvPr id="33" name="Graphique 32">
          <a:extLst>
            <a:ext uri="{FF2B5EF4-FFF2-40B4-BE49-F238E27FC236}">
              <a16:creationId xmlns:a16="http://schemas.microsoft.com/office/drawing/2014/main" id="{D11BF31A-3B1B-6851-FC9F-07813A725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30834</xdr:colOff>
      <xdr:row>17</xdr:row>
      <xdr:rowOff>9241</xdr:rowOff>
    </xdr:from>
    <xdr:to>
      <xdr:col>1</xdr:col>
      <xdr:colOff>721730</xdr:colOff>
      <xdr:row>18</xdr:row>
      <xdr:rowOff>131554</xdr:rowOff>
    </xdr:to>
    <xdr:pic>
      <xdr:nvPicPr>
        <xdr:cNvPr id="57" name="Image 56" descr="Palette Europe — Wikipédia">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92834" y="3085816"/>
          <a:ext cx="709946" cy="303288"/>
        </a:xfrm>
        <a:prstGeom prst="rect">
          <a:avLst/>
        </a:prstGeom>
        <a:noFill/>
        <a:ln>
          <a:prstDash val="solid"/>
        </a:ln>
      </xdr:spPr>
    </xdr:pic>
    <xdr:clientData/>
  </xdr:twoCellAnchor>
  <xdr:oneCellAnchor>
    <xdr:from>
      <xdr:col>0</xdr:col>
      <xdr:colOff>0</xdr:colOff>
      <xdr:row>0</xdr:row>
      <xdr:rowOff>0</xdr:rowOff>
    </xdr:from>
    <xdr:ext cx="581025" cy="685800"/>
    <xdr:pic>
      <xdr:nvPicPr>
        <xdr:cNvPr id="2" name="Image 2" descr="Pictur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0</xdr:row>
      <xdr:rowOff>0</xdr:rowOff>
    </xdr:from>
    <xdr:ext cx="581025" cy="685800"/>
    <xdr:pic>
      <xdr:nvPicPr>
        <xdr:cNvPr id="3" name="Image 3" descr="Pictur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16</xdr:col>
      <xdr:colOff>0</xdr:colOff>
      <xdr:row>0</xdr:row>
      <xdr:rowOff>0</xdr:rowOff>
    </xdr:from>
    <xdr:ext cx="581025" cy="685800"/>
    <xdr:pic>
      <xdr:nvPicPr>
        <xdr:cNvPr id="4" name="Image 4" descr="Pictur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5</xdr:col>
      <xdr:colOff>0</xdr:colOff>
      <xdr:row>22</xdr:row>
      <xdr:rowOff>0</xdr:rowOff>
    </xdr:from>
    <xdr:ext cx="750333" cy="1832989"/>
    <xdr:pic>
      <xdr:nvPicPr>
        <xdr:cNvPr id="5" name="Image 5" descr="Pictur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13</xdr:col>
      <xdr:colOff>0</xdr:colOff>
      <xdr:row>22</xdr:row>
      <xdr:rowOff>0</xdr:rowOff>
    </xdr:from>
    <xdr:ext cx="750333" cy="1832989"/>
    <xdr:pic>
      <xdr:nvPicPr>
        <xdr:cNvPr id="6" name="Image 6" descr="Pictur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twoCellAnchor>
    <xdr:from>
      <xdr:col>3</xdr:col>
      <xdr:colOff>114300</xdr:colOff>
      <xdr:row>10</xdr:row>
      <xdr:rowOff>31750</xdr:rowOff>
    </xdr:from>
    <xdr:to>
      <xdr:col>8</xdr:col>
      <xdr:colOff>292100</xdr:colOff>
      <xdr:row>19</xdr:row>
      <xdr:rowOff>60325</xdr:rowOff>
    </xdr:to>
    <xdr:graphicFrame macro="">
      <xdr:nvGraphicFramePr>
        <xdr:cNvPr id="28" name="Graphique 27">
          <a:extLst>
            <a:ext uri="{FF2B5EF4-FFF2-40B4-BE49-F238E27FC236}">
              <a16:creationId xmlns:a16="http://schemas.microsoft.com/office/drawing/2014/main" id="{1B3635B4-4447-4DE0-A78A-F9A171645D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21</xdr:row>
      <xdr:rowOff>66675</xdr:rowOff>
    </xdr:from>
    <xdr:to>
      <xdr:col>5</xdr:col>
      <xdr:colOff>203200</xdr:colOff>
      <xdr:row>33</xdr:row>
      <xdr:rowOff>104775</xdr:rowOff>
    </xdr:to>
    <xdr:graphicFrame macro="">
      <xdr:nvGraphicFramePr>
        <xdr:cNvPr id="29" name="Graphique 28">
          <a:extLst>
            <a:ext uri="{FF2B5EF4-FFF2-40B4-BE49-F238E27FC236}">
              <a16:creationId xmlns:a16="http://schemas.microsoft.com/office/drawing/2014/main" id="{569A10B6-DF5A-4D35-9FC6-3C6E8D65A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330200</xdr:colOff>
      <xdr:row>21</xdr:row>
      <xdr:rowOff>66675</xdr:rowOff>
    </xdr:from>
    <xdr:to>
      <xdr:col>13</xdr:col>
      <xdr:colOff>520700</xdr:colOff>
      <xdr:row>33</xdr:row>
      <xdr:rowOff>104775</xdr:rowOff>
    </xdr:to>
    <xdr:graphicFrame macro="">
      <xdr:nvGraphicFramePr>
        <xdr:cNvPr id="30" name="Graphique 29">
          <a:extLst>
            <a:ext uri="{FF2B5EF4-FFF2-40B4-BE49-F238E27FC236}">
              <a16:creationId xmlns:a16="http://schemas.microsoft.com/office/drawing/2014/main" id="{C2CF8963-2023-47E3-920C-C4D832C7B7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685800</xdr:colOff>
      <xdr:row>12</xdr:row>
      <xdr:rowOff>38100</xdr:rowOff>
    </xdr:from>
    <xdr:to>
      <xdr:col>25</xdr:col>
      <xdr:colOff>177800</xdr:colOff>
      <xdr:row>25</xdr:row>
      <xdr:rowOff>79375</xdr:rowOff>
    </xdr:to>
    <xdr:graphicFrame macro="">
      <xdr:nvGraphicFramePr>
        <xdr:cNvPr id="31" name="Graphique 30">
          <a:extLst>
            <a:ext uri="{FF2B5EF4-FFF2-40B4-BE49-F238E27FC236}">
              <a16:creationId xmlns:a16="http://schemas.microsoft.com/office/drawing/2014/main" id="{85ACEEAA-AA65-41A7-8584-559AFEC17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12700</xdr:colOff>
      <xdr:row>36</xdr:row>
      <xdr:rowOff>114300</xdr:rowOff>
    </xdr:from>
    <xdr:to>
      <xdr:col>8</xdr:col>
      <xdr:colOff>292100</xdr:colOff>
      <xdr:row>49</xdr:row>
      <xdr:rowOff>155575</xdr:rowOff>
    </xdr:to>
    <xdr:graphicFrame macro="">
      <xdr:nvGraphicFramePr>
        <xdr:cNvPr id="32" name="Graphique 31">
          <a:extLst>
            <a:ext uri="{FF2B5EF4-FFF2-40B4-BE49-F238E27FC236}">
              <a16:creationId xmlns:a16="http://schemas.microsoft.com/office/drawing/2014/main" id="{ADAD65DE-C787-47D8-8781-690C7C11A6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330200</xdr:colOff>
      <xdr:row>36</xdr:row>
      <xdr:rowOff>114300</xdr:rowOff>
    </xdr:from>
    <xdr:to>
      <xdr:col>16</xdr:col>
      <xdr:colOff>596900</xdr:colOff>
      <xdr:row>49</xdr:row>
      <xdr:rowOff>155575</xdr:rowOff>
    </xdr:to>
    <xdr:graphicFrame macro="">
      <xdr:nvGraphicFramePr>
        <xdr:cNvPr id="33" name="Graphique 32">
          <a:extLst>
            <a:ext uri="{FF2B5EF4-FFF2-40B4-BE49-F238E27FC236}">
              <a16:creationId xmlns:a16="http://schemas.microsoft.com/office/drawing/2014/main" id="{C640F3BA-502E-4674-9701-1388DFA14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685800</xdr:colOff>
      <xdr:row>26</xdr:row>
      <xdr:rowOff>82550</xdr:rowOff>
    </xdr:from>
    <xdr:to>
      <xdr:col>25</xdr:col>
      <xdr:colOff>177800</xdr:colOff>
      <xdr:row>39</xdr:row>
      <xdr:rowOff>123825</xdr:rowOff>
    </xdr:to>
    <xdr:graphicFrame macro="">
      <xdr:nvGraphicFramePr>
        <xdr:cNvPr id="34" name="Graphique 33">
          <a:extLst>
            <a:ext uri="{FF2B5EF4-FFF2-40B4-BE49-F238E27FC236}">
              <a16:creationId xmlns:a16="http://schemas.microsoft.com/office/drawing/2014/main" id="{A53AE1FD-3AC4-4FB3-B11D-5EA1F1AFD7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U90"/>
  <sheetViews>
    <sheetView zoomScale="130" zoomScaleNormal="130" workbookViewId="0">
      <selection activeCell="E1" sqref="E1:L1048576"/>
    </sheetView>
  </sheetViews>
  <sheetFormatPr baseColWidth="10" defaultColWidth="10.85546875" defaultRowHeight="15" x14ac:dyDescent="0.25"/>
  <cols>
    <col min="1" max="1" width="32.140625" style="52" bestFit="1" customWidth="1"/>
    <col min="2" max="2" width="26.7109375" style="52" bestFit="1" customWidth="1"/>
    <col min="3" max="3" width="15.85546875" style="52" bestFit="1" customWidth="1"/>
    <col min="5" max="6" width="10.85546875" style="61"/>
    <col min="7" max="7" width="9.5703125" style="61" customWidth="1"/>
    <col min="8" max="8" width="25.85546875" style="61" bestFit="1" customWidth="1"/>
    <col min="9" max="9" width="25" style="61" bestFit="1" customWidth="1"/>
    <col min="10" max="10" width="33.85546875" style="61" bestFit="1" customWidth="1"/>
    <col min="11" max="11" width="25.42578125" style="61" bestFit="1" customWidth="1"/>
    <col min="12" max="12" width="20.85546875" style="61" bestFit="1" customWidth="1"/>
    <col min="13" max="14" width="11.28515625" style="52" bestFit="1" customWidth="1"/>
  </cols>
  <sheetData>
    <row r="1" spans="1:21" x14ac:dyDescent="0.25">
      <c r="A1" s="7" t="s">
        <v>0</v>
      </c>
      <c r="B1" s="12" t="s">
        <v>1</v>
      </c>
    </row>
    <row r="2" spans="1:21" x14ac:dyDescent="0.25">
      <c r="A2" s="7" t="s">
        <v>2</v>
      </c>
      <c r="B2" s="10">
        <v>44</v>
      </c>
      <c r="E2" s="7" t="s">
        <v>3</v>
      </c>
      <c r="F2" s="7" t="s">
        <v>4</v>
      </c>
      <c r="G2" s="7" t="s">
        <v>5</v>
      </c>
      <c r="H2" s="7" t="s">
        <v>6</v>
      </c>
      <c r="I2" s="7" t="s">
        <v>7</v>
      </c>
      <c r="J2" s="7" t="s">
        <v>8</v>
      </c>
      <c r="K2" s="7" t="s">
        <v>9</v>
      </c>
      <c r="L2" s="7" t="s">
        <v>10</v>
      </c>
    </row>
    <row r="3" spans="1:21" x14ac:dyDescent="0.25">
      <c r="E3" s="57">
        <v>-2</v>
      </c>
      <c r="F3" s="57" t="s">
        <v>11</v>
      </c>
      <c r="G3" s="57" t="s">
        <v>184</v>
      </c>
      <c r="H3" s="58">
        <v>45246</v>
      </c>
      <c r="I3" s="58">
        <v>45246</v>
      </c>
      <c r="J3" s="57">
        <v>0</v>
      </c>
      <c r="K3" s="57">
        <v>500</v>
      </c>
      <c r="L3" s="57">
        <v>500</v>
      </c>
    </row>
    <row r="4" spans="1:21" x14ac:dyDescent="0.25">
      <c r="A4" s="7" t="s">
        <v>12</v>
      </c>
      <c r="B4" s="12">
        <v>2</v>
      </c>
      <c r="E4" s="57">
        <v>-2</v>
      </c>
      <c r="F4" s="57" t="s">
        <v>13</v>
      </c>
      <c r="G4" s="57" t="s">
        <v>185</v>
      </c>
      <c r="H4" s="58">
        <v>45246</v>
      </c>
      <c r="I4" s="58">
        <v>45246</v>
      </c>
      <c r="J4" s="57">
        <v>0</v>
      </c>
      <c r="K4" s="57">
        <v>500</v>
      </c>
      <c r="L4" s="57">
        <v>500</v>
      </c>
    </row>
    <row r="5" spans="1:21" x14ac:dyDescent="0.25">
      <c r="A5" s="7" t="s">
        <v>14</v>
      </c>
      <c r="B5" s="10">
        <v>19</v>
      </c>
      <c r="C5" s="45"/>
      <c r="E5" s="57">
        <v>-1</v>
      </c>
      <c r="F5" s="57" t="s">
        <v>11</v>
      </c>
      <c r="G5" s="57" t="s">
        <v>184</v>
      </c>
      <c r="H5" s="58">
        <v>45307</v>
      </c>
      <c r="I5" s="58">
        <v>45307</v>
      </c>
      <c r="J5" s="57">
        <v>0</v>
      </c>
      <c r="K5" s="57">
        <v>500</v>
      </c>
      <c r="L5" s="57">
        <v>500</v>
      </c>
    </row>
    <row r="6" spans="1:21" x14ac:dyDescent="0.25">
      <c r="A6" s="7" t="s">
        <v>15</v>
      </c>
      <c r="B6" s="12">
        <v>10</v>
      </c>
      <c r="C6" s="45"/>
      <c r="E6" s="57">
        <v>-1</v>
      </c>
      <c r="F6" s="57" t="s">
        <v>13</v>
      </c>
      <c r="G6" s="57" t="s">
        <v>185</v>
      </c>
      <c r="H6" s="58">
        <v>45307</v>
      </c>
      <c r="I6" s="58">
        <v>45307</v>
      </c>
      <c r="J6" s="57">
        <v>0</v>
      </c>
      <c r="K6" s="57">
        <v>500</v>
      </c>
      <c r="L6" s="57">
        <v>500</v>
      </c>
      <c r="U6" s="11"/>
    </row>
    <row r="7" spans="1:21" x14ac:dyDescent="0.25">
      <c r="A7" s="7" t="s">
        <v>16</v>
      </c>
      <c r="B7" s="12">
        <v>175</v>
      </c>
      <c r="E7" s="57">
        <v>0</v>
      </c>
      <c r="F7" s="57" t="s">
        <v>11</v>
      </c>
      <c r="G7" s="57" t="s">
        <v>184</v>
      </c>
      <c r="H7" s="58">
        <f t="shared" ref="H7:H11" si="0">H8-22</f>
        <v>45316</v>
      </c>
      <c r="I7" s="58">
        <f t="shared" ref="I7:I11" si="1">I8-16</f>
        <v>45469</v>
      </c>
      <c r="J7" s="57">
        <v>0</v>
      </c>
      <c r="K7" s="57">
        <v>70</v>
      </c>
      <c r="L7" s="57">
        <f>130</f>
        <v>130</v>
      </c>
      <c r="U7" s="11"/>
    </row>
    <row r="8" spans="1:21" x14ac:dyDescent="0.25">
      <c r="E8" s="57">
        <v>0</v>
      </c>
      <c r="F8" s="57" t="s">
        <v>13</v>
      </c>
      <c r="G8" s="57" t="s">
        <v>185</v>
      </c>
      <c r="H8" s="58">
        <f t="shared" si="0"/>
        <v>45338</v>
      </c>
      <c r="I8" s="58">
        <f t="shared" si="1"/>
        <v>45485</v>
      </c>
      <c r="J8" s="57">
        <v>0</v>
      </c>
      <c r="K8" s="57">
        <v>71</v>
      </c>
      <c r="L8" s="57">
        <f>130</f>
        <v>130</v>
      </c>
      <c r="U8" s="11"/>
    </row>
    <row r="9" spans="1:21" x14ac:dyDescent="0.25">
      <c r="A9" s="7" t="s">
        <v>17</v>
      </c>
      <c r="B9" s="7" t="s">
        <v>18</v>
      </c>
      <c r="C9" s="7" t="s">
        <v>19</v>
      </c>
      <c r="E9" s="57">
        <v>1</v>
      </c>
      <c r="F9" s="57" t="s">
        <v>11</v>
      </c>
      <c r="G9" s="57" t="s">
        <v>184</v>
      </c>
      <c r="H9" s="58">
        <f t="shared" si="0"/>
        <v>45360</v>
      </c>
      <c r="I9" s="58">
        <f t="shared" si="1"/>
        <v>45501</v>
      </c>
      <c r="J9" s="57">
        <v>0</v>
      </c>
      <c r="K9" s="57">
        <v>72</v>
      </c>
      <c r="L9" s="57">
        <f>130</f>
        <v>130</v>
      </c>
      <c r="U9" s="11"/>
    </row>
    <row r="10" spans="1:21" x14ac:dyDescent="0.25">
      <c r="A10" s="57" t="s">
        <v>20</v>
      </c>
      <c r="B10" s="57">
        <v>-2</v>
      </c>
      <c r="C10" s="57">
        <v>2</v>
      </c>
      <c r="E10" s="57">
        <v>1</v>
      </c>
      <c r="F10" s="57" t="s">
        <v>13</v>
      </c>
      <c r="G10" s="57" t="s">
        <v>185</v>
      </c>
      <c r="H10" s="58">
        <f t="shared" si="0"/>
        <v>45382</v>
      </c>
      <c r="I10" s="58">
        <f t="shared" si="1"/>
        <v>45517</v>
      </c>
      <c r="J10" s="57">
        <v>0</v>
      </c>
      <c r="K10" s="57">
        <v>73</v>
      </c>
      <c r="L10" s="57">
        <f>130</f>
        <v>130</v>
      </c>
      <c r="U10" s="11"/>
    </row>
    <row r="11" spans="1:21" x14ac:dyDescent="0.25">
      <c r="A11" s="57" t="s">
        <v>21</v>
      </c>
      <c r="B11" s="57">
        <v>-1</v>
      </c>
      <c r="C11" s="57">
        <v>2</v>
      </c>
      <c r="E11" s="57">
        <v>2</v>
      </c>
      <c r="F11" s="57" t="s">
        <v>11</v>
      </c>
      <c r="G11" s="57" t="s">
        <v>184</v>
      </c>
      <c r="H11" s="58">
        <f t="shared" si="0"/>
        <v>45404</v>
      </c>
      <c r="I11" s="58">
        <f t="shared" si="1"/>
        <v>45533</v>
      </c>
      <c r="J11" s="57">
        <v>0</v>
      </c>
      <c r="K11" s="57">
        <v>74</v>
      </c>
      <c r="L11" s="57">
        <f>130</f>
        <v>130</v>
      </c>
      <c r="U11" s="11"/>
    </row>
    <row r="12" spans="1:21" x14ac:dyDescent="0.25">
      <c r="A12" s="57" t="s">
        <v>22</v>
      </c>
      <c r="B12" s="57">
        <v>0</v>
      </c>
      <c r="C12" s="57">
        <v>2</v>
      </c>
      <c r="E12" s="57">
        <v>2</v>
      </c>
      <c r="F12" s="57" t="s">
        <v>13</v>
      </c>
      <c r="G12" s="57" t="s">
        <v>185</v>
      </c>
      <c r="H12" s="58">
        <f>H13-22</f>
        <v>45426</v>
      </c>
      <c r="I12" s="58">
        <f>I13-16</f>
        <v>45549</v>
      </c>
      <c r="J12" s="57">
        <v>0</v>
      </c>
      <c r="K12" s="57">
        <v>75</v>
      </c>
      <c r="L12" s="57">
        <f>130</f>
        <v>130</v>
      </c>
      <c r="U12" s="11"/>
    </row>
    <row r="13" spans="1:21" x14ac:dyDescent="0.25">
      <c r="A13" s="57" t="s">
        <v>23</v>
      </c>
      <c r="B13" s="57">
        <v>1</v>
      </c>
      <c r="C13" s="57">
        <v>2</v>
      </c>
      <c r="E13" s="57">
        <v>3</v>
      </c>
      <c r="F13" s="57" t="s">
        <v>11</v>
      </c>
      <c r="G13" s="57" t="s">
        <v>184</v>
      </c>
      <c r="H13" s="58">
        <v>45448</v>
      </c>
      <c r="I13" s="58">
        <v>45565</v>
      </c>
      <c r="J13" s="57">
        <v>0</v>
      </c>
      <c r="K13" s="57">
        <v>160</v>
      </c>
      <c r="L13" s="57">
        <v>107</v>
      </c>
      <c r="U13" s="11"/>
    </row>
    <row r="14" spans="1:21" x14ac:dyDescent="0.25">
      <c r="A14" s="57" t="s">
        <v>24</v>
      </c>
      <c r="B14" s="57">
        <v>2</v>
      </c>
      <c r="C14" s="57">
        <v>2</v>
      </c>
      <c r="E14" s="57">
        <v>3</v>
      </c>
      <c r="F14" s="57" t="s">
        <v>13</v>
      </c>
      <c r="G14" s="57" t="s">
        <v>185</v>
      </c>
      <c r="H14" s="58">
        <v>45646</v>
      </c>
      <c r="I14" s="58">
        <v>45608</v>
      </c>
      <c r="J14" s="57">
        <v>0</v>
      </c>
      <c r="K14" s="57">
        <v>34</v>
      </c>
      <c r="L14" s="57">
        <v>85</v>
      </c>
    </row>
    <row r="15" spans="1:21" x14ac:dyDescent="0.25">
      <c r="A15" s="57" t="s">
        <v>25</v>
      </c>
      <c r="B15" s="57">
        <v>3</v>
      </c>
      <c r="C15" s="57">
        <v>2</v>
      </c>
      <c r="E15" s="57">
        <v>4</v>
      </c>
      <c r="F15" s="57" t="s">
        <v>11</v>
      </c>
      <c r="G15" s="57" t="s">
        <v>184</v>
      </c>
      <c r="H15" s="58">
        <v>45456</v>
      </c>
      <c r="I15" s="58">
        <v>45559</v>
      </c>
      <c r="J15" s="57">
        <v>0</v>
      </c>
      <c r="K15" s="57">
        <v>160</v>
      </c>
      <c r="L15" s="57">
        <v>148</v>
      </c>
    </row>
    <row r="16" spans="1:21" x14ac:dyDescent="0.25">
      <c r="A16" s="57" t="s">
        <v>26</v>
      </c>
      <c r="B16" s="57">
        <v>4</v>
      </c>
      <c r="C16" s="57">
        <v>2</v>
      </c>
      <c r="E16" s="57">
        <v>4</v>
      </c>
      <c r="F16" s="57" t="s">
        <v>13</v>
      </c>
      <c r="G16" s="57" t="s">
        <v>185</v>
      </c>
      <c r="H16" s="58">
        <v>45670</v>
      </c>
      <c r="I16" s="58">
        <v>45617</v>
      </c>
      <c r="J16" s="57">
        <v>0</v>
      </c>
      <c r="K16" s="57">
        <v>23</v>
      </c>
      <c r="L16" s="57">
        <v>111</v>
      </c>
    </row>
    <row r="17" spans="1:13" x14ac:dyDescent="0.25">
      <c r="A17" s="57" t="s">
        <v>27</v>
      </c>
      <c r="B17" s="57">
        <v>5</v>
      </c>
      <c r="C17" s="57">
        <v>2</v>
      </c>
      <c r="E17" s="57">
        <v>5</v>
      </c>
      <c r="F17" s="57" t="s">
        <v>11</v>
      </c>
      <c r="G17" s="57" t="s">
        <v>184</v>
      </c>
      <c r="H17" s="58">
        <v>45478</v>
      </c>
      <c r="I17" s="58">
        <v>45573</v>
      </c>
      <c r="J17" s="57">
        <v>0</v>
      </c>
      <c r="K17" s="57">
        <v>164</v>
      </c>
      <c r="L17" s="57">
        <v>155</v>
      </c>
    </row>
    <row r="18" spans="1:13" x14ac:dyDescent="0.25">
      <c r="A18" s="57" t="s">
        <v>28</v>
      </c>
      <c r="B18" s="57">
        <v>6</v>
      </c>
      <c r="C18" s="57">
        <v>2</v>
      </c>
      <c r="E18" s="57">
        <v>5</v>
      </c>
      <c r="F18" s="57" t="s">
        <v>13</v>
      </c>
      <c r="G18" s="57" t="s">
        <v>185</v>
      </c>
      <c r="H18" s="58">
        <v>45624</v>
      </c>
      <c r="I18" s="58">
        <v>45664</v>
      </c>
      <c r="J18" s="57">
        <v>0</v>
      </c>
      <c r="K18" s="57">
        <v>81</v>
      </c>
      <c r="L18" s="57">
        <v>85</v>
      </c>
    </row>
    <row r="19" spans="1:13" x14ac:dyDescent="0.25">
      <c r="A19" s="57" t="s">
        <v>29</v>
      </c>
      <c r="B19" s="57">
        <v>7</v>
      </c>
      <c r="C19" s="57">
        <v>2</v>
      </c>
      <c r="E19" s="57">
        <v>6</v>
      </c>
      <c r="F19" s="57" t="s">
        <v>11</v>
      </c>
      <c r="G19" s="57" t="s">
        <v>184</v>
      </c>
      <c r="H19" s="58">
        <v>45559</v>
      </c>
      <c r="I19" s="58">
        <v>45587</v>
      </c>
      <c r="J19" s="57">
        <v>0</v>
      </c>
      <c r="K19" s="57">
        <v>113</v>
      </c>
      <c r="L19" s="57">
        <v>162</v>
      </c>
      <c r="M19" s="8"/>
    </row>
    <row r="20" spans="1:13" x14ac:dyDescent="0.25">
      <c r="A20" s="57" t="s">
        <v>30</v>
      </c>
      <c r="B20" s="57">
        <v>8</v>
      </c>
      <c r="C20" s="57">
        <v>2</v>
      </c>
      <c r="E20" s="57">
        <v>6</v>
      </c>
      <c r="F20" s="57" t="s">
        <v>13</v>
      </c>
      <c r="G20" s="57" t="s">
        <v>185</v>
      </c>
      <c r="H20" s="58">
        <v>45691</v>
      </c>
      <c r="I20" s="58">
        <v>45673</v>
      </c>
      <c r="J20" s="57">
        <v>0</v>
      </c>
      <c r="K20" s="57">
        <v>23</v>
      </c>
      <c r="L20" s="57">
        <v>97</v>
      </c>
      <c r="M20" s="8"/>
    </row>
    <row r="21" spans="1:13" x14ac:dyDescent="0.25">
      <c r="A21" s="57" t="s">
        <v>31</v>
      </c>
      <c r="B21" s="57">
        <v>9</v>
      </c>
      <c r="C21" s="57">
        <v>2</v>
      </c>
      <c r="E21" s="57">
        <v>7</v>
      </c>
      <c r="F21" s="57" t="s">
        <v>11</v>
      </c>
      <c r="G21" s="57" t="s">
        <v>184</v>
      </c>
      <c r="H21" s="58">
        <v>45573</v>
      </c>
      <c r="I21" s="58">
        <v>45596</v>
      </c>
      <c r="J21" s="57">
        <v>0</v>
      </c>
      <c r="K21" s="57">
        <v>112</v>
      </c>
      <c r="L21" s="57">
        <v>167</v>
      </c>
      <c r="M21" s="8"/>
    </row>
    <row r="22" spans="1:13" x14ac:dyDescent="0.25">
      <c r="A22" s="57" t="s">
        <v>32</v>
      </c>
      <c r="B22" s="57">
        <v>10</v>
      </c>
      <c r="C22" s="57">
        <v>2</v>
      </c>
      <c r="E22" s="57">
        <v>7</v>
      </c>
      <c r="F22" s="57" t="s">
        <v>13</v>
      </c>
      <c r="G22" s="57" t="s">
        <v>185</v>
      </c>
      <c r="H22" s="58">
        <v>45701</v>
      </c>
      <c r="I22" s="58">
        <v>45692</v>
      </c>
      <c r="J22" s="57">
        <v>0</v>
      </c>
      <c r="K22" s="57">
        <v>26</v>
      </c>
      <c r="L22" s="57">
        <v>92</v>
      </c>
      <c r="M22" s="8"/>
    </row>
    <row r="23" spans="1:13" x14ac:dyDescent="0.25">
      <c r="A23" s="57" t="s">
        <v>33</v>
      </c>
      <c r="B23" s="57">
        <v>11</v>
      </c>
      <c r="C23" s="57">
        <v>2</v>
      </c>
      <c r="E23" s="57">
        <v>8</v>
      </c>
      <c r="F23" s="57" t="s">
        <v>11</v>
      </c>
      <c r="G23" s="57" t="s">
        <v>184</v>
      </c>
      <c r="H23" s="58">
        <v>45610</v>
      </c>
      <c r="I23" s="58">
        <v>45615</v>
      </c>
      <c r="J23" s="57">
        <v>0</v>
      </c>
      <c r="K23" s="57">
        <v>84</v>
      </c>
      <c r="L23" s="57">
        <v>162</v>
      </c>
      <c r="M23" s="8"/>
    </row>
    <row r="24" spans="1:13" x14ac:dyDescent="0.25">
      <c r="A24" s="57" t="s">
        <v>34</v>
      </c>
      <c r="B24" s="57">
        <v>12</v>
      </c>
      <c r="C24" s="57">
        <v>2</v>
      </c>
      <c r="E24" s="57">
        <v>8</v>
      </c>
      <c r="F24" s="57" t="s">
        <v>13</v>
      </c>
      <c r="G24" s="57" t="s">
        <v>185</v>
      </c>
      <c r="H24" s="58">
        <v>45708</v>
      </c>
      <c r="I24" s="58">
        <v>45701</v>
      </c>
      <c r="J24" s="57">
        <v>0</v>
      </c>
      <c r="K24" s="57">
        <v>26</v>
      </c>
      <c r="L24" s="57">
        <v>97</v>
      </c>
      <c r="M24" s="8"/>
    </row>
    <row r="25" spans="1:13" x14ac:dyDescent="0.25">
      <c r="A25" s="57" t="s">
        <v>35</v>
      </c>
      <c r="B25" s="57">
        <v>13</v>
      </c>
      <c r="C25" s="57">
        <v>2</v>
      </c>
      <c r="E25" s="57">
        <v>9</v>
      </c>
      <c r="F25" s="57" t="s">
        <v>11</v>
      </c>
      <c r="G25" s="57" t="s">
        <v>184</v>
      </c>
      <c r="H25" s="58">
        <v>45621</v>
      </c>
      <c r="I25" s="58">
        <v>45632</v>
      </c>
      <c r="J25" s="57">
        <v>0</v>
      </c>
      <c r="K25" s="57">
        <v>84</v>
      </c>
      <c r="L25" s="57">
        <v>164</v>
      </c>
      <c r="M25" s="8"/>
    </row>
    <row r="26" spans="1:13" x14ac:dyDescent="0.25">
      <c r="A26" s="57" t="s">
        <v>36</v>
      </c>
      <c r="B26" s="57">
        <v>14</v>
      </c>
      <c r="C26" s="57">
        <v>2</v>
      </c>
      <c r="E26" s="57">
        <v>9</v>
      </c>
      <c r="F26" s="57" t="s">
        <v>13</v>
      </c>
      <c r="G26" s="57" t="s">
        <v>185</v>
      </c>
      <c r="H26" s="58">
        <v>45719</v>
      </c>
      <c r="I26" s="58">
        <v>45720</v>
      </c>
      <c r="J26" s="57">
        <v>0</v>
      </c>
      <c r="K26" s="57">
        <v>24</v>
      </c>
      <c r="L26" s="57">
        <v>97</v>
      </c>
      <c r="M26" s="8"/>
    </row>
    <row r="27" spans="1:13" x14ac:dyDescent="0.25">
      <c r="A27" s="57" t="s">
        <v>37</v>
      </c>
      <c r="B27" s="57">
        <v>15</v>
      </c>
      <c r="C27" s="57">
        <v>2</v>
      </c>
      <c r="E27" s="57">
        <v>10</v>
      </c>
      <c r="F27" s="57" t="s">
        <v>11</v>
      </c>
      <c r="G27" s="57" t="s">
        <v>184</v>
      </c>
      <c r="H27" s="58">
        <v>45635</v>
      </c>
      <c r="I27" s="58">
        <v>45645</v>
      </c>
      <c r="J27" s="57">
        <v>0</v>
      </c>
      <c r="K27" s="57">
        <v>79</v>
      </c>
      <c r="L27" s="57">
        <v>168</v>
      </c>
    </row>
    <row r="28" spans="1:13" x14ac:dyDescent="0.25">
      <c r="A28" s="57" t="s">
        <v>38</v>
      </c>
      <c r="B28" s="57">
        <v>16</v>
      </c>
      <c r="C28" s="57">
        <v>2</v>
      </c>
      <c r="E28" s="57">
        <v>10</v>
      </c>
      <c r="F28" s="57" t="s">
        <v>13</v>
      </c>
      <c r="G28" s="57" t="s">
        <v>185</v>
      </c>
      <c r="H28" s="58">
        <v>45728</v>
      </c>
      <c r="I28" s="58">
        <v>45729</v>
      </c>
      <c r="J28" s="57">
        <v>0</v>
      </c>
      <c r="K28" s="57">
        <v>26</v>
      </c>
      <c r="L28" s="57">
        <v>105</v>
      </c>
    </row>
    <row r="29" spans="1:13" x14ac:dyDescent="0.25">
      <c r="A29" s="57" t="s">
        <v>39</v>
      </c>
      <c r="B29" s="57">
        <v>17</v>
      </c>
      <c r="C29" s="57">
        <v>2</v>
      </c>
      <c r="E29" s="57">
        <v>11</v>
      </c>
      <c r="F29" s="57" t="s">
        <v>11</v>
      </c>
      <c r="G29" s="57" t="s">
        <v>184</v>
      </c>
      <c r="H29" s="58">
        <v>45660</v>
      </c>
      <c r="I29" s="58">
        <v>45665</v>
      </c>
      <c r="J29" s="57">
        <v>0</v>
      </c>
      <c r="K29" s="57">
        <v>63</v>
      </c>
      <c r="L29" s="57">
        <v>167</v>
      </c>
    </row>
    <row r="30" spans="1:13" x14ac:dyDescent="0.25">
      <c r="A30" s="57" t="s">
        <v>40</v>
      </c>
      <c r="B30" s="57">
        <v>18</v>
      </c>
      <c r="C30" s="57">
        <v>2</v>
      </c>
      <c r="E30" s="57">
        <v>11</v>
      </c>
      <c r="F30" s="57" t="s">
        <v>13</v>
      </c>
      <c r="G30" s="57" t="s">
        <v>185</v>
      </c>
      <c r="H30" s="58">
        <v>45730</v>
      </c>
      <c r="I30" s="58">
        <v>45748</v>
      </c>
      <c r="J30" s="57">
        <v>0</v>
      </c>
      <c r="K30" s="57">
        <v>31</v>
      </c>
      <c r="L30" s="57">
        <v>105</v>
      </c>
    </row>
    <row r="31" spans="1:13" x14ac:dyDescent="0.25">
      <c r="A31" s="57" t="s">
        <v>41</v>
      </c>
      <c r="B31" s="57">
        <v>19</v>
      </c>
      <c r="C31" s="57">
        <v>2</v>
      </c>
      <c r="E31" s="57">
        <v>12</v>
      </c>
      <c r="F31" s="57" t="s">
        <v>11</v>
      </c>
      <c r="G31" s="57" t="s">
        <v>184</v>
      </c>
      <c r="H31" s="58">
        <v>45688</v>
      </c>
      <c r="I31" s="58">
        <v>45686</v>
      </c>
      <c r="J31" s="57">
        <v>0</v>
      </c>
      <c r="K31" s="57">
        <v>46</v>
      </c>
      <c r="L31" s="57">
        <v>163</v>
      </c>
    </row>
    <row r="32" spans="1:13" x14ac:dyDescent="0.25">
      <c r="A32" s="57" t="s">
        <v>42</v>
      </c>
      <c r="B32" s="57">
        <v>20</v>
      </c>
      <c r="C32" s="57">
        <v>2</v>
      </c>
      <c r="E32" s="57">
        <v>12</v>
      </c>
      <c r="F32" s="57" t="s">
        <v>13</v>
      </c>
      <c r="G32" s="57" t="s">
        <v>185</v>
      </c>
      <c r="H32" s="58">
        <v>45747</v>
      </c>
      <c r="I32" s="58">
        <v>45757</v>
      </c>
      <c r="J32" s="57">
        <v>0</v>
      </c>
      <c r="K32" s="57">
        <v>24</v>
      </c>
      <c r="L32" s="57">
        <v>113</v>
      </c>
    </row>
    <row r="33" spans="1:12" x14ac:dyDescent="0.25">
      <c r="A33" s="57" t="s">
        <v>43</v>
      </c>
      <c r="B33" s="57">
        <v>21</v>
      </c>
      <c r="C33" s="57">
        <v>2</v>
      </c>
      <c r="E33" s="57">
        <v>13</v>
      </c>
      <c r="F33" s="57" t="s">
        <v>11</v>
      </c>
      <c r="G33" s="57" t="s">
        <v>184</v>
      </c>
      <c r="H33" s="58">
        <f>H31+20</f>
        <v>45708</v>
      </c>
      <c r="I33" s="58">
        <f>I31+16</f>
        <v>45702</v>
      </c>
      <c r="J33" s="57">
        <v>0</v>
      </c>
      <c r="K33" s="57">
        <v>83</v>
      </c>
      <c r="L33" s="57">
        <v>156</v>
      </c>
    </row>
    <row r="34" spans="1:12" x14ac:dyDescent="0.25">
      <c r="A34" s="57" t="s">
        <v>44</v>
      </c>
      <c r="B34" s="57">
        <v>22</v>
      </c>
      <c r="C34" s="57">
        <v>2</v>
      </c>
      <c r="E34" s="57">
        <v>13</v>
      </c>
      <c r="F34" s="57" t="s">
        <v>13</v>
      </c>
      <c r="G34" s="57" t="s">
        <v>185</v>
      </c>
      <c r="H34" s="58">
        <f>H32+12</f>
        <v>45759</v>
      </c>
      <c r="I34" s="58">
        <f>I32+13</f>
        <v>45770</v>
      </c>
      <c r="J34" s="57">
        <v>0</v>
      </c>
      <c r="K34" s="57">
        <v>32</v>
      </c>
      <c r="L34" s="57">
        <v>99</v>
      </c>
    </row>
    <row r="35" spans="1:12" x14ac:dyDescent="0.25">
      <c r="A35" s="57" t="s">
        <v>45</v>
      </c>
      <c r="B35" s="57">
        <v>23</v>
      </c>
      <c r="C35" s="57">
        <v>2</v>
      </c>
      <c r="E35" s="57">
        <v>14</v>
      </c>
      <c r="F35" s="57" t="s">
        <v>11</v>
      </c>
      <c r="G35" s="57" t="s">
        <v>184</v>
      </c>
      <c r="H35" s="58">
        <f t="shared" ref="H35" si="2">H33+20</f>
        <v>45728</v>
      </c>
      <c r="I35" s="58">
        <f t="shared" ref="I35" si="3">I33+16</f>
        <v>45718</v>
      </c>
      <c r="J35" s="57">
        <v>0</v>
      </c>
      <c r="K35" s="57">
        <v>83</v>
      </c>
      <c r="L35" s="57">
        <v>156</v>
      </c>
    </row>
    <row r="36" spans="1:12" x14ac:dyDescent="0.25">
      <c r="A36" s="57" t="s">
        <v>46</v>
      </c>
      <c r="B36" s="57">
        <v>24</v>
      </c>
      <c r="C36" s="57">
        <v>2</v>
      </c>
      <c r="E36" s="57">
        <v>14</v>
      </c>
      <c r="F36" s="57" t="s">
        <v>13</v>
      </c>
      <c r="G36" s="57" t="s">
        <v>185</v>
      </c>
      <c r="H36" s="58">
        <f t="shared" ref="H36" si="4">H34+12</f>
        <v>45771</v>
      </c>
      <c r="I36" s="58">
        <f t="shared" ref="I36" si="5">I34+13</f>
        <v>45783</v>
      </c>
      <c r="J36" s="57">
        <v>0</v>
      </c>
      <c r="K36" s="57">
        <v>32</v>
      </c>
      <c r="L36" s="57">
        <v>99</v>
      </c>
    </row>
    <row r="37" spans="1:12" x14ac:dyDescent="0.25">
      <c r="A37" s="57" t="s">
        <v>47</v>
      </c>
      <c r="B37" s="57">
        <v>25</v>
      </c>
      <c r="C37" s="57">
        <v>2</v>
      </c>
      <c r="E37" s="57">
        <v>15</v>
      </c>
      <c r="F37" s="57" t="s">
        <v>11</v>
      </c>
      <c r="G37" s="57" t="s">
        <v>184</v>
      </c>
      <c r="H37" s="58">
        <f t="shared" ref="H37" si="6">H35+20</f>
        <v>45748</v>
      </c>
      <c r="I37" s="58">
        <f t="shared" ref="I37" si="7">I35+16</f>
        <v>45734</v>
      </c>
      <c r="J37" s="57">
        <v>0</v>
      </c>
      <c r="K37" s="57">
        <v>83</v>
      </c>
      <c r="L37" s="57">
        <v>156</v>
      </c>
    </row>
    <row r="38" spans="1:12" x14ac:dyDescent="0.25">
      <c r="A38" s="57" t="s">
        <v>48</v>
      </c>
      <c r="B38" s="57">
        <v>26</v>
      </c>
      <c r="C38" s="57">
        <v>2</v>
      </c>
      <c r="E38" s="57">
        <v>15</v>
      </c>
      <c r="F38" s="57" t="s">
        <v>13</v>
      </c>
      <c r="G38" s="57" t="s">
        <v>185</v>
      </c>
      <c r="H38" s="58">
        <f t="shared" ref="H38" si="8">H36+12</f>
        <v>45783</v>
      </c>
      <c r="I38" s="58">
        <f t="shared" ref="I38" si="9">I36+13</f>
        <v>45796</v>
      </c>
      <c r="J38" s="57">
        <v>0</v>
      </c>
      <c r="K38" s="57">
        <v>32</v>
      </c>
      <c r="L38" s="57">
        <v>99</v>
      </c>
    </row>
    <row r="39" spans="1:12" x14ac:dyDescent="0.25">
      <c r="A39" s="57" t="s">
        <v>49</v>
      </c>
      <c r="B39" s="57">
        <v>27</v>
      </c>
      <c r="C39" s="57">
        <v>2</v>
      </c>
      <c r="E39" s="57">
        <v>16</v>
      </c>
      <c r="F39" s="57" t="s">
        <v>11</v>
      </c>
      <c r="G39" s="57" t="s">
        <v>184</v>
      </c>
      <c r="H39" s="58">
        <f t="shared" ref="H39" si="10">H37+20</f>
        <v>45768</v>
      </c>
      <c r="I39" s="58">
        <f t="shared" ref="I39" si="11">I37+16</f>
        <v>45750</v>
      </c>
      <c r="J39" s="57">
        <v>0</v>
      </c>
      <c r="K39" s="57">
        <v>83</v>
      </c>
      <c r="L39" s="57">
        <v>156</v>
      </c>
    </row>
    <row r="40" spans="1:12" x14ac:dyDescent="0.25">
      <c r="A40" s="57" t="s">
        <v>50</v>
      </c>
      <c r="B40" s="57">
        <v>28</v>
      </c>
      <c r="C40" s="57">
        <v>2</v>
      </c>
      <c r="E40" s="57">
        <v>16</v>
      </c>
      <c r="F40" s="57" t="s">
        <v>13</v>
      </c>
      <c r="G40" s="57" t="s">
        <v>185</v>
      </c>
      <c r="H40" s="58">
        <f t="shared" ref="H40" si="12">H38+12</f>
        <v>45795</v>
      </c>
      <c r="I40" s="58">
        <f t="shared" ref="I40" si="13">I38+13</f>
        <v>45809</v>
      </c>
      <c r="J40" s="57">
        <v>0</v>
      </c>
      <c r="K40" s="57">
        <v>32</v>
      </c>
      <c r="L40" s="57">
        <v>99</v>
      </c>
    </row>
    <row r="41" spans="1:12" x14ac:dyDescent="0.25">
      <c r="A41" s="57" t="s">
        <v>51</v>
      </c>
      <c r="B41" s="57">
        <v>29</v>
      </c>
      <c r="C41" s="57">
        <v>2</v>
      </c>
      <c r="E41" s="57">
        <v>17</v>
      </c>
      <c r="F41" s="57" t="s">
        <v>11</v>
      </c>
      <c r="G41" s="57" t="s">
        <v>184</v>
      </c>
      <c r="H41" s="58">
        <f t="shared" ref="H41" si="14">H39+20</f>
        <v>45788</v>
      </c>
      <c r="I41" s="58">
        <f t="shared" ref="I41" si="15">I39+16</f>
        <v>45766</v>
      </c>
      <c r="J41" s="57">
        <v>0</v>
      </c>
      <c r="K41" s="57">
        <v>83</v>
      </c>
      <c r="L41" s="57">
        <v>156</v>
      </c>
    </row>
    <row r="42" spans="1:12" x14ac:dyDescent="0.25">
      <c r="A42" s="57" t="s">
        <v>52</v>
      </c>
      <c r="B42" s="57">
        <v>30</v>
      </c>
      <c r="C42" s="57">
        <v>2</v>
      </c>
      <c r="E42" s="57">
        <v>17</v>
      </c>
      <c r="F42" s="57" t="s">
        <v>13</v>
      </c>
      <c r="G42" s="57" t="s">
        <v>185</v>
      </c>
      <c r="H42" s="58">
        <f t="shared" ref="H42" si="16">H40+12</f>
        <v>45807</v>
      </c>
      <c r="I42" s="58">
        <f t="shared" ref="I42" si="17">I40+13</f>
        <v>45822</v>
      </c>
      <c r="J42" s="57">
        <v>0</v>
      </c>
      <c r="K42" s="57">
        <v>32</v>
      </c>
      <c r="L42" s="57">
        <v>99</v>
      </c>
    </row>
    <row r="43" spans="1:12" x14ac:dyDescent="0.25">
      <c r="A43" s="57" t="s">
        <v>53</v>
      </c>
      <c r="B43" s="57">
        <v>31</v>
      </c>
      <c r="C43" s="57">
        <v>2</v>
      </c>
      <c r="E43" s="57">
        <v>18</v>
      </c>
      <c r="F43" s="57" t="s">
        <v>11</v>
      </c>
      <c r="G43" s="57" t="s">
        <v>184</v>
      </c>
      <c r="H43" s="58">
        <f t="shared" ref="H43" si="18">H41+20</f>
        <v>45808</v>
      </c>
      <c r="I43" s="58">
        <f t="shared" ref="I43" si="19">I41+16</f>
        <v>45782</v>
      </c>
      <c r="J43" s="57">
        <v>0</v>
      </c>
      <c r="K43" s="57">
        <v>83</v>
      </c>
      <c r="L43" s="57">
        <v>156</v>
      </c>
    </row>
    <row r="44" spans="1:12" x14ac:dyDescent="0.25">
      <c r="A44" s="57" t="s">
        <v>54</v>
      </c>
      <c r="B44" s="57">
        <v>32</v>
      </c>
      <c r="C44" s="57">
        <v>2</v>
      </c>
      <c r="E44" s="57">
        <v>18</v>
      </c>
      <c r="F44" s="57" t="s">
        <v>13</v>
      </c>
      <c r="G44" s="57" t="s">
        <v>185</v>
      </c>
      <c r="H44" s="58">
        <f t="shared" ref="H44" si="20">H42+12</f>
        <v>45819</v>
      </c>
      <c r="I44" s="58">
        <f t="shared" ref="I44" si="21">I42+13</f>
        <v>45835</v>
      </c>
      <c r="J44" s="57">
        <v>0</v>
      </c>
      <c r="K44" s="57">
        <v>32</v>
      </c>
      <c r="L44" s="57">
        <v>99</v>
      </c>
    </row>
    <row r="45" spans="1:12" x14ac:dyDescent="0.25">
      <c r="A45" s="57" t="s">
        <v>55</v>
      </c>
      <c r="B45" s="57">
        <v>33</v>
      </c>
      <c r="C45" s="57">
        <v>2</v>
      </c>
      <c r="E45" s="57">
        <v>19</v>
      </c>
      <c r="F45" s="57" t="s">
        <v>11</v>
      </c>
      <c r="G45" s="57" t="s">
        <v>184</v>
      </c>
      <c r="H45" s="58">
        <f t="shared" ref="H45" si="22">H43+20</f>
        <v>45828</v>
      </c>
      <c r="I45" s="58">
        <f t="shared" ref="I45" si="23">I43+16</f>
        <v>45798</v>
      </c>
      <c r="J45" s="57">
        <v>0</v>
      </c>
      <c r="K45" s="57">
        <v>83</v>
      </c>
      <c r="L45" s="57">
        <v>156</v>
      </c>
    </row>
    <row r="46" spans="1:12" x14ac:dyDescent="0.25">
      <c r="A46" s="57" t="s">
        <v>56</v>
      </c>
      <c r="B46" s="57">
        <v>34</v>
      </c>
      <c r="C46" s="57">
        <v>2</v>
      </c>
      <c r="E46" s="57">
        <v>19</v>
      </c>
      <c r="F46" s="57" t="s">
        <v>13</v>
      </c>
      <c r="G46" s="57" t="s">
        <v>185</v>
      </c>
      <c r="H46" s="58">
        <f t="shared" ref="H46" si="24">H44+12</f>
        <v>45831</v>
      </c>
      <c r="I46" s="58">
        <f t="shared" ref="I46" si="25">I44+13</f>
        <v>45848</v>
      </c>
      <c r="J46" s="57">
        <v>0</v>
      </c>
      <c r="K46" s="57">
        <v>32</v>
      </c>
      <c r="L46" s="57">
        <v>99</v>
      </c>
    </row>
    <row r="47" spans="1:12" x14ac:dyDescent="0.25">
      <c r="A47" s="57" t="s">
        <v>57</v>
      </c>
      <c r="B47" s="57">
        <v>35</v>
      </c>
      <c r="C47" s="57">
        <v>2</v>
      </c>
      <c r="E47" s="57">
        <v>20</v>
      </c>
      <c r="F47" s="57" t="s">
        <v>11</v>
      </c>
      <c r="G47" s="57" t="s">
        <v>184</v>
      </c>
      <c r="H47" s="58">
        <f t="shared" ref="H47" si="26">H45+20</f>
        <v>45848</v>
      </c>
      <c r="I47" s="58">
        <f t="shared" ref="I47" si="27">I45+16</f>
        <v>45814</v>
      </c>
      <c r="J47" s="57">
        <v>0</v>
      </c>
      <c r="K47" s="57">
        <v>83</v>
      </c>
      <c r="L47" s="57">
        <v>156</v>
      </c>
    </row>
    <row r="48" spans="1:12" x14ac:dyDescent="0.25">
      <c r="A48" s="57" t="s">
        <v>58</v>
      </c>
      <c r="B48" s="57">
        <v>36</v>
      </c>
      <c r="C48" s="57">
        <v>2</v>
      </c>
      <c r="E48" s="57">
        <v>20</v>
      </c>
      <c r="F48" s="57" t="s">
        <v>13</v>
      </c>
      <c r="G48" s="57" t="s">
        <v>185</v>
      </c>
      <c r="H48" s="58">
        <f t="shared" ref="H48" si="28">H46+12</f>
        <v>45843</v>
      </c>
      <c r="I48" s="58">
        <f t="shared" ref="I48" si="29">I46+13</f>
        <v>45861</v>
      </c>
      <c r="J48" s="57">
        <v>0</v>
      </c>
      <c r="K48" s="57">
        <v>32</v>
      </c>
      <c r="L48" s="57">
        <v>99</v>
      </c>
    </row>
    <row r="49" spans="1:12" x14ac:dyDescent="0.25">
      <c r="A49" s="57" t="s">
        <v>59</v>
      </c>
      <c r="B49" s="57">
        <v>37</v>
      </c>
      <c r="C49" s="57">
        <v>2</v>
      </c>
      <c r="E49" s="57">
        <v>21</v>
      </c>
      <c r="F49" s="57" t="s">
        <v>11</v>
      </c>
      <c r="G49" s="57" t="s">
        <v>184</v>
      </c>
      <c r="H49" s="58">
        <f t="shared" ref="H49" si="30">H47+20</f>
        <v>45868</v>
      </c>
      <c r="I49" s="58">
        <f t="shared" ref="I49" si="31">I47+16</f>
        <v>45830</v>
      </c>
      <c r="J49" s="57">
        <v>0</v>
      </c>
      <c r="K49" s="57">
        <v>83</v>
      </c>
      <c r="L49" s="57">
        <v>156</v>
      </c>
    </row>
    <row r="50" spans="1:12" x14ac:dyDescent="0.25">
      <c r="A50" s="57" t="s">
        <v>60</v>
      </c>
      <c r="B50" s="57">
        <v>38</v>
      </c>
      <c r="C50" s="57">
        <v>2</v>
      </c>
      <c r="E50" s="57">
        <v>21</v>
      </c>
      <c r="F50" s="57" t="s">
        <v>13</v>
      </c>
      <c r="G50" s="57" t="s">
        <v>185</v>
      </c>
      <c r="H50" s="58">
        <f t="shared" ref="H50" si="32">H48+12</f>
        <v>45855</v>
      </c>
      <c r="I50" s="58">
        <f t="shared" ref="I50" si="33">I48+13</f>
        <v>45874</v>
      </c>
      <c r="J50" s="57">
        <v>0</v>
      </c>
      <c r="K50" s="57">
        <v>32</v>
      </c>
      <c r="L50" s="57">
        <v>99</v>
      </c>
    </row>
    <row r="51" spans="1:12" x14ac:dyDescent="0.25">
      <c r="A51" s="57" t="s">
        <v>61</v>
      </c>
      <c r="B51" s="57">
        <v>39</v>
      </c>
      <c r="C51" s="57">
        <v>2</v>
      </c>
      <c r="E51" s="57">
        <v>22</v>
      </c>
      <c r="F51" s="57" t="s">
        <v>11</v>
      </c>
      <c r="G51" s="57" t="s">
        <v>184</v>
      </c>
      <c r="H51" s="58">
        <f t="shared" ref="H51" si="34">H49+20</f>
        <v>45888</v>
      </c>
      <c r="I51" s="58">
        <f t="shared" ref="I51" si="35">I49+16</f>
        <v>45846</v>
      </c>
      <c r="J51" s="57">
        <v>0</v>
      </c>
      <c r="K51" s="57">
        <v>83</v>
      </c>
      <c r="L51" s="57">
        <v>156</v>
      </c>
    </row>
    <row r="52" spans="1:12" x14ac:dyDescent="0.25">
      <c r="A52" s="57" t="s">
        <v>62</v>
      </c>
      <c r="B52" s="57">
        <v>40</v>
      </c>
      <c r="C52" s="57">
        <v>2</v>
      </c>
      <c r="E52" s="57">
        <v>22</v>
      </c>
      <c r="F52" s="57" t="s">
        <v>13</v>
      </c>
      <c r="G52" s="57" t="s">
        <v>185</v>
      </c>
      <c r="H52" s="58">
        <f t="shared" ref="H52" si="36">H50+12</f>
        <v>45867</v>
      </c>
      <c r="I52" s="58">
        <f t="shared" ref="I52" si="37">I50+13</f>
        <v>45887</v>
      </c>
      <c r="J52" s="57">
        <v>0</v>
      </c>
      <c r="K52" s="57">
        <v>32</v>
      </c>
      <c r="L52" s="57">
        <v>99</v>
      </c>
    </row>
    <row r="53" spans="1:12" x14ac:dyDescent="0.25">
      <c r="A53" s="57" t="s">
        <v>63</v>
      </c>
      <c r="B53" s="57">
        <v>41</v>
      </c>
      <c r="C53" s="57">
        <v>2</v>
      </c>
      <c r="E53" s="57">
        <v>23</v>
      </c>
      <c r="F53" s="57" t="s">
        <v>11</v>
      </c>
      <c r="G53" s="57" t="s">
        <v>184</v>
      </c>
      <c r="H53" s="58">
        <f t="shared" ref="H53" si="38">H51+20</f>
        <v>45908</v>
      </c>
      <c r="I53" s="58">
        <f t="shared" ref="I53" si="39">I51+16</f>
        <v>45862</v>
      </c>
      <c r="J53" s="57">
        <v>0</v>
      </c>
      <c r="K53" s="57">
        <v>83</v>
      </c>
      <c r="L53" s="57">
        <v>156</v>
      </c>
    </row>
    <row r="54" spans="1:12" x14ac:dyDescent="0.25">
      <c r="E54" s="57">
        <v>23</v>
      </c>
      <c r="F54" s="57" t="s">
        <v>13</v>
      </c>
      <c r="G54" s="57" t="s">
        <v>185</v>
      </c>
      <c r="H54" s="58">
        <f t="shared" ref="H54" si="40">H52+12</f>
        <v>45879</v>
      </c>
      <c r="I54" s="58">
        <f t="shared" ref="I54" si="41">I52+13</f>
        <v>45900</v>
      </c>
      <c r="J54" s="57">
        <v>0</v>
      </c>
      <c r="K54" s="57">
        <v>32</v>
      </c>
      <c r="L54" s="57">
        <v>99</v>
      </c>
    </row>
    <row r="55" spans="1:12" x14ac:dyDescent="0.25">
      <c r="E55" s="57">
        <v>24</v>
      </c>
      <c r="F55" s="57" t="s">
        <v>11</v>
      </c>
      <c r="G55" s="57" t="s">
        <v>184</v>
      </c>
      <c r="H55" s="58">
        <f t="shared" ref="H55" si="42">H53+20</f>
        <v>45928</v>
      </c>
      <c r="I55" s="58">
        <f t="shared" ref="I55" si="43">I53+16</f>
        <v>45878</v>
      </c>
      <c r="J55" s="57">
        <v>0</v>
      </c>
      <c r="K55" s="57">
        <v>83</v>
      </c>
      <c r="L55" s="57">
        <v>156</v>
      </c>
    </row>
    <row r="56" spans="1:12" x14ac:dyDescent="0.25">
      <c r="E56" s="57">
        <v>24</v>
      </c>
      <c r="F56" s="57" t="s">
        <v>13</v>
      </c>
      <c r="G56" s="57" t="s">
        <v>185</v>
      </c>
      <c r="H56" s="58">
        <f t="shared" ref="H56" si="44">H54+12</f>
        <v>45891</v>
      </c>
      <c r="I56" s="58">
        <f t="shared" ref="I56" si="45">I54+13</f>
        <v>45913</v>
      </c>
      <c r="J56" s="57">
        <v>0</v>
      </c>
      <c r="K56" s="57">
        <v>32</v>
      </c>
      <c r="L56" s="57">
        <v>99</v>
      </c>
    </row>
    <row r="57" spans="1:12" x14ac:dyDescent="0.25">
      <c r="E57" s="57">
        <v>25</v>
      </c>
      <c r="F57" s="57" t="s">
        <v>11</v>
      </c>
      <c r="G57" s="57" t="s">
        <v>184</v>
      </c>
      <c r="H57" s="58">
        <f t="shared" ref="H57" si="46">H55+20</f>
        <v>45948</v>
      </c>
      <c r="I57" s="58">
        <f t="shared" ref="I57" si="47">I55+16</f>
        <v>45894</v>
      </c>
      <c r="J57" s="57">
        <v>0</v>
      </c>
      <c r="K57" s="57">
        <v>83</v>
      </c>
      <c r="L57" s="57">
        <v>156</v>
      </c>
    </row>
    <row r="58" spans="1:12" x14ac:dyDescent="0.25">
      <c r="E58" s="57">
        <v>25</v>
      </c>
      <c r="F58" s="57" t="s">
        <v>13</v>
      </c>
      <c r="G58" s="57" t="s">
        <v>185</v>
      </c>
      <c r="H58" s="58">
        <f t="shared" ref="H58" si="48">H56+12</f>
        <v>45903</v>
      </c>
      <c r="I58" s="58">
        <f t="shared" ref="I58" si="49">I56+13</f>
        <v>45926</v>
      </c>
      <c r="J58" s="57">
        <v>0</v>
      </c>
      <c r="K58" s="57">
        <v>32</v>
      </c>
      <c r="L58" s="57">
        <v>99</v>
      </c>
    </row>
    <row r="59" spans="1:12" x14ac:dyDescent="0.25">
      <c r="E59" s="57">
        <v>26</v>
      </c>
      <c r="F59" s="57" t="s">
        <v>11</v>
      </c>
      <c r="G59" s="57" t="s">
        <v>184</v>
      </c>
      <c r="H59" s="58">
        <f t="shared" ref="H59" si="50">H57+20</f>
        <v>45968</v>
      </c>
      <c r="I59" s="58">
        <f t="shared" ref="I59" si="51">I57+16</f>
        <v>45910</v>
      </c>
      <c r="J59" s="57">
        <v>0</v>
      </c>
      <c r="K59" s="57">
        <v>83</v>
      </c>
      <c r="L59" s="57">
        <v>156</v>
      </c>
    </row>
    <row r="60" spans="1:12" x14ac:dyDescent="0.25">
      <c r="E60" s="57">
        <v>26</v>
      </c>
      <c r="F60" s="57" t="s">
        <v>13</v>
      </c>
      <c r="G60" s="57" t="s">
        <v>185</v>
      </c>
      <c r="H60" s="58">
        <f t="shared" ref="H60" si="52">H58+12</f>
        <v>45915</v>
      </c>
      <c r="I60" s="58">
        <f t="shared" ref="I60" si="53">I58+13</f>
        <v>45939</v>
      </c>
      <c r="J60" s="57">
        <v>0</v>
      </c>
      <c r="K60" s="57">
        <v>32</v>
      </c>
      <c r="L60" s="57">
        <v>99</v>
      </c>
    </row>
    <row r="61" spans="1:12" x14ac:dyDescent="0.25">
      <c r="E61" s="57">
        <v>27</v>
      </c>
      <c r="F61" s="57" t="s">
        <v>11</v>
      </c>
      <c r="G61" s="57" t="s">
        <v>184</v>
      </c>
      <c r="H61" s="58">
        <f t="shared" ref="H61" si="54">H59+20</f>
        <v>45988</v>
      </c>
      <c r="I61" s="58">
        <f t="shared" ref="I61" si="55">I59+16</f>
        <v>45926</v>
      </c>
      <c r="J61" s="57">
        <v>0</v>
      </c>
      <c r="K61" s="57">
        <v>83</v>
      </c>
      <c r="L61" s="57">
        <v>156</v>
      </c>
    </row>
    <row r="62" spans="1:12" x14ac:dyDescent="0.25">
      <c r="E62" s="57">
        <v>27</v>
      </c>
      <c r="F62" s="57" t="s">
        <v>13</v>
      </c>
      <c r="G62" s="57" t="s">
        <v>185</v>
      </c>
      <c r="H62" s="58">
        <f t="shared" ref="H62" si="56">H60+12</f>
        <v>45927</v>
      </c>
      <c r="I62" s="58">
        <f t="shared" ref="I62" si="57">I60+13</f>
        <v>45952</v>
      </c>
      <c r="J62" s="57">
        <v>0</v>
      </c>
      <c r="K62" s="57">
        <v>32</v>
      </c>
      <c r="L62" s="57">
        <v>99</v>
      </c>
    </row>
    <row r="63" spans="1:12" x14ac:dyDescent="0.25">
      <c r="E63" s="57">
        <v>28</v>
      </c>
      <c r="F63" s="57" t="s">
        <v>11</v>
      </c>
      <c r="G63" s="57" t="s">
        <v>184</v>
      </c>
      <c r="H63" s="58">
        <f t="shared" ref="H63" si="58">H61+20</f>
        <v>46008</v>
      </c>
      <c r="I63" s="58">
        <f t="shared" ref="I63" si="59">I61+16</f>
        <v>45942</v>
      </c>
      <c r="J63" s="57">
        <v>0</v>
      </c>
      <c r="K63" s="57">
        <v>83</v>
      </c>
      <c r="L63" s="57">
        <v>156</v>
      </c>
    </row>
    <row r="64" spans="1:12" x14ac:dyDescent="0.25">
      <c r="E64" s="57">
        <v>28</v>
      </c>
      <c r="F64" s="57" t="s">
        <v>13</v>
      </c>
      <c r="G64" s="57" t="s">
        <v>185</v>
      </c>
      <c r="H64" s="58">
        <f t="shared" ref="H64" si="60">H62+12</f>
        <v>45939</v>
      </c>
      <c r="I64" s="58">
        <f t="shared" ref="I64" si="61">I62+13</f>
        <v>45965</v>
      </c>
      <c r="J64" s="57">
        <v>0</v>
      </c>
      <c r="K64" s="57">
        <v>32</v>
      </c>
      <c r="L64" s="57">
        <v>99</v>
      </c>
    </row>
    <row r="65" spans="5:12" x14ac:dyDescent="0.25">
      <c r="E65" s="57">
        <v>29</v>
      </c>
      <c r="F65" s="57" t="s">
        <v>11</v>
      </c>
      <c r="G65" s="57" t="s">
        <v>184</v>
      </c>
      <c r="H65" s="58">
        <f t="shared" ref="H65" si="62">H63+20</f>
        <v>46028</v>
      </c>
      <c r="I65" s="58">
        <f t="shared" ref="I65" si="63">I63+16</f>
        <v>45958</v>
      </c>
      <c r="J65" s="57">
        <v>0</v>
      </c>
      <c r="K65" s="57">
        <v>83</v>
      </c>
      <c r="L65" s="57">
        <v>156</v>
      </c>
    </row>
    <row r="66" spans="5:12" x14ac:dyDescent="0.25">
      <c r="E66" s="57">
        <v>29</v>
      </c>
      <c r="F66" s="57" t="s">
        <v>13</v>
      </c>
      <c r="G66" s="57" t="s">
        <v>185</v>
      </c>
      <c r="H66" s="58">
        <f t="shared" ref="H66" si="64">H64+12</f>
        <v>45951</v>
      </c>
      <c r="I66" s="58">
        <f t="shared" ref="I66" si="65">I64+13</f>
        <v>45978</v>
      </c>
      <c r="J66" s="57">
        <v>0</v>
      </c>
      <c r="K66" s="57">
        <v>32</v>
      </c>
      <c r="L66" s="57">
        <v>99</v>
      </c>
    </row>
    <row r="67" spans="5:12" x14ac:dyDescent="0.25">
      <c r="E67" s="57">
        <v>30</v>
      </c>
      <c r="F67" s="57" t="s">
        <v>11</v>
      </c>
      <c r="G67" s="57" t="s">
        <v>184</v>
      </c>
      <c r="H67" s="58">
        <f t="shared" ref="H67" si="66">H65+20</f>
        <v>46048</v>
      </c>
      <c r="I67" s="58">
        <f t="shared" ref="I67" si="67">I65+16</f>
        <v>45974</v>
      </c>
      <c r="J67" s="57">
        <v>0</v>
      </c>
      <c r="K67" s="57">
        <v>83</v>
      </c>
      <c r="L67" s="57">
        <v>156</v>
      </c>
    </row>
    <row r="68" spans="5:12" x14ac:dyDescent="0.25">
      <c r="E68" s="57">
        <v>30</v>
      </c>
      <c r="F68" s="57" t="s">
        <v>13</v>
      </c>
      <c r="G68" s="57" t="s">
        <v>185</v>
      </c>
      <c r="H68" s="58">
        <f t="shared" ref="H68" si="68">H66+12</f>
        <v>45963</v>
      </c>
      <c r="I68" s="58">
        <f t="shared" ref="I68" si="69">I66+13</f>
        <v>45991</v>
      </c>
      <c r="J68" s="57">
        <v>0</v>
      </c>
      <c r="K68" s="57">
        <v>32</v>
      </c>
      <c r="L68" s="57">
        <v>99</v>
      </c>
    </row>
    <row r="69" spans="5:12" x14ac:dyDescent="0.25">
      <c r="E69" s="57">
        <v>31</v>
      </c>
      <c r="F69" s="57" t="s">
        <v>11</v>
      </c>
      <c r="G69" s="57" t="s">
        <v>184</v>
      </c>
      <c r="H69" s="58">
        <f t="shared" ref="H69" si="70">H67+20</f>
        <v>46068</v>
      </c>
      <c r="I69" s="58">
        <f t="shared" ref="I69" si="71">I67+16</f>
        <v>45990</v>
      </c>
      <c r="J69" s="57">
        <v>0</v>
      </c>
      <c r="K69" s="57">
        <v>83</v>
      </c>
      <c r="L69" s="57">
        <v>156</v>
      </c>
    </row>
    <row r="70" spans="5:12" x14ac:dyDescent="0.25">
      <c r="E70" s="57">
        <v>31</v>
      </c>
      <c r="F70" s="57" t="s">
        <v>13</v>
      </c>
      <c r="G70" s="57" t="s">
        <v>185</v>
      </c>
      <c r="H70" s="58">
        <f t="shared" ref="H70" si="72">H68+12</f>
        <v>45975</v>
      </c>
      <c r="I70" s="58">
        <f t="shared" ref="I70" si="73">I68+13</f>
        <v>46004</v>
      </c>
      <c r="J70" s="57">
        <v>0</v>
      </c>
      <c r="K70" s="57">
        <v>32</v>
      </c>
      <c r="L70" s="57">
        <v>99</v>
      </c>
    </row>
    <row r="71" spans="5:12" x14ac:dyDescent="0.25">
      <c r="E71" s="57">
        <v>32</v>
      </c>
      <c r="F71" s="57" t="s">
        <v>11</v>
      </c>
      <c r="G71" s="57" t="s">
        <v>184</v>
      </c>
      <c r="H71" s="58">
        <f t="shared" ref="H71" si="74">H69+20</f>
        <v>46088</v>
      </c>
      <c r="I71" s="58">
        <f t="shared" ref="I71" si="75">I69+16</f>
        <v>46006</v>
      </c>
      <c r="J71" s="57">
        <v>0</v>
      </c>
      <c r="K71" s="57">
        <v>83</v>
      </c>
      <c r="L71" s="57">
        <v>156</v>
      </c>
    </row>
    <row r="72" spans="5:12" x14ac:dyDescent="0.25">
      <c r="E72" s="57">
        <v>32</v>
      </c>
      <c r="F72" s="57" t="s">
        <v>13</v>
      </c>
      <c r="G72" s="57" t="s">
        <v>185</v>
      </c>
      <c r="H72" s="58">
        <f t="shared" ref="H72" si="76">H70+12</f>
        <v>45987</v>
      </c>
      <c r="I72" s="58">
        <f t="shared" ref="I72" si="77">I70+13</f>
        <v>46017</v>
      </c>
      <c r="J72" s="57">
        <v>0</v>
      </c>
      <c r="K72" s="57">
        <v>32</v>
      </c>
      <c r="L72" s="57">
        <v>99</v>
      </c>
    </row>
    <row r="73" spans="5:12" x14ac:dyDescent="0.25">
      <c r="E73" s="57">
        <v>33</v>
      </c>
      <c r="F73" s="57" t="s">
        <v>11</v>
      </c>
      <c r="G73" s="57" t="s">
        <v>184</v>
      </c>
      <c r="H73" s="58">
        <f t="shared" ref="H73" si="78">H71+20</f>
        <v>46108</v>
      </c>
      <c r="I73" s="58">
        <f t="shared" ref="I73" si="79">I71+16</f>
        <v>46022</v>
      </c>
      <c r="J73" s="57">
        <v>0</v>
      </c>
      <c r="K73" s="57">
        <v>83</v>
      </c>
      <c r="L73" s="57">
        <v>156</v>
      </c>
    </row>
    <row r="74" spans="5:12" x14ac:dyDescent="0.25">
      <c r="E74" s="57">
        <v>33</v>
      </c>
      <c r="F74" s="57" t="s">
        <v>13</v>
      </c>
      <c r="G74" s="57" t="s">
        <v>185</v>
      </c>
      <c r="H74" s="58">
        <f t="shared" ref="H74" si="80">H72+12</f>
        <v>45999</v>
      </c>
      <c r="I74" s="58">
        <f t="shared" ref="I74" si="81">I72+13</f>
        <v>46030</v>
      </c>
      <c r="J74" s="57">
        <v>0</v>
      </c>
      <c r="K74" s="57">
        <v>32</v>
      </c>
      <c r="L74" s="57">
        <v>99</v>
      </c>
    </row>
    <row r="75" spans="5:12" x14ac:dyDescent="0.25">
      <c r="E75" s="57">
        <v>34</v>
      </c>
      <c r="F75" s="57" t="s">
        <v>11</v>
      </c>
      <c r="G75" s="57" t="s">
        <v>184</v>
      </c>
      <c r="H75" s="58">
        <f t="shared" ref="H75" si="82">H73+20</f>
        <v>46128</v>
      </c>
      <c r="I75" s="58">
        <f t="shared" ref="I75" si="83">I73+16</f>
        <v>46038</v>
      </c>
      <c r="J75" s="57">
        <v>0</v>
      </c>
      <c r="K75" s="57">
        <v>83</v>
      </c>
      <c r="L75" s="57">
        <v>156</v>
      </c>
    </row>
    <row r="76" spans="5:12" x14ac:dyDescent="0.25">
      <c r="E76" s="57">
        <v>34</v>
      </c>
      <c r="F76" s="57" t="s">
        <v>13</v>
      </c>
      <c r="G76" s="57" t="s">
        <v>185</v>
      </c>
      <c r="H76" s="58">
        <f t="shared" ref="H76" si="84">H74+12</f>
        <v>46011</v>
      </c>
      <c r="I76" s="58">
        <f t="shared" ref="I76" si="85">I74+13</f>
        <v>46043</v>
      </c>
      <c r="J76" s="57">
        <v>0</v>
      </c>
      <c r="K76" s="57">
        <v>32</v>
      </c>
      <c r="L76" s="57">
        <v>99</v>
      </c>
    </row>
    <row r="77" spans="5:12" x14ac:dyDescent="0.25">
      <c r="E77" s="57">
        <v>35</v>
      </c>
      <c r="F77" s="57" t="s">
        <v>11</v>
      </c>
      <c r="G77" s="57" t="s">
        <v>184</v>
      </c>
      <c r="H77" s="58">
        <f t="shared" ref="H77" si="86">H75+20</f>
        <v>46148</v>
      </c>
      <c r="I77" s="58">
        <f t="shared" ref="I77" si="87">I75+16</f>
        <v>46054</v>
      </c>
      <c r="J77" s="57">
        <v>0</v>
      </c>
      <c r="K77" s="57">
        <v>83</v>
      </c>
      <c r="L77" s="57">
        <v>156</v>
      </c>
    </row>
    <row r="78" spans="5:12" x14ac:dyDescent="0.25">
      <c r="E78" s="57">
        <v>35</v>
      </c>
      <c r="F78" s="57" t="s">
        <v>13</v>
      </c>
      <c r="G78" s="57" t="s">
        <v>185</v>
      </c>
      <c r="H78" s="58">
        <f t="shared" ref="H78" si="88">H76+12</f>
        <v>46023</v>
      </c>
      <c r="I78" s="58">
        <f t="shared" ref="I78" si="89">I76+13</f>
        <v>46056</v>
      </c>
      <c r="J78" s="57">
        <v>0</v>
      </c>
      <c r="K78" s="57">
        <v>32</v>
      </c>
      <c r="L78" s="57">
        <v>99</v>
      </c>
    </row>
    <row r="79" spans="5:12" x14ac:dyDescent="0.25">
      <c r="E79" s="57">
        <v>36</v>
      </c>
      <c r="F79" s="57" t="s">
        <v>11</v>
      </c>
      <c r="G79" s="57" t="s">
        <v>184</v>
      </c>
      <c r="H79" s="58">
        <f t="shared" ref="H79" si="90">H77+20</f>
        <v>46168</v>
      </c>
      <c r="I79" s="58">
        <f t="shared" ref="I79" si="91">I77+16</f>
        <v>46070</v>
      </c>
      <c r="J79" s="57">
        <v>0</v>
      </c>
      <c r="K79" s="57">
        <v>83</v>
      </c>
      <c r="L79" s="57">
        <v>156</v>
      </c>
    </row>
    <row r="80" spans="5:12" x14ac:dyDescent="0.25">
      <c r="E80" s="57">
        <v>36</v>
      </c>
      <c r="F80" s="57" t="s">
        <v>13</v>
      </c>
      <c r="G80" s="57" t="s">
        <v>185</v>
      </c>
      <c r="H80" s="58">
        <f t="shared" ref="H80" si="92">H78+12</f>
        <v>46035</v>
      </c>
      <c r="I80" s="58">
        <f t="shared" ref="I80" si="93">I78+13</f>
        <v>46069</v>
      </c>
      <c r="J80" s="57">
        <v>0</v>
      </c>
      <c r="K80" s="57">
        <v>32</v>
      </c>
      <c r="L80" s="57">
        <v>99</v>
      </c>
    </row>
    <row r="81" spans="5:12" x14ac:dyDescent="0.25">
      <c r="E81" s="57">
        <v>37</v>
      </c>
      <c r="F81" s="57" t="s">
        <v>11</v>
      </c>
      <c r="G81" s="57" t="s">
        <v>184</v>
      </c>
      <c r="H81" s="58">
        <f t="shared" ref="H81" si="94">H79+20</f>
        <v>46188</v>
      </c>
      <c r="I81" s="58">
        <f t="shared" ref="I81" si="95">I79+16</f>
        <v>46086</v>
      </c>
      <c r="J81" s="57">
        <v>0</v>
      </c>
      <c r="K81" s="57">
        <v>83</v>
      </c>
      <c r="L81" s="57">
        <v>156</v>
      </c>
    </row>
    <row r="82" spans="5:12" x14ac:dyDescent="0.25">
      <c r="E82" s="57">
        <v>37</v>
      </c>
      <c r="F82" s="57" t="s">
        <v>13</v>
      </c>
      <c r="G82" s="57" t="s">
        <v>185</v>
      </c>
      <c r="H82" s="58">
        <f t="shared" ref="H82" si="96">H80+12</f>
        <v>46047</v>
      </c>
      <c r="I82" s="58">
        <f t="shared" ref="I82" si="97">I80+13</f>
        <v>46082</v>
      </c>
      <c r="J82" s="57">
        <v>0</v>
      </c>
      <c r="K82" s="57">
        <v>32</v>
      </c>
      <c r="L82" s="57">
        <v>99</v>
      </c>
    </row>
    <row r="83" spans="5:12" x14ac:dyDescent="0.25">
      <c r="E83" s="57">
        <v>38</v>
      </c>
      <c r="F83" s="57" t="s">
        <v>11</v>
      </c>
      <c r="G83" s="57" t="s">
        <v>184</v>
      </c>
      <c r="H83" s="58">
        <f t="shared" ref="H83" si="98">H81+20</f>
        <v>46208</v>
      </c>
      <c r="I83" s="58">
        <f t="shared" ref="I83" si="99">I81+16</f>
        <v>46102</v>
      </c>
      <c r="J83" s="57">
        <v>0</v>
      </c>
      <c r="K83" s="57">
        <v>83</v>
      </c>
      <c r="L83" s="57">
        <v>156</v>
      </c>
    </row>
    <row r="84" spans="5:12" x14ac:dyDescent="0.25">
      <c r="E84" s="57">
        <v>38</v>
      </c>
      <c r="F84" s="57" t="s">
        <v>13</v>
      </c>
      <c r="G84" s="57" t="s">
        <v>185</v>
      </c>
      <c r="H84" s="58">
        <f t="shared" ref="H84" si="100">H82+12</f>
        <v>46059</v>
      </c>
      <c r="I84" s="58">
        <f t="shared" ref="I84" si="101">I82+13</f>
        <v>46095</v>
      </c>
      <c r="J84" s="57">
        <v>0</v>
      </c>
      <c r="K84" s="57">
        <v>32</v>
      </c>
      <c r="L84" s="57">
        <v>99</v>
      </c>
    </row>
    <row r="85" spans="5:12" x14ac:dyDescent="0.25">
      <c r="E85" s="57">
        <v>39</v>
      </c>
      <c r="F85" s="57" t="s">
        <v>11</v>
      </c>
      <c r="G85" s="57" t="s">
        <v>184</v>
      </c>
      <c r="H85" s="58">
        <f t="shared" ref="H85" si="102">H83+20</f>
        <v>46228</v>
      </c>
      <c r="I85" s="58">
        <f t="shared" ref="I85" si="103">I83+16</f>
        <v>46118</v>
      </c>
      <c r="J85" s="57">
        <v>0</v>
      </c>
      <c r="K85" s="57">
        <v>83</v>
      </c>
      <c r="L85" s="57">
        <v>156</v>
      </c>
    </row>
    <row r="86" spans="5:12" x14ac:dyDescent="0.25">
      <c r="E86" s="57">
        <v>39</v>
      </c>
      <c r="F86" s="57" t="s">
        <v>13</v>
      </c>
      <c r="G86" s="57" t="s">
        <v>185</v>
      </c>
      <c r="H86" s="58">
        <f t="shared" ref="H86" si="104">H84+12</f>
        <v>46071</v>
      </c>
      <c r="I86" s="58">
        <f t="shared" ref="I86" si="105">I84+13</f>
        <v>46108</v>
      </c>
      <c r="J86" s="57">
        <v>0</v>
      </c>
      <c r="K86" s="57">
        <v>32</v>
      </c>
      <c r="L86" s="57">
        <v>99</v>
      </c>
    </row>
    <row r="87" spans="5:12" x14ac:dyDescent="0.25">
      <c r="E87" s="57">
        <v>40</v>
      </c>
      <c r="F87" s="57" t="s">
        <v>11</v>
      </c>
      <c r="G87" s="57" t="s">
        <v>184</v>
      </c>
      <c r="H87" s="58">
        <f t="shared" ref="H87" si="106">H85+20</f>
        <v>46248</v>
      </c>
      <c r="I87" s="58">
        <f t="shared" ref="I87" si="107">I85+16</f>
        <v>46134</v>
      </c>
      <c r="J87" s="57">
        <v>0</v>
      </c>
      <c r="K87" s="57">
        <v>83</v>
      </c>
      <c r="L87" s="57">
        <v>156</v>
      </c>
    </row>
    <row r="88" spans="5:12" x14ac:dyDescent="0.25">
      <c r="E88" s="57">
        <v>40</v>
      </c>
      <c r="F88" s="57" t="s">
        <v>13</v>
      </c>
      <c r="G88" s="57" t="s">
        <v>185</v>
      </c>
      <c r="H88" s="58">
        <f t="shared" ref="H88" si="108">H86+12</f>
        <v>46083</v>
      </c>
      <c r="I88" s="58">
        <f t="shared" ref="I88" si="109">I86+13</f>
        <v>46121</v>
      </c>
      <c r="J88" s="57">
        <v>0</v>
      </c>
      <c r="K88" s="57">
        <v>32</v>
      </c>
      <c r="L88" s="57">
        <v>99</v>
      </c>
    </row>
    <row r="89" spans="5:12" x14ac:dyDescent="0.25">
      <c r="E89" s="57">
        <v>41</v>
      </c>
      <c r="F89" s="57" t="s">
        <v>11</v>
      </c>
      <c r="G89" s="57" t="s">
        <v>184</v>
      </c>
      <c r="H89" s="58">
        <f t="shared" ref="H89" si="110">H87+20</f>
        <v>46268</v>
      </c>
      <c r="I89" s="58">
        <f t="shared" ref="I89" si="111">I87+16</f>
        <v>46150</v>
      </c>
      <c r="J89" s="57">
        <v>0</v>
      </c>
      <c r="K89" s="57">
        <v>83</v>
      </c>
      <c r="L89" s="57">
        <v>156</v>
      </c>
    </row>
    <row r="90" spans="5:12" x14ac:dyDescent="0.25">
      <c r="E90" s="57">
        <v>41</v>
      </c>
      <c r="F90" s="57" t="s">
        <v>13</v>
      </c>
      <c r="G90" s="57" t="s">
        <v>185</v>
      </c>
      <c r="H90" s="58">
        <f>H88+12</f>
        <v>46095</v>
      </c>
      <c r="I90" s="58">
        <f t="shared" ref="I90" si="112">I88+13</f>
        <v>46134</v>
      </c>
      <c r="J90" s="57">
        <v>0</v>
      </c>
      <c r="K90" s="57">
        <v>32</v>
      </c>
      <c r="L90" s="57">
        <v>99</v>
      </c>
    </row>
  </sheetData>
  <pageMargins left="0.7" right="0.7" top="0.75" bottom="0.75" header="0.3" footer="0.3"/>
  <pageSetup paperSize="0"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A1:CP514"/>
  <sheetViews>
    <sheetView zoomScaleNormal="100" workbookViewId="0">
      <selection activeCell="A4" sqref="A4:XFD4"/>
    </sheetView>
  </sheetViews>
  <sheetFormatPr baseColWidth="10" defaultColWidth="11.42578125" defaultRowHeight="15" x14ac:dyDescent="0.25"/>
  <cols>
    <col min="1" max="1" width="16.140625" style="52" customWidth="1"/>
    <col min="2" max="2" width="70" style="52" customWidth="1"/>
    <col min="4" max="4" width="15.140625" style="52" customWidth="1"/>
    <col min="8" max="8" width="13.42578125" style="52" bestFit="1" customWidth="1"/>
  </cols>
  <sheetData>
    <row r="1" spans="2:94" ht="34.5" customHeight="1" x14ac:dyDescent="0.25">
      <c r="B1" s="75" t="s">
        <v>64</v>
      </c>
      <c r="C1" s="74"/>
      <c r="D1" s="54" t="s">
        <v>65</v>
      </c>
      <c r="E1" s="59">
        <v>-2</v>
      </c>
      <c r="F1" s="59">
        <v>-2</v>
      </c>
      <c r="G1" s="59">
        <v>-1</v>
      </c>
      <c r="H1" s="59">
        <v>-1</v>
      </c>
      <c r="I1" s="59">
        <v>0</v>
      </c>
      <c r="J1" s="59">
        <v>0</v>
      </c>
      <c r="K1" s="59">
        <v>1</v>
      </c>
      <c r="L1" s="59">
        <v>1</v>
      </c>
      <c r="M1" s="59">
        <v>2</v>
      </c>
      <c r="N1" s="59">
        <v>2</v>
      </c>
      <c r="O1" s="59">
        <v>3</v>
      </c>
      <c r="P1" s="59">
        <v>3</v>
      </c>
      <c r="Q1" s="59">
        <v>4</v>
      </c>
      <c r="R1" s="59">
        <v>4</v>
      </c>
      <c r="S1" s="59">
        <v>5</v>
      </c>
      <c r="T1" s="59">
        <v>5</v>
      </c>
      <c r="U1" s="59">
        <v>6</v>
      </c>
      <c r="V1" s="59">
        <v>6</v>
      </c>
      <c r="W1" s="59">
        <v>7</v>
      </c>
      <c r="X1" s="59">
        <v>7</v>
      </c>
      <c r="Y1" s="59">
        <v>8</v>
      </c>
      <c r="Z1" s="59">
        <v>8</v>
      </c>
      <c r="AA1" s="59">
        <v>9</v>
      </c>
      <c r="AB1" s="59">
        <v>9</v>
      </c>
      <c r="AC1" s="59">
        <v>10</v>
      </c>
      <c r="AD1" s="59">
        <v>10</v>
      </c>
      <c r="AE1" s="59">
        <v>11</v>
      </c>
      <c r="AF1" s="59">
        <v>11</v>
      </c>
      <c r="AG1" s="59">
        <v>12</v>
      </c>
      <c r="AH1" s="59">
        <v>12</v>
      </c>
      <c r="AI1" s="59">
        <v>13</v>
      </c>
      <c r="AJ1" s="59">
        <v>13</v>
      </c>
      <c r="AK1" s="59">
        <v>14</v>
      </c>
      <c r="AL1" s="59">
        <v>14</v>
      </c>
      <c r="AM1" s="59">
        <v>15</v>
      </c>
      <c r="AN1" s="59">
        <v>15</v>
      </c>
      <c r="AO1" s="59">
        <v>16</v>
      </c>
      <c r="AP1" s="59">
        <v>16</v>
      </c>
      <c r="AQ1" s="59">
        <v>17</v>
      </c>
      <c r="AR1" s="59">
        <v>17</v>
      </c>
      <c r="AS1" s="59">
        <v>18</v>
      </c>
      <c r="AT1" s="59">
        <v>18</v>
      </c>
      <c r="AU1" s="59">
        <v>19</v>
      </c>
      <c r="AV1" s="59">
        <v>19</v>
      </c>
      <c r="AW1" s="59">
        <v>20</v>
      </c>
      <c r="AX1" s="59">
        <v>20</v>
      </c>
      <c r="AY1" s="59">
        <v>21</v>
      </c>
      <c r="AZ1" s="59">
        <v>21</v>
      </c>
      <c r="BA1" s="59">
        <v>22</v>
      </c>
      <c r="BB1" s="59">
        <v>22</v>
      </c>
      <c r="BC1" s="59">
        <v>23</v>
      </c>
      <c r="BD1" s="59">
        <v>23</v>
      </c>
      <c r="BE1" s="59">
        <v>24</v>
      </c>
      <c r="BF1" s="59">
        <v>24</v>
      </c>
      <c r="BG1" s="59">
        <v>25</v>
      </c>
      <c r="BH1" s="59">
        <v>25</v>
      </c>
      <c r="BI1" s="59">
        <v>26</v>
      </c>
      <c r="BJ1" s="59">
        <v>26</v>
      </c>
      <c r="BK1" s="59">
        <v>27</v>
      </c>
      <c r="BL1" s="59">
        <v>27</v>
      </c>
      <c r="BM1" s="59">
        <v>28</v>
      </c>
      <c r="BN1" s="59">
        <v>28</v>
      </c>
      <c r="BO1" s="59">
        <v>29</v>
      </c>
      <c r="BP1" s="59">
        <v>29</v>
      </c>
      <c r="BQ1" s="59">
        <v>30</v>
      </c>
      <c r="BR1" s="59">
        <v>30</v>
      </c>
      <c r="BS1" s="59">
        <v>31</v>
      </c>
      <c r="BT1" s="59">
        <v>31</v>
      </c>
      <c r="BU1" s="59">
        <v>32</v>
      </c>
      <c r="BV1" s="59">
        <v>32</v>
      </c>
      <c r="BW1" s="59">
        <v>33</v>
      </c>
      <c r="BX1" s="59">
        <v>33</v>
      </c>
      <c r="BY1" s="59">
        <v>34</v>
      </c>
      <c r="BZ1" s="59">
        <v>34</v>
      </c>
      <c r="CA1" s="59">
        <v>35</v>
      </c>
      <c r="CB1" s="59">
        <v>35</v>
      </c>
      <c r="CC1" s="59">
        <v>36</v>
      </c>
      <c r="CD1" s="59">
        <v>36</v>
      </c>
      <c r="CE1" s="59">
        <v>37</v>
      </c>
      <c r="CF1" s="59">
        <v>37</v>
      </c>
      <c r="CG1" s="59">
        <v>38</v>
      </c>
      <c r="CH1" s="59">
        <v>38</v>
      </c>
      <c r="CI1" s="59">
        <v>39</v>
      </c>
      <c r="CJ1" s="59">
        <v>39</v>
      </c>
      <c r="CK1" s="59">
        <v>40</v>
      </c>
      <c r="CL1" s="59">
        <v>40</v>
      </c>
      <c r="CM1" s="59">
        <v>41</v>
      </c>
      <c r="CN1" s="59">
        <v>41</v>
      </c>
      <c r="CO1" s="59" t="s">
        <v>66</v>
      </c>
      <c r="CP1" s="59" t="s">
        <v>67</v>
      </c>
    </row>
    <row r="2" spans="2:94" s="61" customFormat="1" ht="15.6" customHeight="1" x14ac:dyDescent="0.25">
      <c r="B2" s="73" t="s">
        <v>68</v>
      </c>
      <c r="C2" s="73" t="s">
        <v>69</v>
      </c>
      <c r="D2" s="60" t="s">
        <v>4</v>
      </c>
      <c r="E2" s="57" t="s">
        <v>184</v>
      </c>
      <c r="F2" s="57" t="s">
        <v>185</v>
      </c>
      <c r="G2" s="57" t="s">
        <v>184</v>
      </c>
      <c r="H2" s="57" t="s">
        <v>185</v>
      </c>
      <c r="I2" s="57" t="s">
        <v>184</v>
      </c>
      <c r="J2" s="57" t="s">
        <v>185</v>
      </c>
      <c r="K2" s="57" t="s">
        <v>184</v>
      </c>
      <c r="L2" s="57" t="s">
        <v>185</v>
      </c>
      <c r="M2" s="57" t="s">
        <v>184</v>
      </c>
      <c r="N2" s="57" t="s">
        <v>185</v>
      </c>
      <c r="O2" s="57" t="s">
        <v>184</v>
      </c>
      <c r="P2" s="57" t="s">
        <v>185</v>
      </c>
      <c r="Q2" s="57" t="s">
        <v>184</v>
      </c>
      <c r="R2" s="57" t="s">
        <v>185</v>
      </c>
      <c r="S2" s="57" t="s">
        <v>184</v>
      </c>
      <c r="T2" s="57" t="s">
        <v>185</v>
      </c>
      <c r="U2" s="57" t="s">
        <v>184</v>
      </c>
      <c r="V2" s="57" t="s">
        <v>185</v>
      </c>
      <c r="W2" s="57" t="s">
        <v>184</v>
      </c>
      <c r="X2" s="57" t="s">
        <v>185</v>
      </c>
      <c r="Y2" s="57" t="s">
        <v>184</v>
      </c>
      <c r="Z2" s="57" t="s">
        <v>185</v>
      </c>
      <c r="AA2" s="57" t="s">
        <v>184</v>
      </c>
      <c r="AB2" s="57" t="s">
        <v>185</v>
      </c>
      <c r="AC2" s="57" t="s">
        <v>184</v>
      </c>
      <c r="AD2" s="57" t="s">
        <v>185</v>
      </c>
      <c r="AE2" s="57" t="s">
        <v>184</v>
      </c>
      <c r="AF2" s="57" t="s">
        <v>185</v>
      </c>
      <c r="AG2" s="57" t="s">
        <v>184</v>
      </c>
      <c r="AH2" s="57" t="s">
        <v>185</v>
      </c>
      <c r="AI2" s="57" t="s">
        <v>184</v>
      </c>
      <c r="AJ2" s="57" t="s">
        <v>185</v>
      </c>
      <c r="AK2" s="57" t="s">
        <v>184</v>
      </c>
      <c r="AL2" s="57" t="s">
        <v>185</v>
      </c>
      <c r="AM2" s="57" t="s">
        <v>184</v>
      </c>
      <c r="AN2" s="57" t="s">
        <v>185</v>
      </c>
      <c r="AO2" s="57" t="s">
        <v>184</v>
      </c>
      <c r="AP2" s="57" t="s">
        <v>185</v>
      </c>
      <c r="AQ2" s="57" t="s">
        <v>184</v>
      </c>
      <c r="AR2" s="57" t="s">
        <v>185</v>
      </c>
      <c r="AS2" s="57" t="s">
        <v>184</v>
      </c>
      <c r="AT2" s="57" t="s">
        <v>185</v>
      </c>
      <c r="AU2" s="57" t="s">
        <v>184</v>
      </c>
      <c r="AV2" s="57" t="s">
        <v>185</v>
      </c>
      <c r="AW2" s="57" t="s">
        <v>184</v>
      </c>
      <c r="AX2" s="57" t="s">
        <v>185</v>
      </c>
      <c r="AY2" s="57" t="s">
        <v>184</v>
      </c>
      <c r="AZ2" s="57" t="s">
        <v>185</v>
      </c>
      <c r="BA2" s="57" t="s">
        <v>184</v>
      </c>
      <c r="BB2" s="57" t="s">
        <v>185</v>
      </c>
      <c r="BC2" s="57" t="s">
        <v>184</v>
      </c>
      <c r="BD2" s="57" t="s">
        <v>185</v>
      </c>
      <c r="BE2" s="57" t="s">
        <v>184</v>
      </c>
      <c r="BF2" s="57" t="s">
        <v>185</v>
      </c>
      <c r="BG2" s="57" t="s">
        <v>184</v>
      </c>
      <c r="BH2" s="57" t="s">
        <v>185</v>
      </c>
      <c r="BI2" s="57" t="s">
        <v>184</v>
      </c>
      <c r="BJ2" s="57" t="s">
        <v>185</v>
      </c>
      <c r="BK2" s="57" t="s">
        <v>184</v>
      </c>
      <c r="BL2" s="57" t="s">
        <v>185</v>
      </c>
      <c r="BM2" s="57" t="s">
        <v>184</v>
      </c>
      <c r="BN2" s="57" t="s">
        <v>185</v>
      </c>
      <c r="BO2" s="57" t="s">
        <v>184</v>
      </c>
      <c r="BP2" s="57" t="s">
        <v>185</v>
      </c>
      <c r="BQ2" s="57" t="s">
        <v>184</v>
      </c>
      <c r="BR2" s="57" t="s">
        <v>185</v>
      </c>
      <c r="BS2" s="57" t="s">
        <v>184</v>
      </c>
      <c r="BT2" s="57" t="s">
        <v>185</v>
      </c>
      <c r="BU2" s="57" t="s">
        <v>184</v>
      </c>
      <c r="BV2" s="57" t="s">
        <v>185</v>
      </c>
      <c r="BW2" s="57" t="s">
        <v>184</v>
      </c>
      <c r="BX2" s="57" t="s">
        <v>185</v>
      </c>
      <c r="BY2" s="57" t="s">
        <v>184</v>
      </c>
      <c r="BZ2" s="57" t="s">
        <v>185</v>
      </c>
      <c r="CA2" s="57" t="s">
        <v>184</v>
      </c>
      <c r="CB2" s="57" t="s">
        <v>185</v>
      </c>
      <c r="CC2" s="57" t="s">
        <v>184</v>
      </c>
      <c r="CD2" s="57" t="s">
        <v>185</v>
      </c>
      <c r="CE2" s="57" t="s">
        <v>184</v>
      </c>
      <c r="CF2" s="57" t="s">
        <v>185</v>
      </c>
      <c r="CG2" s="57" t="s">
        <v>184</v>
      </c>
      <c r="CH2" s="57" t="s">
        <v>185</v>
      </c>
      <c r="CI2" s="57" t="s">
        <v>184</v>
      </c>
      <c r="CJ2" s="57" t="s">
        <v>185</v>
      </c>
      <c r="CK2" s="57" t="s">
        <v>184</v>
      </c>
      <c r="CL2" s="57" t="s">
        <v>185</v>
      </c>
      <c r="CM2" s="57" t="s">
        <v>184</v>
      </c>
      <c r="CN2" s="57" t="s">
        <v>185</v>
      </c>
    </row>
    <row r="3" spans="2:94" ht="30.95" customHeight="1" x14ac:dyDescent="0.25">
      <c r="B3" s="74"/>
      <c r="C3" s="74"/>
      <c r="D3" s="9" t="s">
        <v>70</v>
      </c>
      <c r="I3" s="47"/>
    </row>
    <row r="4" spans="2:94" x14ac:dyDescent="0.25">
      <c r="B4" t="s">
        <v>71</v>
      </c>
      <c r="C4">
        <v>31260</v>
      </c>
      <c r="D4">
        <f t="shared" ref="D4:D15" si="0">C4-SUM(E4:CO4)</f>
        <v>0</v>
      </c>
      <c r="E4">
        <f>INT($C4 * 20% / 10)</f>
        <v>625</v>
      </c>
      <c r="F4" s="61">
        <f t="shared" ref="F4:N15" si="1">INT($C4 * 20% / 10)</f>
        <v>625</v>
      </c>
      <c r="G4" s="61">
        <f t="shared" si="1"/>
        <v>625</v>
      </c>
      <c r="H4" s="61">
        <f t="shared" si="1"/>
        <v>625</v>
      </c>
      <c r="I4" s="61">
        <v>667</v>
      </c>
      <c r="J4" s="61">
        <f t="shared" si="1"/>
        <v>625</v>
      </c>
      <c r="K4" s="61">
        <f>INT($C4 * 20% / 10)</f>
        <v>625</v>
      </c>
      <c r="L4" s="61">
        <f t="shared" si="1"/>
        <v>625</v>
      </c>
      <c r="M4" s="61">
        <f t="shared" si="1"/>
        <v>625</v>
      </c>
      <c r="N4" s="61">
        <f t="shared" si="1"/>
        <v>625</v>
      </c>
      <c r="O4" cm="1">
        <f t="array" ref="O4">INT($C4 * 80% * (0.985^(COLUMN()-COLUMN($O4))) / SUMPRODUCT(0.985^(COLUMN($O4:$CN4)-COLUMN($O4))))</f>
        <v>541</v>
      </c>
      <c r="P4" s="61" cm="1">
        <f t="array" ref="P4">INT($C4 * 80% * (0.985^(COLUMN()-COLUMN($O4))) / SUMPRODUCT(0.985^(COLUMN($O4:$CN4)-COLUMN($O4))))</f>
        <v>533</v>
      </c>
      <c r="Q4" s="61" cm="1">
        <f t="array" ref="Q4">INT($C4 * 80% * (0.985^(COLUMN()-COLUMN($O4))) / SUMPRODUCT(0.985^(COLUMN($O4:$CN4)-COLUMN($O4))))</f>
        <v>525</v>
      </c>
      <c r="R4" s="61" cm="1">
        <f t="array" ref="R4">INT($C4 * 80% * (0.985^(COLUMN()-COLUMN($O4))) / SUMPRODUCT(0.985^(COLUMN($O4:$CN4)-COLUMN($O4))))</f>
        <v>517</v>
      </c>
      <c r="S4" s="61" cm="1">
        <f t="array" ref="S4">INT($C4 * 80% * (0.985^(COLUMN()-COLUMN($O4))) / SUMPRODUCT(0.985^(COLUMN($O4:$CN4)-COLUMN($O4))))</f>
        <v>510</v>
      </c>
      <c r="T4" s="61" cm="1">
        <f t="array" ref="T4">INT($C4 * 80% * (0.985^(COLUMN()-COLUMN($O4))) / SUMPRODUCT(0.985^(COLUMN($O4:$CN4)-COLUMN($O4))))</f>
        <v>502</v>
      </c>
      <c r="U4" s="61" cm="1">
        <f t="array" ref="U4">INT($C4 * 80% * (0.985^(COLUMN()-COLUMN($O4))) / SUMPRODUCT(0.985^(COLUMN($O4:$CN4)-COLUMN($O4))))</f>
        <v>494</v>
      </c>
      <c r="V4" s="61" cm="1">
        <f t="array" ref="V4">INT($C4 * 80% * (0.985^(COLUMN()-COLUMN($O4))) / SUMPRODUCT(0.985^(COLUMN($O4:$CN4)-COLUMN($O4))))</f>
        <v>487</v>
      </c>
      <c r="W4" s="61" cm="1">
        <f t="array" ref="W4">INT($C4 * 80% * (0.985^(COLUMN()-COLUMN($O4))) / SUMPRODUCT(0.985^(COLUMN($O4:$CN4)-COLUMN($O4))))</f>
        <v>480</v>
      </c>
      <c r="X4" s="61" cm="1">
        <f t="array" ref="X4">INT($C4 * 80% * (0.985^(COLUMN()-COLUMN($O4))) / SUMPRODUCT(0.985^(COLUMN($O4:$CN4)-COLUMN($O4))))</f>
        <v>472</v>
      </c>
      <c r="Y4" s="61" cm="1">
        <f t="array" ref="Y4">INT($C4 * 80% * (0.985^(COLUMN()-COLUMN($O4))) / SUMPRODUCT(0.985^(COLUMN($O4:$CN4)-COLUMN($O4))))</f>
        <v>465</v>
      </c>
      <c r="Z4" s="61" cm="1">
        <f t="array" ref="Z4">INT($C4 * 80% * (0.985^(COLUMN()-COLUMN($O4))) / SUMPRODUCT(0.985^(COLUMN($O4:$CN4)-COLUMN($O4))))</f>
        <v>458</v>
      </c>
      <c r="AA4" s="61" cm="1">
        <f t="array" ref="AA4">INT($C4 * 80% * (0.985^(COLUMN()-COLUMN($O4))) / SUMPRODUCT(0.985^(COLUMN($O4:$CN4)-COLUMN($O4))))</f>
        <v>451</v>
      </c>
      <c r="AB4" s="61" cm="1">
        <f t="array" ref="AB4">INT($C4 * 80% * (0.985^(COLUMN()-COLUMN($O4))) / SUMPRODUCT(0.985^(COLUMN($O4:$CN4)-COLUMN($O4))))</f>
        <v>445</v>
      </c>
      <c r="AC4" s="61" cm="1">
        <f t="array" ref="AC4">INT($C4 * 80% * (0.985^(COLUMN()-COLUMN($O4))) / SUMPRODUCT(0.985^(COLUMN($O4:$CN4)-COLUMN($O4))))</f>
        <v>438</v>
      </c>
      <c r="AD4" s="61" cm="1">
        <f t="array" ref="AD4">INT($C4 * 80% * (0.985^(COLUMN()-COLUMN($O4))) / SUMPRODUCT(0.985^(COLUMN($O4:$CN4)-COLUMN($O4))))</f>
        <v>431</v>
      </c>
      <c r="AE4" s="61" cm="1">
        <f t="array" ref="AE4">INT($C4 * 80% * (0.985^(COLUMN()-COLUMN($O4))) / SUMPRODUCT(0.985^(COLUMN($O4:$CN4)-COLUMN($O4))))</f>
        <v>425</v>
      </c>
      <c r="AF4" s="61" cm="1">
        <f t="array" ref="AF4">INT($C4 * 80% * (0.985^(COLUMN()-COLUMN($O4))) / SUMPRODUCT(0.985^(COLUMN($O4:$CN4)-COLUMN($O4))))</f>
        <v>419</v>
      </c>
      <c r="AG4" s="61" cm="1">
        <f t="array" ref="AG4">INT($C4 * 80% * (0.985^(COLUMN()-COLUMN($O4))) / SUMPRODUCT(0.985^(COLUMN($O4:$CN4)-COLUMN($O4))))</f>
        <v>412</v>
      </c>
      <c r="AH4" s="61" cm="1">
        <f t="array" ref="AH4">INT($C4 * 80% * (0.985^(COLUMN()-COLUMN($O4))) / SUMPRODUCT(0.985^(COLUMN($O4:$CN4)-COLUMN($O4))))</f>
        <v>406</v>
      </c>
      <c r="AI4" s="61" cm="1">
        <f t="array" ref="AI4">INT($C4 * 80% * (0.985^(COLUMN()-COLUMN($O4))) / SUMPRODUCT(0.985^(COLUMN($O4:$CN4)-COLUMN($O4))))</f>
        <v>400</v>
      </c>
      <c r="AJ4" s="61" cm="1">
        <f t="array" ref="AJ4">INT($C4 * 80% * (0.985^(COLUMN()-COLUMN($O4))) / SUMPRODUCT(0.985^(COLUMN($O4:$CN4)-COLUMN($O4))))</f>
        <v>394</v>
      </c>
      <c r="AK4" s="61" cm="1">
        <f t="array" ref="AK4">INT($C4 * 80% * (0.985^(COLUMN()-COLUMN($O4))) / SUMPRODUCT(0.985^(COLUMN($O4:$CN4)-COLUMN($O4))))</f>
        <v>388</v>
      </c>
      <c r="AL4" s="61" cm="1">
        <f t="array" ref="AL4">INT($C4 * 80% * (0.985^(COLUMN()-COLUMN($O4))) / SUMPRODUCT(0.985^(COLUMN($O4:$CN4)-COLUMN($O4))))</f>
        <v>382</v>
      </c>
      <c r="AM4" s="61" cm="1">
        <f t="array" ref="AM4">INT($C4 * 80% * (0.985^(COLUMN()-COLUMN($O4))) / SUMPRODUCT(0.985^(COLUMN($O4:$CN4)-COLUMN($O4))))</f>
        <v>376</v>
      </c>
      <c r="AN4" s="61" cm="1">
        <f t="array" ref="AN4">INT($C4 * 80% * (0.985^(COLUMN()-COLUMN($O4))) / SUMPRODUCT(0.985^(COLUMN($O4:$CN4)-COLUMN($O4))))</f>
        <v>371</v>
      </c>
      <c r="AO4" s="61" cm="1">
        <f t="array" ref="AO4">INT($C4 * 80% * (0.985^(COLUMN()-COLUMN($O4))) / SUMPRODUCT(0.985^(COLUMN($O4:$CN4)-COLUMN($O4))))</f>
        <v>365</v>
      </c>
      <c r="AP4" s="61" cm="1">
        <f t="array" ref="AP4">INT($C4 * 80% * (0.985^(COLUMN()-COLUMN($O4))) / SUMPRODUCT(0.985^(COLUMN($O4:$CN4)-COLUMN($O4))))</f>
        <v>360</v>
      </c>
      <c r="AQ4" s="61" cm="1">
        <f t="array" ref="AQ4">INT($C4 * 80% * (0.985^(COLUMN()-COLUMN($O4))) / SUMPRODUCT(0.985^(COLUMN($O4:$CN4)-COLUMN($O4))))</f>
        <v>354</v>
      </c>
      <c r="AR4" s="61" cm="1">
        <f t="array" ref="AR4">INT($C4 * 80% * (0.985^(COLUMN()-COLUMN($O4))) / SUMPRODUCT(0.985^(COLUMN($O4:$CN4)-COLUMN($O4))))</f>
        <v>349</v>
      </c>
      <c r="AS4" s="61" cm="1">
        <f t="array" ref="AS4">INT($C4 * 80% * (0.985^(COLUMN()-COLUMN($O4))) / SUMPRODUCT(0.985^(COLUMN($O4:$CN4)-COLUMN($O4))))</f>
        <v>344</v>
      </c>
      <c r="AT4" s="61" cm="1">
        <f t="array" ref="AT4">INT($C4 * 80% * (0.985^(COLUMN()-COLUMN($O4))) / SUMPRODUCT(0.985^(COLUMN($O4:$CN4)-COLUMN($O4))))</f>
        <v>339</v>
      </c>
      <c r="AU4" s="61" cm="1">
        <f t="array" ref="AU4">INT($C4 * 80% * (0.985^(COLUMN()-COLUMN($O4))) / SUMPRODUCT(0.985^(COLUMN($O4:$CN4)-COLUMN($O4))))</f>
        <v>334</v>
      </c>
      <c r="AV4" s="61" cm="1">
        <f t="array" ref="AV4">INT($C4 * 80% * (0.985^(COLUMN()-COLUMN($O4))) / SUMPRODUCT(0.985^(COLUMN($O4:$CN4)-COLUMN($O4))))</f>
        <v>329</v>
      </c>
      <c r="AW4" s="61" cm="1">
        <f t="array" ref="AW4">INT($C4 * 80% * (0.985^(COLUMN()-COLUMN($O4))) / SUMPRODUCT(0.985^(COLUMN($O4:$CN4)-COLUMN($O4))))</f>
        <v>324</v>
      </c>
      <c r="AX4" s="61" cm="1">
        <f t="array" ref="AX4">INT($C4 * 80% * (0.985^(COLUMN()-COLUMN($O4))) / SUMPRODUCT(0.985^(COLUMN($O4:$CN4)-COLUMN($O4))))</f>
        <v>319</v>
      </c>
      <c r="AY4" s="61" cm="1">
        <f t="array" ref="AY4">INT($C4 * 80% * (0.985^(COLUMN()-COLUMN($O4))) / SUMPRODUCT(0.985^(COLUMN($O4:$CN4)-COLUMN($O4))))</f>
        <v>314</v>
      </c>
      <c r="AZ4" s="61" cm="1">
        <f t="array" ref="AZ4">INT($C4 * 80% * (0.985^(COLUMN()-COLUMN($O4))) / SUMPRODUCT(0.985^(COLUMN($O4:$CN4)-COLUMN($O4))))</f>
        <v>309</v>
      </c>
      <c r="BA4" s="61" cm="1">
        <f t="array" ref="BA4">INT($C4 * 80% * (0.985^(COLUMN()-COLUMN($O4))) / SUMPRODUCT(0.985^(COLUMN($O4:$CN4)-COLUMN($O4))))</f>
        <v>305</v>
      </c>
      <c r="BB4" s="61" cm="1">
        <f t="array" ref="BB4">INT($C4 * 80% * (0.985^(COLUMN()-COLUMN($O4))) / SUMPRODUCT(0.985^(COLUMN($O4:$CN4)-COLUMN($O4))))</f>
        <v>300</v>
      </c>
      <c r="BC4" s="61" cm="1">
        <f t="array" ref="BC4">INT($C4 * 80% * (0.985^(COLUMN()-COLUMN($O4))) / SUMPRODUCT(0.985^(COLUMN($O4:$CN4)-COLUMN($O4))))</f>
        <v>295</v>
      </c>
      <c r="BD4" s="61" cm="1">
        <f t="array" ref="BD4">INT($C4 * 80% * (0.985^(COLUMN()-COLUMN($O4))) / SUMPRODUCT(0.985^(COLUMN($O4:$CN4)-COLUMN($O4))))</f>
        <v>291</v>
      </c>
      <c r="BE4" s="61" cm="1">
        <f t="array" ref="BE4">INT($C4 * 80% * (0.985^(COLUMN()-COLUMN($O4))) / SUMPRODUCT(0.985^(COLUMN($O4:$CN4)-COLUMN($O4))))</f>
        <v>287</v>
      </c>
      <c r="BF4" s="61" cm="1">
        <f t="array" ref="BF4">INT($C4 * 80% * (0.985^(COLUMN()-COLUMN($O4))) / SUMPRODUCT(0.985^(COLUMN($O4:$CN4)-COLUMN($O4))))</f>
        <v>282</v>
      </c>
      <c r="BG4" s="61" cm="1">
        <f t="array" ref="BG4">INT($C4 * 80% * (0.985^(COLUMN()-COLUMN($O4))) / SUMPRODUCT(0.985^(COLUMN($O4:$CN4)-COLUMN($O4))))</f>
        <v>278</v>
      </c>
      <c r="BH4" s="61" cm="1">
        <f t="array" ref="BH4">INT($C4 * 80% * (0.985^(COLUMN()-COLUMN($O4))) / SUMPRODUCT(0.985^(COLUMN($O4:$CN4)-COLUMN($O4))))</f>
        <v>274</v>
      </c>
      <c r="BI4" s="61" cm="1">
        <f t="array" ref="BI4">INT($C4 * 80% * (0.985^(COLUMN()-COLUMN($O4))) / SUMPRODUCT(0.985^(COLUMN($O4:$CN4)-COLUMN($O4))))</f>
        <v>270</v>
      </c>
      <c r="BJ4" s="61" cm="1">
        <f t="array" ref="BJ4">INT($C4 * 80% * (0.985^(COLUMN()-COLUMN($O4))) / SUMPRODUCT(0.985^(COLUMN($O4:$CN4)-COLUMN($O4))))</f>
        <v>266</v>
      </c>
      <c r="BK4" s="61" cm="1">
        <f t="array" ref="BK4">INT($C4 * 80% * (0.985^(COLUMN()-COLUMN($O4))) / SUMPRODUCT(0.985^(COLUMN($O4:$CN4)-COLUMN($O4))))</f>
        <v>262</v>
      </c>
      <c r="BL4" s="61" cm="1">
        <f t="array" ref="BL4">INT($C4 * 80% * (0.985^(COLUMN()-COLUMN($O4))) / SUMPRODUCT(0.985^(COLUMN($O4:$CN4)-COLUMN($O4))))</f>
        <v>258</v>
      </c>
      <c r="BM4" s="61" cm="1">
        <f t="array" ref="BM4">INT($C4 * 80% * (0.985^(COLUMN()-COLUMN($O4))) / SUMPRODUCT(0.985^(COLUMN($O4:$CN4)-COLUMN($O4))))</f>
        <v>254</v>
      </c>
      <c r="BN4" s="61" cm="1">
        <f t="array" ref="BN4">INT($C4 * 80% * (0.985^(COLUMN()-COLUMN($O4))) / SUMPRODUCT(0.985^(COLUMN($O4:$CN4)-COLUMN($O4))))</f>
        <v>250</v>
      </c>
      <c r="BO4" s="61" cm="1">
        <f t="array" ref="BO4">INT($C4 * 80% * (0.985^(COLUMN()-COLUMN($O4))) / SUMPRODUCT(0.985^(COLUMN($O4:$CN4)-COLUMN($O4))))</f>
        <v>246</v>
      </c>
      <c r="BP4" s="61" cm="1">
        <f t="array" ref="BP4">INT($C4 * 80% * (0.985^(COLUMN()-COLUMN($O4))) / SUMPRODUCT(0.985^(COLUMN($O4:$CN4)-COLUMN($O4))))</f>
        <v>243</v>
      </c>
      <c r="BQ4" s="61" cm="1">
        <f t="array" ref="BQ4">INT($C4 * 80% * (0.985^(COLUMN()-COLUMN($O4))) / SUMPRODUCT(0.985^(COLUMN($O4:$CN4)-COLUMN($O4))))</f>
        <v>239</v>
      </c>
      <c r="BR4" s="61" cm="1">
        <f t="array" ref="BR4">INT($C4 * 80% * (0.985^(COLUMN()-COLUMN($O4))) / SUMPRODUCT(0.985^(COLUMN($O4:$CN4)-COLUMN($O4))))</f>
        <v>235</v>
      </c>
      <c r="BS4" s="61" cm="1">
        <f t="array" ref="BS4">INT($C4 * 80% * (0.985^(COLUMN()-COLUMN($O4))) / SUMPRODUCT(0.985^(COLUMN($O4:$CN4)-COLUMN($O4))))</f>
        <v>232</v>
      </c>
      <c r="BT4" s="61" cm="1">
        <f t="array" ref="BT4">INT($C4 * 80% * (0.985^(COLUMN()-COLUMN($O4))) / SUMPRODUCT(0.985^(COLUMN($O4:$CN4)-COLUMN($O4))))</f>
        <v>228</v>
      </c>
      <c r="BU4" s="61" cm="1">
        <f t="array" ref="BU4">INT($C4 * 80% * (0.985^(COLUMN()-COLUMN($O4))) / SUMPRODUCT(0.985^(COLUMN($O4:$CN4)-COLUMN($O4))))</f>
        <v>225</v>
      </c>
      <c r="BV4" s="61" cm="1">
        <f t="array" ref="BV4">INT($C4 * 80% * (0.985^(COLUMN()-COLUMN($O4))) / SUMPRODUCT(0.985^(COLUMN($O4:$CN4)-COLUMN($O4))))</f>
        <v>222</v>
      </c>
      <c r="BW4" s="61" cm="1">
        <f t="array" ref="BW4">INT($C4 * 80% * (0.985^(COLUMN()-COLUMN($O4))) / SUMPRODUCT(0.985^(COLUMN($O4:$CN4)-COLUMN($O4))))</f>
        <v>218</v>
      </c>
      <c r="BX4" s="61" cm="1">
        <f t="array" ref="BX4">INT($C4 * 80% * (0.985^(COLUMN()-COLUMN($O4))) / SUMPRODUCT(0.985^(COLUMN($O4:$CN4)-COLUMN($O4))))</f>
        <v>215</v>
      </c>
      <c r="BY4" s="61" cm="1">
        <f t="array" ref="BY4">INT($C4 * 80% * (0.985^(COLUMN()-COLUMN($O4))) / SUMPRODUCT(0.985^(COLUMN($O4:$CN4)-COLUMN($O4))))</f>
        <v>212</v>
      </c>
      <c r="BZ4" s="61" cm="1">
        <f t="array" ref="BZ4">INT($C4 * 80% * (0.985^(COLUMN()-COLUMN($O4))) / SUMPRODUCT(0.985^(COLUMN($O4:$CN4)-COLUMN($O4))))</f>
        <v>209</v>
      </c>
      <c r="CA4" s="61" cm="1">
        <f t="array" ref="CA4">INT($C4 * 80% * (0.985^(COLUMN()-COLUMN($O4))) / SUMPRODUCT(0.985^(COLUMN($O4:$CN4)-COLUMN($O4))))</f>
        <v>205</v>
      </c>
      <c r="CB4" s="61" cm="1">
        <f t="array" ref="CB4">INT($C4 * 80% * (0.985^(COLUMN()-COLUMN($O4))) / SUMPRODUCT(0.985^(COLUMN($O4:$CN4)-COLUMN($O4))))</f>
        <v>202</v>
      </c>
      <c r="CC4" s="61" cm="1">
        <f t="array" ref="CC4">INT($C4 * 80% * (0.985^(COLUMN()-COLUMN($O4))) / SUMPRODUCT(0.985^(COLUMN($O4:$CN4)-COLUMN($O4))))</f>
        <v>199</v>
      </c>
      <c r="CD4" s="61" cm="1">
        <f t="array" ref="CD4">INT($C4 * 80% * (0.985^(COLUMN()-COLUMN($O4))) / SUMPRODUCT(0.985^(COLUMN($O4:$CN4)-COLUMN($O4))))</f>
        <v>196</v>
      </c>
      <c r="CE4" s="61" cm="1">
        <f t="array" ref="CE4">INT($C4 * 80% * (0.985^(COLUMN()-COLUMN($O4))) / SUMPRODUCT(0.985^(COLUMN($O4:$CN4)-COLUMN($O4))))</f>
        <v>193</v>
      </c>
      <c r="CF4" s="61" cm="1">
        <f t="array" ref="CF4">INT($C4 * 80% * (0.985^(COLUMN()-COLUMN($O4))) / SUMPRODUCT(0.985^(COLUMN($O4:$CN4)-COLUMN($O4))))</f>
        <v>190</v>
      </c>
      <c r="CG4" s="61" cm="1">
        <f t="array" ref="CG4">INT($C4 * 80% * (0.985^(COLUMN()-COLUMN($O4))) / SUMPRODUCT(0.985^(COLUMN($O4:$CN4)-COLUMN($O4))))</f>
        <v>188</v>
      </c>
      <c r="CH4" s="61" cm="1">
        <f t="array" ref="CH4">INT($C4 * 80% * (0.985^(COLUMN()-COLUMN($O4))) / SUMPRODUCT(0.985^(COLUMN($O4:$CN4)-COLUMN($O4))))</f>
        <v>185</v>
      </c>
      <c r="CI4" s="61" cm="1">
        <f t="array" ref="CI4">INT($C4 * 80% * (0.985^(COLUMN()-COLUMN($O4))) / SUMPRODUCT(0.985^(COLUMN($O4:$CN4)-COLUMN($O4))))</f>
        <v>182</v>
      </c>
      <c r="CJ4" s="61" cm="1">
        <f t="array" ref="CJ4">INT($C4 * 80% * (0.985^(COLUMN()-COLUMN($O4))) / SUMPRODUCT(0.985^(COLUMN($O4:$CN4)-COLUMN($O4))))</f>
        <v>179</v>
      </c>
      <c r="CK4" s="61" cm="1">
        <f t="array" ref="CK4">INT($C4 * 80% * (0.985^(COLUMN()-COLUMN($O4))) / SUMPRODUCT(0.985^(COLUMN($O4:$CN4)-COLUMN($O4))))</f>
        <v>177</v>
      </c>
      <c r="CL4" s="61" cm="1">
        <f t="array" ref="CL4">INT($C4 * 80% * (0.985^(COLUMN()-COLUMN($O4))) / SUMPRODUCT(0.985^(COLUMN($O4:$CN4)-COLUMN($O4))))</f>
        <v>174</v>
      </c>
      <c r="CM4" s="61" cm="1">
        <f t="array" ref="CM4">INT($C4 * 80% * (0.985^(COLUMN()-COLUMN($O4))) / SUMPRODUCT(0.985^(COLUMN($O4:$CN4)-COLUMN($O4))))</f>
        <v>171</v>
      </c>
      <c r="CN4" s="61" cm="1">
        <f t="array" ref="CN4">INT($C4 * 80% * (0.985^(COLUMN()-COLUMN($O4))) / SUMPRODUCT(0.985^(COLUMN($O4:$CN4)-COLUMN($O4))))</f>
        <v>169</v>
      </c>
    </row>
    <row r="5" spans="2:94" x14ac:dyDescent="0.25">
      <c r="B5" t="s">
        <v>72</v>
      </c>
      <c r="C5">
        <v>95627</v>
      </c>
      <c r="D5">
        <f t="shared" si="0"/>
        <v>0</v>
      </c>
      <c r="E5" s="61">
        <f t="shared" ref="E5:E15" si="2">INT($C5 * 20% / 10)</f>
        <v>1912</v>
      </c>
      <c r="F5" s="61">
        <f t="shared" si="1"/>
        <v>1912</v>
      </c>
      <c r="G5" s="61">
        <f t="shared" si="1"/>
        <v>1912</v>
      </c>
      <c r="H5" s="61">
        <f t="shared" si="1"/>
        <v>1912</v>
      </c>
      <c r="I5" s="61">
        <v>1957</v>
      </c>
      <c r="J5" s="61">
        <f t="shared" si="1"/>
        <v>1912</v>
      </c>
      <c r="K5" s="61">
        <f t="shared" si="1"/>
        <v>1912</v>
      </c>
      <c r="L5" s="61">
        <f t="shared" si="1"/>
        <v>1912</v>
      </c>
      <c r="M5" s="61">
        <f t="shared" si="1"/>
        <v>1912</v>
      </c>
      <c r="N5" s="61">
        <f t="shared" si="1"/>
        <v>1912</v>
      </c>
      <c r="O5" s="61" cm="1">
        <f t="array" ref="O5">INT($C5 * 80% * (0.985^(COLUMN()-COLUMN($O5))) / SUMPRODUCT(0.985^(COLUMN($O5:$CN5)-COLUMN($O5))))</f>
        <v>1657</v>
      </c>
      <c r="P5" s="61" cm="1">
        <f t="array" ref="P5">INT($C5 * 80% * (0.985^(COLUMN()-COLUMN($O5))) / SUMPRODUCT(0.985^(COLUMN($O5:$CN5)-COLUMN($O5))))</f>
        <v>1632</v>
      </c>
      <c r="Q5" s="61" cm="1">
        <f t="array" ref="Q5">INT($C5 * 80% * (0.985^(COLUMN()-COLUMN($O5))) / SUMPRODUCT(0.985^(COLUMN($O5:$CN5)-COLUMN($O5))))</f>
        <v>1608</v>
      </c>
      <c r="R5" s="61" cm="1">
        <f t="array" ref="R5">INT($C5 * 80% * (0.985^(COLUMN()-COLUMN($O5))) / SUMPRODUCT(0.985^(COLUMN($O5:$CN5)-COLUMN($O5))))</f>
        <v>1583</v>
      </c>
      <c r="S5" s="61" cm="1">
        <f t="array" ref="S5">INT($C5 * 80% * (0.985^(COLUMN()-COLUMN($O5))) / SUMPRODUCT(0.985^(COLUMN($O5:$CN5)-COLUMN($O5))))</f>
        <v>1560</v>
      </c>
      <c r="T5" s="61" cm="1">
        <f t="array" ref="T5">INT($C5 * 80% * (0.985^(COLUMN()-COLUMN($O5))) / SUMPRODUCT(0.985^(COLUMN($O5:$CN5)-COLUMN($O5))))</f>
        <v>1536</v>
      </c>
      <c r="U5" s="61" cm="1">
        <f t="array" ref="U5">INT($C5 * 80% * (0.985^(COLUMN()-COLUMN($O5))) / SUMPRODUCT(0.985^(COLUMN($O5:$CN5)-COLUMN($O5))))</f>
        <v>1513</v>
      </c>
      <c r="V5" s="61" cm="1">
        <f t="array" ref="V5">INT($C5 * 80% * (0.985^(COLUMN()-COLUMN($O5))) / SUMPRODUCT(0.985^(COLUMN($O5:$CN5)-COLUMN($O5))))</f>
        <v>1490</v>
      </c>
      <c r="W5" s="61" cm="1">
        <f t="array" ref="W5">INT($C5 * 80% * (0.985^(COLUMN()-COLUMN($O5))) / SUMPRODUCT(0.985^(COLUMN($O5:$CN5)-COLUMN($O5))))</f>
        <v>1468</v>
      </c>
      <c r="X5" s="61" cm="1">
        <f t="array" ref="X5">INT($C5 * 80% * (0.985^(COLUMN()-COLUMN($O5))) / SUMPRODUCT(0.985^(COLUMN($O5:$CN5)-COLUMN($O5))))</f>
        <v>1446</v>
      </c>
      <c r="Y5" s="61" cm="1">
        <f t="array" ref="Y5">INT($C5 * 80% * (0.985^(COLUMN()-COLUMN($O5))) / SUMPRODUCT(0.985^(COLUMN($O5:$CN5)-COLUMN($O5))))</f>
        <v>1424</v>
      </c>
      <c r="Z5" s="61" cm="1">
        <f t="array" ref="Z5">INT($C5 * 80% * (0.985^(COLUMN()-COLUMN($O5))) / SUMPRODUCT(0.985^(COLUMN($O5:$CN5)-COLUMN($O5))))</f>
        <v>1403</v>
      </c>
      <c r="AA5" s="61" cm="1">
        <f t="array" ref="AA5">INT($C5 * 80% * (0.985^(COLUMN()-COLUMN($O5))) / SUMPRODUCT(0.985^(COLUMN($O5:$CN5)-COLUMN($O5))))</f>
        <v>1382</v>
      </c>
      <c r="AB5" s="61" cm="1">
        <f t="array" ref="AB5">INT($C5 * 80% * (0.985^(COLUMN()-COLUMN($O5))) / SUMPRODUCT(0.985^(COLUMN($O5:$CN5)-COLUMN($O5))))</f>
        <v>1361</v>
      </c>
      <c r="AC5" s="61" cm="1">
        <f t="array" ref="AC5">INT($C5 * 80% * (0.985^(COLUMN()-COLUMN($O5))) / SUMPRODUCT(0.985^(COLUMN($O5:$CN5)-COLUMN($O5))))</f>
        <v>1341</v>
      </c>
      <c r="AD5" s="61" cm="1">
        <f t="array" ref="AD5">INT($C5 * 80% * (0.985^(COLUMN()-COLUMN($O5))) / SUMPRODUCT(0.985^(COLUMN($O5:$CN5)-COLUMN($O5))))</f>
        <v>1321</v>
      </c>
      <c r="AE5" s="61" cm="1">
        <f t="array" ref="AE5">INT($C5 * 80% * (0.985^(COLUMN()-COLUMN($O5))) / SUMPRODUCT(0.985^(COLUMN($O5:$CN5)-COLUMN($O5))))</f>
        <v>1301</v>
      </c>
      <c r="AF5" s="61" cm="1">
        <f t="array" ref="AF5">INT($C5 * 80% * (0.985^(COLUMN()-COLUMN($O5))) / SUMPRODUCT(0.985^(COLUMN($O5:$CN5)-COLUMN($O5))))</f>
        <v>1281</v>
      </c>
      <c r="AG5" s="61" cm="1">
        <f t="array" ref="AG5">INT($C5 * 80% * (0.985^(COLUMN()-COLUMN($O5))) / SUMPRODUCT(0.985^(COLUMN($O5:$CN5)-COLUMN($O5))))</f>
        <v>1262</v>
      </c>
      <c r="AH5" s="61" cm="1">
        <f t="array" ref="AH5">INT($C5 * 80% * (0.985^(COLUMN()-COLUMN($O5))) / SUMPRODUCT(0.985^(COLUMN($O5:$CN5)-COLUMN($O5))))</f>
        <v>1243</v>
      </c>
      <c r="AI5" s="61" cm="1">
        <f t="array" ref="AI5">INT($C5 * 80% * (0.985^(COLUMN()-COLUMN($O5))) / SUMPRODUCT(0.985^(COLUMN($O5:$CN5)-COLUMN($O5))))</f>
        <v>1225</v>
      </c>
      <c r="AJ5" s="61" cm="1">
        <f t="array" ref="AJ5">INT($C5 * 80% * (0.985^(COLUMN()-COLUMN($O5))) / SUMPRODUCT(0.985^(COLUMN($O5:$CN5)-COLUMN($O5))))</f>
        <v>1206</v>
      </c>
      <c r="AK5" s="61" cm="1">
        <f t="array" ref="AK5">INT($C5 * 80% * (0.985^(COLUMN()-COLUMN($O5))) / SUMPRODUCT(0.985^(COLUMN($O5:$CN5)-COLUMN($O5))))</f>
        <v>1188</v>
      </c>
      <c r="AL5" s="61" cm="1">
        <f t="array" ref="AL5">INT($C5 * 80% * (0.985^(COLUMN()-COLUMN($O5))) / SUMPRODUCT(0.985^(COLUMN($O5:$CN5)-COLUMN($O5))))</f>
        <v>1170</v>
      </c>
      <c r="AM5" s="61" cm="1">
        <f t="array" ref="AM5">INT($C5 * 80% * (0.985^(COLUMN()-COLUMN($O5))) / SUMPRODUCT(0.985^(COLUMN($O5:$CN5)-COLUMN($O5))))</f>
        <v>1153</v>
      </c>
      <c r="AN5" s="61" cm="1">
        <f t="array" ref="AN5">INT($C5 * 80% * (0.985^(COLUMN()-COLUMN($O5))) / SUMPRODUCT(0.985^(COLUMN($O5:$CN5)-COLUMN($O5))))</f>
        <v>1135</v>
      </c>
      <c r="AO5" s="61" cm="1">
        <f t="array" ref="AO5">INT($C5 * 80% * (0.985^(COLUMN()-COLUMN($O5))) / SUMPRODUCT(0.985^(COLUMN($O5:$CN5)-COLUMN($O5))))</f>
        <v>1118</v>
      </c>
      <c r="AP5" s="61" cm="1">
        <f t="array" ref="AP5">INT($C5 * 80% * (0.985^(COLUMN()-COLUMN($O5))) / SUMPRODUCT(0.985^(COLUMN($O5:$CN5)-COLUMN($O5))))</f>
        <v>1102</v>
      </c>
      <c r="AQ5" s="61" cm="1">
        <f t="array" ref="AQ5">INT($C5 * 80% * (0.985^(COLUMN()-COLUMN($O5))) / SUMPRODUCT(0.985^(COLUMN($O5:$CN5)-COLUMN($O5))))</f>
        <v>1085</v>
      </c>
      <c r="AR5" s="61" cm="1">
        <f t="array" ref="AR5">INT($C5 * 80% * (0.985^(COLUMN()-COLUMN($O5))) / SUMPRODUCT(0.985^(COLUMN($O5:$CN5)-COLUMN($O5))))</f>
        <v>1069</v>
      </c>
      <c r="AS5" s="61" cm="1">
        <f t="array" ref="AS5">INT($C5 * 80% * (0.985^(COLUMN()-COLUMN($O5))) / SUMPRODUCT(0.985^(COLUMN($O5:$CN5)-COLUMN($O5))))</f>
        <v>1053</v>
      </c>
      <c r="AT5" s="61" cm="1">
        <f t="array" ref="AT5">INT($C5 * 80% * (0.985^(COLUMN()-COLUMN($O5))) / SUMPRODUCT(0.985^(COLUMN($O5:$CN5)-COLUMN($O5))))</f>
        <v>1037</v>
      </c>
      <c r="AU5" s="61" cm="1">
        <f t="array" ref="AU5">INT($C5 * 80% * (0.985^(COLUMN()-COLUMN($O5))) / SUMPRODUCT(0.985^(COLUMN($O5:$CN5)-COLUMN($O5))))</f>
        <v>1021</v>
      </c>
      <c r="AV5" s="61" cm="1">
        <f t="array" ref="AV5">INT($C5 * 80% * (0.985^(COLUMN()-COLUMN($O5))) / SUMPRODUCT(0.985^(COLUMN($O5:$CN5)-COLUMN($O5))))</f>
        <v>1006</v>
      </c>
      <c r="AW5" s="61" cm="1">
        <f t="array" ref="AW5">INT($C5 * 80% * (0.985^(COLUMN()-COLUMN($O5))) / SUMPRODUCT(0.985^(COLUMN($O5:$CN5)-COLUMN($O5))))</f>
        <v>991</v>
      </c>
      <c r="AX5" s="61" cm="1">
        <f t="array" ref="AX5">INT($C5 * 80% * (0.985^(COLUMN()-COLUMN($O5))) / SUMPRODUCT(0.985^(COLUMN($O5:$CN5)-COLUMN($O5))))</f>
        <v>976</v>
      </c>
      <c r="AY5" s="61" cm="1">
        <f t="array" ref="AY5">INT($C5 * 80% * (0.985^(COLUMN()-COLUMN($O5))) / SUMPRODUCT(0.985^(COLUMN($O5:$CN5)-COLUMN($O5))))</f>
        <v>961</v>
      </c>
      <c r="AZ5" s="61" cm="1">
        <f t="array" ref="AZ5">INT($C5 * 80% * (0.985^(COLUMN()-COLUMN($O5))) / SUMPRODUCT(0.985^(COLUMN($O5:$CN5)-COLUMN($O5))))</f>
        <v>947</v>
      </c>
      <c r="BA5" s="61" cm="1">
        <f t="array" ref="BA5">INT($C5 * 80% * (0.985^(COLUMN()-COLUMN($O5))) / SUMPRODUCT(0.985^(COLUMN($O5:$CN5)-COLUMN($O5))))</f>
        <v>933</v>
      </c>
      <c r="BB5" s="61" cm="1">
        <f t="array" ref="BB5">INT($C5 * 80% * (0.985^(COLUMN()-COLUMN($O5))) / SUMPRODUCT(0.985^(COLUMN($O5:$CN5)-COLUMN($O5))))</f>
        <v>919</v>
      </c>
      <c r="BC5" s="61" cm="1">
        <f t="array" ref="BC5">INT($C5 * 80% * (0.985^(COLUMN()-COLUMN($O5))) / SUMPRODUCT(0.985^(COLUMN($O5:$CN5)-COLUMN($O5))))</f>
        <v>905</v>
      </c>
      <c r="BD5" s="61" cm="1">
        <f t="array" ref="BD5">INT($C5 * 80% * (0.985^(COLUMN()-COLUMN($O5))) / SUMPRODUCT(0.985^(COLUMN($O5:$CN5)-COLUMN($O5))))</f>
        <v>891</v>
      </c>
      <c r="BE5" s="61" cm="1">
        <f t="array" ref="BE5">INT($C5 * 80% * (0.985^(COLUMN()-COLUMN($O5))) / SUMPRODUCT(0.985^(COLUMN($O5:$CN5)-COLUMN($O5))))</f>
        <v>878</v>
      </c>
      <c r="BF5" s="61" cm="1">
        <f t="array" ref="BF5">INT($C5 * 80% * (0.985^(COLUMN()-COLUMN($O5))) / SUMPRODUCT(0.985^(COLUMN($O5:$CN5)-COLUMN($O5))))</f>
        <v>865</v>
      </c>
      <c r="BG5" s="61" cm="1">
        <f t="array" ref="BG5">INT($C5 * 80% * (0.985^(COLUMN()-COLUMN($O5))) / SUMPRODUCT(0.985^(COLUMN($O5:$CN5)-COLUMN($O5))))</f>
        <v>852</v>
      </c>
      <c r="BH5" s="61" cm="1">
        <f t="array" ref="BH5">INT($C5 * 80% * (0.985^(COLUMN()-COLUMN($O5))) / SUMPRODUCT(0.985^(COLUMN($O5:$CN5)-COLUMN($O5))))</f>
        <v>839</v>
      </c>
      <c r="BI5" s="61" cm="1">
        <f t="array" ref="BI5">INT($C5 * 80% * (0.985^(COLUMN()-COLUMN($O5))) / SUMPRODUCT(0.985^(COLUMN($O5:$CN5)-COLUMN($O5))))</f>
        <v>826</v>
      </c>
      <c r="BJ5" s="61" cm="1">
        <f t="array" ref="BJ5">INT($C5 * 80% * (0.985^(COLUMN()-COLUMN($O5))) / SUMPRODUCT(0.985^(COLUMN($O5:$CN5)-COLUMN($O5))))</f>
        <v>814</v>
      </c>
      <c r="BK5" s="61" cm="1">
        <f t="array" ref="BK5">INT($C5 * 80% * (0.985^(COLUMN()-COLUMN($O5))) / SUMPRODUCT(0.985^(COLUMN($O5:$CN5)-COLUMN($O5))))</f>
        <v>802</v>
      </c>
      <c r="BL5" s="61" cm="1">
        <f t="array" ref="BL5">INT($C5 * 80% * (0.985^(COLUMN()-COLUMN($O5))) / SUMPRODUCT(0.985^(COLUMN($O5:$CN5)-COLUMN($O5))))</f>
        <v>790</v>
      </c>
      <c r="BM5" s="61" cm="1">
        <f t="array" ref="BM5">INT($C5 * 80% * (0.985^(COLUMN()-COLUMN($O5))) / SUMPRODUCT(0.985^(COLUMN($O5:$CN5)-COLUMN($O5))))</f>
        <v>778</v>
      </c>
      <c r="BN5" s="61" cm="1">
        <f t="array" ref="BN5">INT($C5 * 80% * (0.985^(COLUMN()-COLUMN($O5))) / SUMPRODUCT(0.985^(COLUMN($O5:$CN5)-COLUMN($O5))))</f>
        <v>766</v>
      </c>
      <c r="BO5" s="61" cm="1">
        <f t="array" ref="BO5">INT($C5 * 80% * (0.985^(COLUMN()-COLUMN($O5))) / SUMPRODUCT(0.985^(COLUMN($O5:$CN5)-COLUMN($O5))))</f>
        <v>755</v>
      </c>
      <c r="BP5" s="61" cm="1">
        <f t="array" ref="BP5">INT($C5 * 80% * (0.985^(COLUMN()-COLUMN($O5))) / SUMPRODUCT(0.985^(COLUMN($O5:$CN5)-COLUMN($O5))))</f>
        <v>743</v>
      </c>
      <c r="BQ5" s="61" cm="1">
        <f t="array" ref="BQ5">INT($C5 * 80% * (0.985^(COLUMN()-COLUMN($O5))) / SUMPRODUCT(0.985^(COLUMN($O5:$CN5)-COLUMN($O5))))</f>
        <v>732</v>
      </c>
      <c r="BR5" s="61" cm="1">
        <f t="array" ref="BR5">INT($C5 * 80% * (0.985^(COLUMN()-COLUMN($O5))) / SUMPRODUCT(0.985^(COLUMN($O5:$CN5)-COLUMN($O5))))</f>
        <v>721</v>
      </c>
      <c r="BS5" s="61" cm="1">
        <f t="array" ref="BS5">INT($C5 * 80% * (0.985^(COLUMN()-COLUMN($O5))) / SUMPRODUCT(0.985^(COLUMN($O5:$CN5)-COLUMN($O5))))</f>
        <v>710</v>
      </c>
      <c r="BT5" s="61" cm="1">
        <f t="array" ref="BT5">INT($C5 * 80% * (0.985^(COLUMN()-COLUMN($O5))) / SUMPRODUCT(0.985^(COLUMN($O5:$CN5)-COLUMN($O5))))</f>
        <v>700</v>
      </c>
      <c r="BU5" s="61" cm="1">
        <f t="array" ref="BU5">INT($C5 * 80% * (0.985^(COLUMN()-COLUMN($O5))) / SUMPRODUCT(0.985^(COLUMN($O5:$CN5)-COLUMN($O5))))</f>
        <v>689</v>
      </c>
      <c r="BV5" s="61" cm="1">
        <f t="array" ref="BV5">INT($C5 * 80% * (0.985^(COLUMN()-COLUMN($O5))) / SUMPRODUCT(0.985^(COLUMN($O5:$CN5)-COLUMN($O5))))</f>
        <v>679</v>
      </c>
      <c r="BW5" s="61" cm="1">
        <f t="array" ref="BW5">INT($C5 * 80% * (0.985^(COLUMN()-COLUMN($O5))) / SUMPRODUCT(0.985^(COLUMN($O5:$CN5)-COLUMN($O5))))</f>
        <v>669</v>
      </c>
      <c r="BX5" s="61" cm="1">
        <f t="array" ref="BX5">INT($C5 * 80% * (0.985^(COLUMN()-COLUMN($O5))) / SUMPRODUCT(0.985^(COLUMN($O5:$CN5)-COLUMN($O5))))</f>
        <v>659</v>
      </c>
      <c r="BY5" s="61" cm="1">
        <f t="array" ref="BY5">INT($C5 * 80% * (0.985^(COLUMN()-COLUMN($O5))) / SUMPRODUCT(0.985^(COLUMN($O5:$CN5)-COLUMN($O5))))</f>
        <v>649</v>
      </c>
      <c r="BZ5" s="61" cm="1">
        <f t="array" ref="BZ5">INT($C5 * 80% * (0.985^(COLUMN()-COLUMN($O5))) / SUMPRODUCT(0.985^(COLUMN($O5:$CN5)-COLUMN($O5))))</f>
        <v>639</v>
      </c>
      <c r="CA5" s="61" cm="1">
        <f t="array" ref="CA5">INT($C5 * 80% * (0.985^(COLUMN()-COLUMN($O5))) / SUMPRODUCT(0.985^(COLUMN($O5:$CN5)-COLUMN($O5))))</f>
        <v>630</v>
      </c>
      <c r="CB5" s="61" cm="1">
        <f t="array" ref="CB5">INT($C5 * 80% * (0.985^(COLUMN()-COLUMN($O5))) / SUMPRODUCT(0.985^(COLUMN($O5:$CN5)-COLUMN($O5))))</f>
        <v>620</v>
      </c>
      <c r="CC5" s="61" cm="1">
        <f t="array" ref="CC5">INT($C5 * 80% * (0.985^(COLUMN()-COLUMN($O5))) / SUMPRODUCT(0.985^(COLUMN($O5:$CN5)-COLUMN($O5))))</f>
        <v>611</v>
      </c>
      <c r="CD5" s="61" cm="1">
        <f t="array" ref="CD5">INT($C5 * 80% * (0.985^(COLUMN()-COLUMN($O5))) / SUMPRODUCT(0.985^(COLUMN($O5:$CN5)-COLUMN($O5))))</f>
        <v>602</v>
      </c>
      <c r="CE5" s="61" cm="1">
        <f t="array" ref="CE5">INT($C5 * 80% * (0.985^(COLUMN()-COLUMN($O5))) / SUMPRODUCT(0.985^(COLUMN($O5:$CN5)-COLUMN($O5))))</f>
        <v>593</v>
      </c>
      <c r="CF5" s="61" cm="1">
        <f t="array" ref="CF5">INT($C5 * 80% * (0.985^(COLUMN()-COLUMN($O5))) / SUMPRODUCT(0.985^(COLUMN($O5:$CN5)-COLUMN($O5))))</f>
        <v>584</v>
      </c>
      <c r="CG5" s="61" cm="1">
        <f t="array" ref="CG5">INT($C5 * 80% * (0.985^(COLUMN()-COLUMN($O5))) / SUMPRODUCT(0.985^(COLUMN($O5:$CN5)-COLUMN($O5))))</f>
        <v>575</v>
      </c>
      <c r="CH5" s="61" cm="1">
        <f t="array" ref="CH5">INT($C5 * 80% * (0.985^(COLUMN()-COLUMN($O5))) / SUMPRODUCT(0.985^(COLUMN($O5:$CN5)-COLUMN($O5))))</f>
        <v>566</v>
      </c>
      <c r="CI5" s="61" cm="1">
        <f t="array" ref="CI5">INT($C5 * 80% * (0.985^(COLUMN()-COLUMN($O5))) / SUMPRODUCT(0.985^(COLUMN($O5:$CN5)-COLUMN($O5))))</f>
        <v>558</v>
      </c>
      <c r="CJ5" s="61" cm="1">
        <f t="array" ref="CJ5">INT($C5 * 80% * (0.985^(COLUMN()-COLUMN($O5))) / SUMPRODUCT(0.985^(COLUMN($O5:$CN5)-COLUMN($O5))))</f>
        <v>549</v>
      </c>
      <c r="CK5" s="61" cm="1">
        <f t="array" ref="CK5">INT($C5 * 80% * (0.985^(COLUMN()-COLUMN($O5))) / SUMPRODUCT(0.985^(COLUMN($O5:$CN5)-COLUMN($O5))))</f>
        <v>541</v>
      </c>
      <c r="CL5" s="61" cm="1">
        <f t="array" ref="CL5">INT($C5 * 80% * (0.985^(COLUMN()-COLUMN($O5))) / SUMPRODUCT(0.985^(COLUMN($O5:$CN5)-COLUMN($O5))))</f>
        <v>533</v>
      </c>
      <c r="CM5" s="61" cm="1">
        <f t="array" ref="CM5">INT($C5 * 80% * (0.985^(COLUMN()-COLUMN($O5))) / SUMPRODUCT(0.985^(COLUMN($O5:$CN5)-COLUMN($O5))))</f>
        <v>525</v>
      </c>
      <c r="CN5" s="61" cm="1">
        <f t="array" ref="CN5">INT($C5 * 80% * (0.985^(COLUMN()-COLUMN($O5))) / SUMPRODUCT(0.985^(COLUMN($O5:$CN5)-COLUMN($O5))))</f>
        <v>517</v>
      </c>
    </row>
    <row r="6" spans="2:94" x14ac:dyDescent="0.25">
      <c r="B6" t="s">
        <v>73</v>
      </c>
      <c r="C6">
        <v>7</v>
      </c>
      <c r="D6">
        <f t="shared" si="0"/>
        <v>0</v>
      </c>
      <c r="E6" s="61">
        <v>1</v>
      </c>
      <c r="F6" s="61">
        <v>0</v>
      </c>
      <c r="G6" s="61">
        <v>1</v>
      </c>
      <c r="H6" s="61">
        <v>0</v>
      </c>
      <c r="I6" s="61">
        <v>0</v>
      </c>
      <c r="J6" s="61">
        <f t="shared" si="1"/>
        <v>0</v>
      </c>
      <c r="K6" s="61">
        <f t="shared" si="1"/>
        <v>0</v>
      </c>
      <c r="L6" s="61">
        <f t="shared" si="1"/>
        <v>0</v>
      </c>
      <c r="M6" s="61">
        <f t="shared" si="1"/>
        <v>0</v>
      </c>
      <c r="N6" s="61">
        <f t="shared" si="1"/>
        <v>0</v>
      </c>
      <c r="O6" s="61" cm="1">
        <f t="array" ref="O6">INT($C6 * 80% * (0.985^(COLUMN()-COLUMN($O6))) / SUMPRODUCT(0.985^(COLUMN($O6:$CN6)-COLUMN($O6))))</f>
        <v>0</v>
      </c>
      <c r="P6" s="61" cm="1">
        <f t="array" ref="P6">INT($C6 * 80% * (0.985^(COLUMN()-COLUMN($O6))) / SUMPRODUCT(0.985^(COLUMN($O6:$CN6)-COLUMN($O6))))</f>
        <v>0</v>
      </c>
      <c r="Q6" s="61" cm="1">
        <f t="array" ref="Q6">INT($C6 * 80% * (0.985^(COLUMN()-COLUMN($O6))) / SUMPRODUCT(0.985^(COLUMN($O6:$CN6)-COLUMN($O6))))</f>
        <v>0</v>
      </c>
      <c r="R6" s="61" cm="1">
        <f t="array" ref="R6">INT($C6 * 80% * (0.985^(COLUMN()-COLUMN($O6))) / SUMPRODUCT(0.985^(COLUMN($O6:$CN6)-COLUMN($O6))))</f>
        <v>0</v>
      </c>
      <c r="S6" s="61" cm="1">
        <f t="array" ref="S6">INT($C6 * 80% * (0.985^(COLUMN()-COLUMN($O6))) / SUMPRODUCT(0.985^(COLUMN($O6:$CN6)-COLUMN($O6))))</f>
        <v>0</v>
      </c>
      <c r="T6" s="61" cm="1">
        <f t="array" ref="T6">INT($C6 * 80% * (0.985^(COLUMN()-COLUMN($O6))) / SUMPRODUCT(0.985^(COLUMN($O6:$CN6)-COLUMN($O6))))</f>
        <v>0</v>
      </c>
      <c r="U6" s="61" cm="1">
        <f t="array" ref="U6">INT($C6 * 80% * (0.985^(COLUMN()-COLUMN($O6))) / SUMPRODUCT(0.985^(COLUMN($O6:$CN6)-COLUMN($O6))))</f>
        <v>0</v>
      </c>
      <c r="V6" s="61" cm="1">
        <f t="array" ref="V6">INT($C6 * 80% * (0.985^(COLUMN()-COLUMN($O6))) / SUMPRODUCT(0.985^(COLUMN($O6:$CN6)-COLUMN($O6))))</f>
        <v>0</v>
      </c>
      <c r="W6" s="61" cm="1">
        <f t="array" ref="W6">INT($C6 * 80% * (0.985^(COLUMN()-COLUMN($O6))) / SUMPRODUCT(0.985^(COLUMN($O6:$CN6)-COLUMN($O6))))</f>
        <v>0</v>
      </c>
      <c r="X6" s="61" cm="1">
        <f t="array" ref="X6">INT($C6 * 80% * (0.985^(COLUMN()-COLUMN($O6))) / SUMPRODUCT(0.985^(COLUMN($O6:$CN6)-COLUMN($O6))))</f>
        <v>0</v>
      </c>
      <c r="Y6" s="61" cm="1">
        <f t="array" ref="Y6">INT($C6 * 80% * (0.985^(COLUMN()-COLUMN($O6))) / SUMPRODUCT(0.985^(COLUMN($O6:$CN6)-COLUMN($O6))))</f>
        <v>0</v>
      </c>
      <c r="Z6" s="61" cm="1">
        <f t="array" ref="Z6">INT($C6 * 80% * (0.985^(COLUMN()-COLUMN($O6))) / SUMPRODUCT(0.985^(COLUMN($O6:$CN6)-COLUMN($O6))))</f>
        <v>0</v>
      </c>
      <c r="AA6" s="61" cm="1">
        <f t="array" ref="AA6">INT($C6 * 80% * (0.985^(COLUMN()-COLUMN($O6))) / SUMPRODUCT(0.985^(COLUMN($O6:$CN6)-COLUMN($O6))))</f>
        <v>0</v>
      </c>
      <c r="AB6" s="61" cm="1">
        <f t="array" ref="AB6">INT($C6 * 80% * (0.985^(COLUMN()-COLUMN($O6))) / SUMPRODUCT(0.985^(COLUMN($O6:$CN6)-COLUMN($O6))))</f>
        <v>0</v>
      </c>
      <c r="AC6" s="61" cm="1">
        <f t="array" ref="AC6">INT($C6 * 80% * (0.985^(COLUMN()-COLUMN($O6))) / SUMPRODUCT(0.985^(COLUMN($O6:$CN6)-COLUMN($O6))))</f>
        <v>0</v>
      </c>
      <c r="AD6" s="61" cm="1">
        <f t="array" ref="AD6">INT($C6 * 80% * (0.985^(COLUMN()-COLUMN($O6))) / SUMPRODUCT(0.985^(COLUMN($O6:$CN6)-COLUMN($O6))))</f>
        <v>0</v>
      </c>
      <c r="AE6" s="61" cm="1">
        <f t="array" ref="AE6">INT($C6 * 80% * (0.985^(COLUMN()-COLUMN($O6))) / SUMPRODUCT(0.985^(COLUMN($O6:$CN6)-COLUMN($O6))))</f>
        <v>0</v>
      </c>
      <c r="AF6" s="61" cm="1">
        <f t="array" ref="AF6">INT($C6 * 80% * (0.985^(COLUMN()-COLUMN($O6))) / SUMPRODUCT(0.985^(COLUMN($O6:$CN6)-COLUMN($O6))))</f>
        <v>0</v>
      </c>
      <c r="AG6" s="61" cm="1">
        <f t="array" ref="AG6">INT($C6 * 80% * (0.985^(COLUMN()-COLUMN($O6))) / SUMPRODUCT(0.985^(COLUMN($O6:$CN6)-COLUMN($O6))))</f>
        <v>0</v>
      </c>
      <c r="AH6" s="61" cm="1">
        <f t="array" ref="AH6">INT($C6 * 80% * (0.985^(COLUMN()-COLUMN($O6))) / SUMPRODUCT(0.985^(COLUMN($O6:$CN6)-COLUMN($O6))))</f>
        <v>0</v>
      </c>
      <c r="AI6" s="61" cm="1">
        <f t="array" ref="AI6">INT($C6 * 80% * (0.985^(COLUMN()-COLUMN($O6))) / SUMPRODUCT(0.985^(COLUMN($O6:$CN6)-COLUMN($O6))))</f>
        <v>0</v>
      </c>
      <c r="AJ6" s="61" cm="1">
        <f t="array" ref="AJ6">INT($C6 * 80% * (0.985^(COLUMN()-COLUMN($O6))) / SUMPRODUCT(0.985^(COLUMN($O6:$CN6)-COLUMN($O6))))</f>
        <v>0</v>
      </c>
      <c r="AK6" s="61" cm="1">
        <f t="array" ref="AK6">INT($C6 * 80% * (0.985^(COLUMN()-COLUMN($O6))) / SUMPRODUCT(0.985^(COLUMN($O6:$CN6)-COLUMN($O6))))</f>
        <v>0</v>
      </c>
      <c r="AL6" s="61" cm="1">
        <f t="array" ref="AL6">INT($C6 * 80% * (0.985^(COLUMN()-COLUMN($O6))) / SUMPRODUCT(0.985^(COLUMN($O6:$CN6)-COLUMN($O6))))</f>
        <v>0</v>
      </c>
      <c r="AM6" s="61" cm="1">
        <f t="array" ref="AM6">INT($C6 * 80% * (0.985^(COLUMN()-COLUMN($O6))) / SUMPRODUCT(0.985^(COLUMN($O6:$CN6)-COLUMN($O6))))</f>
        <v>0</v>
      </c>
      <c r="AN6" s="61" cm="1">
        <f t="array" ref="AN6">INT($C6 * 80% * (0.985^(COLUMN()-COLUMN($O6))) / SUMPRODUCT(0.985^(COLUMN($O6:$CN6)-COLUMN($O6))))</f>
        <v>0</v>
      </c>
      <c r="AO6" s="61" cm="1">
        <f t="array" ref="AO6">INT($C6 * 80% * (0.985^(COLUMN()-COLUMN($O6))) / SUMPRODUCT(0.985^(COLUMN($O6:$CN6)-COLUMN($O6))))</f>
        <v>0</v>
      </c>
      <c r="AP6" s="61" cm="1">
        <f t="array" ref="AP6">INT($C6 * 80% * (0.985^(COLUMN()-COLUMN($O6))) / SUMPRODUCT(0.985^(COLUMN($O6:$CN6)-COLUMN($O6))))</f>
        <v>0</v>
      </c>
      <c r="AQ6" s="61" cm="1">
        <f t="array" ref="AQ6">INT($C6 * 80% * (0.985^(COLUMN()-COLUMN($O6))) / SUMPRODUCT(0.985^(COLUMN($O6:$CN6)-COLUMN($O6))))</f>
        <v>0</v>
      </c>
      <c r="AR6" s="61" cm="1">
        <f t="array" ref="AR6">INT($C6 * 80% * (0.985^(COLUMN()-COLUMN($O6))) / SUMPRODUCT(0.985^(COLUMN($O6:$CN6)-COLUMN($O6))))</f>
        <v>0</v>
      </c>
      <c r="AS6" s="61" cm="1">
        <f t="array" ref="AS6">INT($C6 * 80% * (0.985^(COLUMN()-COLUMN($O6))) / SUMPRODUCT(0.985^(COLUMN($O6:$CN6)-COLUMN($O6))))</f>
        <v>0</v>
      </c>
      <c r="AT6" s="61" cm="1">
        <f t="array" ref="AT6">INT($C6 * 80% * (0.985^(COLUMN()-COLUMN($O6))) / SUMPRODUCT(0.985^(COLUMN($O6:$CN6)-COLUMN($O6))))</f>
        <v>0</v>
      </c>
      <c r="AU6" s="61" cm="1">
        <f t="array" ref="AU6">INT($C6 * 80% * (0.985^(COLUMN()-COLUMN($O6))) / SUMPRODUCT(0.985^(COLUMN($O6:$CN6)-COLUMN($O6))))</f>
        <v>0</v>
      </c>
      <c r="AV6" s="61" cm="1">
        <f t="array" ref="AV6">INT($C6 * 80% * (0.985^(COLUMN()-COLUMN($O6))) / SUMPRODUCT(0.985^(COLUMN($O6:$CN6)-COLUMN($O6))))</f>
        <v>0</v>
      </c>
      <c r="AW6" s="61" cm="1">
        <f t="array" ref="AW6">INT($C6 * 80% * (0.985^(COLUMN()-COLUMN($O6))) / SUMPRODUCT(0.985^(COLUMN($O6:$CN6)-COLUMN($O6))))</f>
        <v>0</v>
      </c>
      <c r="AX6" s="61" cm="1">
        <f t="array" ref="AX6">INT($C6 * 80% * (0.985^(COLUMN()-COLUMN($O6))) / SUMPRODUCT(0.985^(COLUMN($O6:$CN6)-COLUMN($O6))))</f>
        <v>0</v>
      </c>
      <c r="AY6" s="61" cm="1">
        <f t="array" ref="AY6">INT($C6 * 80% * (0.985^(COLUMN()-COLUMN($O6))) / SUMPRODUCT(0.985^(COLUMN($O6:$CN6)-COLUMN($O6))))</f>
        <v>0</v>
      </c>
      <c r="AZ6" s="61" cm="1">
        <f t="array" ref="AZ6">INT($C6 * 80% * (0.985^(COLUMN()-COLUMN($O6))) / SUMPRODUCT(0.985^(COLUMN($O6:$CN6)-COLUMN($O6))))</f>
        <v>0</v>
      </c>
      <c r="BA6" s="61" cm="1">
        <f t="array" ref="BA6">INT($C6 * 80% * (0.985^(COLUMN()-COLUMN($O6))) / SUMPRODUCT(0.985^(COLUMN($O6:$CN6)-COLUMN($O6))))</f>
        <v>0</v>
      </c>
      <c r="BB6" s="61" cm="1">
        <f t="array" ref="BB6">INT($C6 * 80% * (0.985^(COLUMN()-COLUMN($O6))) / SUMPRODUCT(0.985^(COLUMN($O6:$CN6)-COLUMN($O6))))</f>
        <v>0</v>
      </c>
      <c r="BC6" s="61" cm="1">
        <f t="array" ref="BC6">INT($C6 * 80% * (0.985^(COLUMN()-COLUMN($O6))) / SUMPRODUCT(0.985^(COLUMN($O6:$CN6)-COLUMN($O6))))</f>
        <v>0</v>
      </c>
      <c r="BD6" s="61" cm="1">
        <f t="array" ref="BD6">INT($C6 * 80% * (0.985^(COLUMN()-COLUMN($O6))) / SUMPRODUCT(0.985^(COLUMN($O6:$CN6)-COLUMN($O6))))</f>
        <v>0</v>
      </c>
      <c r="BE6" s="61" cm="1">
        <f t="array" ref="BE6">INT($C6 * 80% * (0.985^(COLUMN()-COLUMN($O6))) / SUMPRODUCT(0.985^(COLUMN($O6:$CN6)-COLUMN($O6))))</f>
        <v>0</v>
      </c>
      <c r="BF6" s="61" cm="1">
        <f t="array" ref="BF6">INT($C6 * 80% * (0.985^(COLUMN()-COLUMN($O6))) / SUMPRODUCT(0.985^(COLUMN($O6:$CN6)-COLUMN($O6))))</f>
        <v>0</v>
      </c>
      <c r="BG6" s="61" cm="1">
        <f t="array" ref="BG6">INT($C6 * 80% * (0.985^(COLUMN()-COLUMN($O6))) / SUMPRODUCT(0.985^(COLUMN($O6:$CN6)-COLUMN($O6))))</f>
        <v>0</v>
      </c>
      <c r="BH6" s="61" cm="1">
        <f t="array" ref="BH6">INT($C6 * 80% * (0.985^(COLUMN()-COLUMN($O6))) / SUMPRODUCT(0.985^(COLUMN($O6:$CN6)-COLUMN($O6))))</f>
        <v>0</v>
      </c>
      <c r="BI6" s="61" cm="1">
        <f t="array" ref="BI6">INT($C6 * 80% * (0.985^(COLUMN()-COLUMN($O6))) / SUMPRODUCT(0.985^(COLUMN($O6:$CN6)-COLUMN($O6))))</f>
        <v>0</v>
      </c>
      <c r="BJ6" s="61" cm="1">
        <f t="array" ref="BJ6">INT($C6 * 80% * (0.985^(COLUMN()-COLUMN($O6))) / SUMPRODUCT(0.985^(COLUMN($O6:$CN6)-COLUMN($O6))))</f>
        <v>0</v>
      </c>
      <c r="BK6" s="61" cm="1">
        <f t="array" ref="BK6">INT($C6 * 80% * (0.985^(COLUMN()-COLUMN($O6))) / SUMPRODUCT(0.985^(COLUMN($O6:$CN6)-COLUMN($O6))))</f>
        <v>0</v>
      </c>
      <c r="BL6" s="61" cm="1">
        <f t="array" ref="BL6">INT($C6 * 80% * (0.985^(COLUMN()-COLUMN($O6))) / SUMPRODUCT(0.985^(COLUMN($O6:$CN6)-COLUMN($O6))))</f>
        <v>0</v>
      </c>
      <c r="BM6" s="61" cm="1">
        <f t="array" ref="BM6">INT($C6 * 80% * (0.985^(COLUMN()-COLUMN($O6))) / SUMPRODUCT(0.985^(COLUMN($O6:$CN6)-COLUMN($O6))))</f>
        <v>0</v>
      </c>
      <c r="BN6" s="61" cm="1">
        <f t="array" ref="BN6">INT($C6 * 80% * (0.985^(COLUMN()-COLUMN($O6))) / SUMPRODUCT(0.985^(COLUMN($O6:$CN6)-COLUMN($O6))))</f>
        <v>0</v>
      </c>
      <c r="BO6" s="61" cm="1">
        <f t="array" ref="BO6">INT($C6 * 80% * (0.985^(COLUMN()-COLUMN($O6))) / SUMPRODUCT(0.985^(COLUMN($O6:$CN6)-COLUMN($O6))))</f>
        <v>0</v>
      </c>
      <c r="BP6" s="61" cm="1">
        <f t="array" ref="BP6">INT($C6 * 80% * (0.985^(COLUMN()-COLUMN($O6))) / SUMPRODUCT(0.985^(COLUMN($O6:$CN6)-COLUMN($O6))))</f>
        <v>0</v>
      </c>
      <c r="BQ6" s="61" cm="1">
        <f t="array" ref="BQ6">INT($C6 * 80% * (0.985^(COLUMN()-COLUMN($O6))) / SUMPRODUCT(0.985^(COLUMN($O6:$CN6)-COLUMN($O6))))</f>
        <v>0</v>
      </c>
      <c r="BR6" s="61" cm="1">
        <f t="array" ref="BR6">INT($C6 * 80% * (0.985^(COLUMN()-COLUMN($O6))) / SUMPRODUCT(0.985^(COLUMN($O6:$CN6)-COLUMN($O6))))</f>
        <v>0</v>
      </c>
      <c r="BS6" s="61" cm="1">
        <f t="array" ref="BS6">INT($C6 * 80% * (0.985^(COLUMN()-COLUMN($O6))) / SUMPRODUCT(0.985^(COLUMN($O6:$CN6)-COLUMN($O6))))</f>
        <v>0</v>
      </c>
      <c r="BT6" s="61" cm="1">
        <f t="array" ref="BT6">INT($C6 * 80% * (0.985^(COLUMN()-COLUMN($O6))) / SUMPRODUCT(0.985^(COLUMN($O6:$CN6)-COLUMN($O6))))</f>
        <v>0</v>
      </c>
      <c r="BU6" s="61" cm="1">
        <f t="array" ref="BU6">INT($C6 * 80% * (0.985^(COLUMN()-COLUMN($O6))) / SUMPRODUCT(0.985^(COLUMN($O6:$CN6)-COLUMN($O6))))</f>
        <v>0</v>
      </c>
      <c r="BV6" s="61" cm="1">
        <f t="array" ref="BV6">INT($C6 * 80% * (0.985^(COLUMN()-COLUMN($O6))) / SUMPRODUCT(0.985^(COLUMN($O6:$CN6)-COLUMN($O6))))</f>
        <v>0</v>
      </c>
      <c r="BW6" s="61">
        <v>1</v>
      </c>
      <c r="BX6" s="61">
        <v>1</v>
      </c>
      <c r="BY6" s="61" cm="1">
        <f t="array" ref="BY6">INT($C6 * 80% * (0.985^(COLUMN()-COLUMN($O6))) / SUMPRODUCT(0.985^(COLUMN($O6:$CN6)-COLUMN($O6))))</f>
        <v>0</v>
      </c>
      <c r="BZ6" s="61" cm="1">
        <f t="array" ref="BZ6">INT($C6 * 80% * (0.985^(COLUMN()-COLUMN($O6))) / SUMPRODUCT(0.985^(COLUMN($O6:$CN6)-COLUMN($O6))))</f>
        <v>0</v>
      </c>
      <c r="CA6" s="61" cm="1">
        <f t="array" ref="CA6">INT($C6 * 80% * (0.985^(COLUMN()-COLUMN($O6))) / SUMPRODUCT(0.985^(COLUMN($O6:$CN6)-COLUMN($O6))))</f>
        <v>0</v>
      </c>
      <c r="CB6" s="61" cm="1">
        <f t="array" ref="CB6">INT($C6 * 80% * (0.985^(COLUMN()-COLUMN($O6))) / SUMPRODUCT(0.985^(COLUMN($O6:$CN6)-COLUMN($O6))))</f>
        <v>0</v>
      </c>
      <c r="CC6" s="61" cm="1">
        <f t="array" ref="CC6">INT($C6 * 80% * (0.985^(COLUMN()-COLUMN($O6))) / SUMPRODUCT(0.985^(COLUMN($O6:$CN6)-COLUMN($O6))))</f>
        <v>0</v>
      </c>
      <c r="CD6" s="61" cm="1">
        <f t="array" ref="CD6">INT($C6 * 80% * (0.985^(COLUMN()-COLUMN($O6))) / SUMPRODUCT(0.985^(COLUMN($O6:$CN6)-COLUMN($O6))))</f>
        <v>0</v>
      </c>
      <c r="CE6" s="61" cm="1">
        <f t="array" ref="CE6">INT($C6 * 80% * (0.985^(COLUMN()-COLUMN($O6))) / SUMPRODUCT(0.985^(COLUMN($O6:$CN6)-COLUMN($O6))))</f>
        <v>0</v>
      </c>
      <c r="CF6" s="61" cm="1">
        <f t="array" ref="CF6">INT($C6 * 80% * (0.985^(COLUMN()-COLUMN($O6))) / SUMPRODUCT(0.985^(COLUMN($O6:$CN6)-COLUMN($O6))))</f>
        <v>0</v>
      </c>
      <c r="CG6" s="61" cm="1">
        <f t="array" ref="CG6">INT($C6 * 80% * (0.985^(COLUMN()-COLUMN($O6))) / SUMPRODUCT(0.985^(COLUMN($O6:$CN6)-COLUMN($O6))))</f>
        <v>0</v>
      </c>
      <c r="CH6" s="61" cm="1">
        <f t="array" ref="CH6">INT($C6 * 80% * (0.985^(COLUMN()-COLUMN($O6))) / SUMPRODUCT(0.985^(COLUMN($O6:$CN6)-COLUMN($O6))))</f>
        <v>0</v>
      </c>
      <c r="CI6" s="61">
        <v>1</v>
      </c>
      <c r="CJ6" s="61" cm="1">
        <f t="array" ref="CJ6">INT($C6 * 80% * (0.985^(COLUMN()-COLUMN($O6))) / SUMPRODUCT(0.985^(COLUMN($O6:$CN6)-COLUMN($O6))))</f>
        <v>0</v>
      </c>
      <c r="CK6" s="61">
        <v>1</v>
      </c>
      <c r="CL6" s="61" cm="1">
        <f t="array" ref="CL6">INT($C6 * 80% * (0.985^(COLUMN()-COLUMN($O6))) / SUMPRODUCT(0.985^(COLUMN($O6:$CN6)-COLUMN($O6))))</f>
        <v>0</v>
      </c>
      <c r="CM6" s="61">
        <v>1</v>
      </c>
      <c r="CN6" s="61" cm="1">
        <f t="array" ref="CN6">INT($C6 * 80% * (0.985^(COLUMN()-COLUMN($O6))) / SUMPRODUCT(0.985^(COLUMN($O6:$CN6)-COLUMN($O6))))</f>
        <v>0</v>
      </c>
    </row>
    <row r="7" spans="2:94" x14ac:dyDescent="0.25">
      <c r="B7" t="s">
        <v>74</v>
      </c>
      <c r="C7">
        <v>34</v>
      </c>
      <c r="D7">
        <f t="shared" si="0"/>
        <v>0</v>
      </c>
      <c r="E7" s="61">
        <v>4</v>
      </c>
      <c r="F7" s="61">
        <v>3</v>
      </c>
      <c r="G7" s="61">
        <v>3</v>
      </c>
      <c r="H7" s="61">
        <v>3</v>
      </c>
      <c r="I7" s="61">
        <v>0</v>
      </c>
      <c r="J7" s="61">
        <f t="shared" si="1"/>
        <v>0</v>
      </c>
      <c r="K7" s="61">
        <f t="shared" si="1"/>
        <v>0</v>
      </c>
      <c r="L7" s="61">
        <f t="shared" si="1"/>
        <v>0</v>
      </c>
      <c r="M7" s="61">
        <f t="shared" si="1"/>
        <v>0</v>
      </c>
      <c r="N7" s="61">
        <f t="shared" si="1"/>
        <v>0</v>
      </c>
      <c r="O7" s="61" cm="1">
        <f t="array" ref="O7">INT($C7 * 80% * (0.985^(COLUMN()-COLUMN($O7))) / SUMPRODUCT(0.985^(COLUMN($O7:$CN7)-COLUMN($O7))))</f>
        <v>0</v>
      </c>
      <c r="P7" s="61" cm="1">
        <f t="array" ref="P7">INT($C7 * 80% * (0.985^(COLUMN()-COLUMN($O7))) / SUMPRODUCT(0.985^(COLUMN($O7:$CN7)-COLUMN($O7))))</f>
        <v>0</v>
      </c>
      <c r="Q7" s="61" cm="1">
        <f t="array" ref="Q7">INT($C7 * 80% * (0.985^(COLUMN()-COLUMN($O7))) / SUMPRODUCT(0.985^(COLUMN($O7:$CN7)-COLUMN($O7))))</f>
        <v>0</v>
      </c>
      <c r="R7" s="61" cm="1">
        <f t="array" ref="R7">INT($C7 * 80% * (0.985^(COLUMN()-COLUMN($O7))) / SUMPRODUCT(0.985^(COLUMN($O7:$CN7)-COLUMN($O7))))</f>
        <v>0</v>
      </c>
      <c r="S7" s="61" cm="1">
        <f t="array" ref="S7">INT($C7 * 80% * (0.985^(COLUMN()-COLUMN($O7))) / SUMPRODUCT(0.985^(COLUMN($O7:$CN7)-COLUMN($O7))))</f>
        <v>0</v>
      </c>
      <c r="T7" s="61" cm="1">
        <f t="array" ref="T7">INT($C7 * 80% * (0.985^(COLUMN()-COLUMN($O7))) / SUMPRODUCT(0.985^(COLUMN($O7:$CN7)-COLUMN($O7))))</f>
        <v>0</v>
      </c>
      <c r="U7" s="61" cm="1">
        <f t="array" ref="U7">INT($C7 * 80% * (0.985^(COLUMN()-COLUMN($O7))) / SUMPRODUCT(0.985^(COLUMN($O7:$CN7)-COLUMN($O7))))</f>
        <v>0</v>
      </c>
      <c r="V7" s="61" cm="1">
        <f t="array" ref="V7">INT($C7 * 80% * (0.985^(COLUMN()-COLUMN($O7))) / SUMPRODUCT(0.985^(COLUMN($O7:$CN7)-COLUMN($O7))))</f>
        <v>0</v>
      </c>
      <c r="W7" s="61" cm="1">
        <f t="array" ref="W7">INT($C7 * 80% * (0.985^(COLUMN()-COLUMN($O7))) / SUMPRODUCT(0.985^(COLUMN($O7:$CN7)-COLUMN($O7))))</f>
        <v>0</v>
      </c>
      <c r="X7" s="61" cm="1">
        <f t="array" ref="X7">INT($C7 * 80% * (0.985^(COLUMN()-COLUMN($O7))) / SUMPRODUCT(0.985^(COLUMN($O7:$CN7)-COLUMN($O7))))</f>
        <v>0</v>
      </c>
      <c r="Y7" s="61" cm="1">
        <f t="array" ref="Y7">INT($C7 * 80% * (0.985^(COLUMN()-COLUMN($O7))) / SUMPRODUCT(0.985^(COLUMN($O7:$CN7)-COLUMN($O7))))</f>
        <v>0</v>
      </c>
      <c r="Z7" s="61" cm="1">
        <f t="array" ref="Z7">INT($C7 * 80% * (0.985^(COLUMN()-COLUMN($O7))) / SUMPRODUCT(0.985^(COLUMN($O7:$CN7)-COLUMN($O7))))</f>
        <v>0</v>
      </c>
      <c r="AA7" s="61" cm="1">
        <f t="array" ref="AA7">INT($C7 * 80% * (0.985^(COLUMN()-COLUMN($O7))) / SUMPRODUCT(0.985^(COLUMN($O7:$CN7)-COLUMN($O7))))</f>
        <v>0</v>
      </c>
      <c r="AB7" s="61" cm="1">
        <f t="array" ref="AB7">INT($C7 * 80% * (0.985^(COLUMN()-COLUMN($O7))) / SUMPRODUCT(0.985^(COLUMN($O7:$CN7)-COLUMN($O7))))</f>
        <v>0</v>
      </c>
      <c r="AC7" s="61" cm="1">
        <f t="array" ref="AC7">INT($C7 * 80% * (0.985^(COLUMN()-COLUMN($O7))) / SUMPRODUCT(0.985^(COLUMN($O7:$CN7)-COLUMN($O7))))</f>
        <v>0</v>
      </c>
      <c r="AD7" s="61" cm="1">
        <f t="array" ref="AD7">INT($C7 * 80% * (0.985^(COLUMN()-COLUMN($O7))) / SUMPRODUCT(0.985^(COLUMN($O7:$CN7)-COLUMN($O7))))</f>
        <v>0</v>
      </c>
      <c r="AE7" s="61" cm="1">
        <f t="array" ref="AE7">INT($C7 * 80% * (0.985^(COLUMN()-COLUMN($O7))) / SUMPRODUCT(0.985^(COLUMN($O7:$CN7)-COLUMN($O7))))</f>
        <v>0</v>
      </c>
      <c r="AF7" s="61" cm="1">
        <f t="array" ref="AF7">INT($C7 * 80% * (0.985^(COLUMN()-COLUMN($O7))) / SUMPRODUCT(0.985^(COLUMN($O7:$CN7)-COLUMN($O7))))</f>
        <v>0</v>
      </c>
      <c r="AG7" s="61" cm="1">
        <f t="array" ref="AG7">INT($C7 * 80% * (0.985^(COLUMN()-COLUMN($O7))) / SUMPRODUCT(0.985^(COLUMN($O7:$CN7)-COLUMN($O7))))</f>
        <v>0</v>
      </c>
      <c r="AH7" s="61" cm="1">
        <f t="array" ref="AH7">INT($C7 * 80% * (0.985^(COLUMN()-COLUMN($O7))) / SUMPRODUCT(0.985^(COLUMN($O7:$CN7)-COLUMN($O7))))</f>
        <v>0</v>
      </c>
      <c r="AI7" s="61" cm="1">
        <f t="array" ref="AI7">INT($C7 * 80% * (0.985^(COLUMN()-COLUMN($O7))) / SUMPRODUCT(0.985^(COLUMN($O7:$CN7)-COLUMN($O7))))</f>
        <v>0</v>
      </c>
      <c r="AJ7" s="61" cm="1">
        <f t="array" ref="AJ7">INT($C7 * 80% * (0.985^(COLUMN()-COLUMN($O7))) / SUMPRODUCT(0.985^(COLUMN($O7:$CN7)-COLUMN($O7))))</f>
        <v>0</v>
      </c>
      <c r="AK7" s="61" cm="1">
        <f t="array" ref="AK7">INT($C7 * 80% * (0.985^(COLUMN()-COLUMN($O7))) / SUMPRODUCT(0.985^(COLUMN($O7:$CN7)-COLUMN($O7))))</f>
        <v>0</v>
      </c>
      <c r="AL7" s="61" cm="1">
        <f t="array" ref="AL7">INT($C7 * 80% * (0.985^(COLUMN()-COLUMN($O7))) / SUMPRODUCT(0.985^(COLUMN($O7:$CN7)-COLUMN($O7))))</f>
        <v>0</v>
      </c>
      <c r="AM7" s="61" cm="1">
        <f t="array" ref="AM7">INT($C7 * 80% * (0.985^(COLUMN()-COLUMN($O7))) / SUMPRODUCT(0.985^(COLUMN($O7:$CN7)-COLUMN($O7))))</f>
        <v>0</v>
      </c>
      <c r="AN7" s="61" cm="1">
        <f t="array" ref="AN7">INT($C7 * 80% * (0.985^(COLUMN()-COLUMN($O7))) / SUMPRODUCT(0.985^(COLUMN($O7:$CN7)-COLUMN($O7))))</f>
        <v>0</v>
      </c>
      <c r="AO7" s="61" cm="1">
        <f t="array" ref="AO7">INT($C7 * 80% * (0.985^(COLUMN()-COLUMN($O7))) / SUMPRODUCT(0.985^(COLUMN($O7:$CN7)-COLUMN($O7))))</f>
        <v>0</v>
      </c>
      <c r="AP7" s="61" cm="1">
        <f t="array" ref="AP7">INT($C7 * 80% * (0.985^(COLUMN()-COLUMN($O7))) / SUMPRODUCT(0.985^(COLUMN($O7:$CN7)-COLUMN($O7))))</f>
        <v>0</v>
      </c>
      <c r="AQ7" s="61" cm="1">
        <f t="array" ref="AQ7">INT($C7 * 80% * (0.985^(COLUMN()-COLUMN($O7))) / SUMPRODUCT(0.985^(COLUMN($O7:$CN7)-COLUMN($O7))))</f>
        <v>0</v>
      </c>
      <c r="AR7" s="61" cm="1">
        <f t="array" ref="AR7">INT($C7 * 80% * (0.985^(COLUMN()-COLUMN($O7))) / SUMPRODUCT(0.985^(COLUMN($O7:$CN7)-COLUMN($O7))))</f>
        <v>0</v>
      </c>
      <c r="AS7" s="61" cm="1">
        <f t="array" ref="AS7">INT($C7 * 80% * (0.985^(COLUMN()-COLUMN($O7))) / SUMPRODUCT(0.985^(COLUMN($O7:$CN7)-COLUMN($O7))))</f>
        <v>0</v>
      </c>
      <c r="AT7" s="61" cm="1">
        <f t="array" ref="AT7">INT($C7 * 80% * (0.985^(COLUMN()-COLUMN($O7))) / SUMPRODUCT(0.985^(COLUMN($O7:$CN7)-COLUMN($O7))))</f>
        <v>0</v>
      </c>
      <c r="AU7" s="61" cm="1">
        <f t="array" ref="AU7">INT($C7 * 80% * (0.985^(COLUMN()-COLUMN($O7))) / SUMPRODUCT(0.985^(COLUMN($O7:$CN7)-COLUMN($O7))))</f>
        <v>0</v>
      </c>
      <c r="AV7" s="61" cm="1">
        <f t="array" ref="AV7">INT($C7 * 80% * (0.985^(COLUMN()-COLUMN($O7))) / SUMPRODUCT(0.985^(COLUMN($O7:$CN7)-COLUMN($O7))))</f>
        <v>0</v>
      </c>
      <c r="AW7" s="61" cm="1">
        <f t="array" ref="AW7">INT($C7 * 80% * (0.985^(COLUMN()-COLUMN($O7))) / SUMPRODUCT(0.985^(COLUMN($O7:$CN7)-COLUMN($O7))))</f>
        <v>0</v>
      </c>
      <c r="AX7" s="61" cm="1">
        <f t="array" ref="AX7">INT($C7 * 80% * (0.985^(COLUMN()-COLUMN($O7))) / SUMPRODUCT(0.985^(COLUMN($O7:$CN7)-COLUMN($O7))))</f>
        <v>0</v>
      </c>
      <c r="AY7" s="61" cm="1">
        <f t="array" ref="AY7">INT($C7 * 80% * (0.985^(COLUMN()-COLUMN($O7))) / SUMPRODUCT(0.985^(COLUMN($O7:$CN7)-COLUMN($O7))))</f>
        <v>0</v>
      </c>
      <c r="AZ7" s="61" cm="1">
        <f t="array" ref="AZ7">INT($C7 * 80% * (0.985^(COLUMN()-COLUMN($O7))) / SUMPRODUCT(0.985^(COLUMN($O7:$CN7)-COLUMN($O7))))</f>
        <v>0</v>
      </c>
      <c r="BA7" s="61" cm="1">
        <f t="array" ref="BA7">INT($C7 * 80% * (0.985^(COLUMN()-COLUMN($O7))) / SUMPRODUCT(0.985^(COLUMN($O7:$CN7)-COLUMN($O7))))</f>
        <v>0</v>
      </c>
      <c r="BB7" s="61" cm="1">
        <f t="array" ref="BB7">INT($C7 * 80% * (0.985^(COLUMN()-COLUMN($O7))) / SUMPRODUCT(0.985^(COLUMN($O7:$CN7)-COLUMN($O7))))</f>
        <v>0</v>
      </c>
      <c r="BC7" s="61" cm="1">
        <f t="array" ref="BC7">INT($C7 * 80% * (0.985^(COLUMN()-COLUMN($O7))) / SUMPRODUCT(0.985^(COLUMN($O7:$CN7)-COLUMN($O7))))</f>
        <v>0</v>
      </c>
      <c r="BD7" s="61" cm="1">
        <f t="array" ref="BD7">INT($C7 * 80% * (0.985^(COLUMN()-COLUMN($O7))) / SUMPRODUCT(0.985^(COLUMN($O7:$CN7)-COLUMN($O7))))</f>
        <v>0</v>
      </c>
      <c r="BE7" s="61" cm="1">
        <f t="array" ref="BE7">INT($C7 * 80% * (0.985^(COLUMN()-COLUMN($O7))) / SUMPRODUCT(0.985^(COLUMN($O7:$CN7)-COLUMN($O7))))</f>
        <v>0</v>
      </c>
      <c r="BF7" s="61" cm="1">
        <f t="array" ref="BF7">INT($C7 * 80% * (0.985^(COLUMN()-COLUMN($O7))) / SUMPRODUCT(0.985^(COLUMN($O7:$CN7)-COLUMN($O7))))</f>
        <v>0</v>
      </c>
      <c r="BG7" s="61" cm="1">
        <f t="array" ref="BG7">INT($C7 * 80% * (0.985^(COLUMN()-COLUMN($O7))) / SUMPRODUCT(0.985^(COLUMN($O7:$CN7)-COLUMN($O7))))</f>
        <v>0</v>
      </c>
      <c r="BH7" s="61" cm="1">
        <f t="array" ref="BH7">INT($C7 * 80% * (0.985^(COLUMN()-COLUMN($O7))) / SUMPRODUCT(0.985^(COLUMN($O7:$CN7)-COLUMN($O7))))</f>
        <v>0</v>
      </c>
      <c r="BI7" s="61" cm="1">
        <f t="array" ref="BI7">INT($C7 * 80% * (0.985^(COLUMN()-COLUMN($O7))) / SUMPRODUCT(0.985^(COLUMN($O7:$CN7)-COLUMN($O7))))</f>
        <v>0</v>
      </c>
      <c r="BJ7" s="61" cm="1">
        <f t="array" ref="BJ7">INT($C7 * 80% * (0.985^(COLUMN()-COLUMN($O7))) / SUMPRODUCT(0.985^(COLUMN($O7:$CN7)-COLUMN($O7))))</f>
        <v>0</v>
      </c>
      <c r="BK7" s="61" cm="1">
        <f t="array" ref="BK7">INT($C7 * 80% * (0.985^(COLUMN()-COLUMN($O7))) / SUMPRODUCT(0.985^(COLUMN($O7:$CN7)-COLUMN($O7))))</f>
        <v>0</v>
      </c>
      <c r="BL7" s="61" cm="1">
        <f t="array" ref="BL7">INT($C7 * 80% * (0.985^(COLUMN()-COLUMN($O7))) / SUMPRODUCT(0.985^(COLUMN($O7:$CN7)-COLUMN($O7))))</f>
        <v>0</v>
      </c>
      <c r="BM7" s="61" cm="1">
        <f t="array" ref="BM7">INT($C7 * 80% * (0.985^(COLUMN()-COLUMN($O7))) / SUMPRODUCT(0.985^(COLUMN($O7:$CN7)-COLUMN($O7))))</f>
        <v>0</v>
      </c>
      <c r="BN7" s="61" cm="1">
        <f t="array" ref="BN7">INT($C7 * 80% * (0.985^(COLUMN()-COLUMN($O7))) / SUMPRODUCT(0.985^(COLUMN($O7:$CN7)-COLUMN($O7))))</f>
        <v>0</v>
      </c>
      <c r="BO7" s="61" cm="1">
        <f t="array" ref="BO7">INT($C7 * 80% * (0.985^(COLUMN()-COLUMN($O7))) / SUMPRODUCT(0.985^(COLUMN($O7:$CN7)-COLUMN($O7))))</f>
        <v>0</v>
      </c>
      <c r="BP7" s="61" cm="1">
        <f t="array" ref="BP7">INT($C7 * 80% * (0.985^(COLUMN()-COLUMN($O7))) / SUMPRODUCT(0.985^(COLUMN($O7:$CN7)-COLUMN($O7))))</f>
        <v>0</v>
      </c>
      <c r="BQ7" s="61" cm="1">
        <f t="array" ref="BQ7">INT($C7 * 80% * (0.985^(COLUMN()-COLUMN($O7))) / SUMPRODUCT(0.985^(COLUMN($O7:$CN7)-COLUMN($O7))))</f>
        <v>0</v>
      </c>
      <c r="BR7" s="61" cm="1">
        <f t="array" ref="BR7">INT($C7 * 80% * (0.985^(COLUMN()-COLUMN($O7))) / SUMPRODUCT(0.985^(COLUMN($O7:$CN7)-COLUMN($O7))))</f>
        <v>0</v>
      </c>
      <c r="BS7" s="61" cm="1">
        <f t="array" ref="BS7">INT($C7 * 80% * (0.985^(COLUMN()-COLUMN($O7))) / SUMPRODUCT(0.985^(COLUMN($O7:$CN7)-COLUMN($O7))))</f>
        <v>0</v>
      </c>
      <c r="BT7" s="61" cm="1">
        <f t="array" ref="BT7">INT($C7 * 80% * (0.985^(COLUMN()-COLUMN($O7))) / SUMPRODUCT(0.985^(COLUMN($O7:$CN7)-COLUMN($O7))))</f>
        <v>0</v>
      </c>
      <c r="BU7" s="61" cm="1">
        <f t="array" ref="BU7">INT($C7 * 80% * (0.985^(COLUMN()-COLUMN($O7))) / SUMPRODUCT(0.985^(COLUMN($O7:$CN7)-COLUMN($O7))))</f>
        <v>0</v>
      </c>
      <c r="BV7" s="61" cm="1">
        <f t="array" ref="BV7">INT($C7 * 80% * (0.985^(COLUMN()-COLUMN($O7))) / SUMPRODUCT(0.985^(COLUMN($O7:$CN7)-COLUMN($O7))))</f>
        <v>0</v>
      </c>
      <c r="BW7" s="61">
        <v>3</v>
      </c>
      <c r="BX7" s="61">
        <v>3</v>
      </c>
      <c r="BY7" s="61" cm="1">
        <f t="array" ref="BY7">INT($C7 * 80% * (0.985^(COLUMN()-COLUMN($O7))) / SUMPRODUCT(0.985^(COLUMN($O7:$CN7)-COLUMN($O7))))</f>
        <v>0</v>
      </c>
      <c r="BZ7" s="61" cm="1">
        <f t="array" ref="BZ7">INT($C7 * 80% * (0.985^(COLUMN()-COLUMN($O7))) / SUMPRODUCT(0.985^(COLUMN($O7:$CN7)-COLUMN($O7))))</f>
        <v>0</v>
      </c>
      <c r="CA7" s="61" cm="1">
        <f t="array" ref="CA7">INT($C7 * 80% * (0.985^(COLUMN()-COLUMN($O7))) / SUMPRODUCT(0.985^(COLUMN($O7:$CN7)-COLUMN($O7))))</f>
        <v>0</v>
      </c>
      <c r="CB7" s="61" cm="1">
        <f t="array" ref="CB7">INT($C7 * 80% * (0.985^(COLUMN()-COLUMN($O7))) / SUMPRODUCT(0.985^(COLUMN($O7:$CN7)-COLUMN($O7))))</f>
        <v>0</v>
      </c>
      <c r="CC7" s="61" cm="1">
        <f t="array" ref="CC7">INT($C7 * 80% * (0.985^(COLUMN()-COLUMN($O7))) / SUMPRODUCT(0.985^(COLUMN($O7:$CN7)-COLUMN($O7))))</f>
        <v>0</v>
      </c>
      <c r="CD7" s="61" cm="1">
        <f t="array" ref="CD7">INT($C7 * 80% * (0.985^(COLUMN()-COLUMN($O7))) / SUMPRODUCT(0.985^(COLUMN($O7:$CN7)-COLUMN($O7))))</f>
        <v>0</v>
      </c>
      <c r="CE7" s="61" cm="1">
        <f t="array" ref="CE7">INT($C7 * 80% * (0.985^(COLUMN()-COLUMN($O7))) / SUMPRODUCT(0.985^(COLUMN($O7:$CN7)-COLUMN($O7))))</f>
        <v>0</v>
      </c>
      <c r="CF7" s="61" cm="1">
        <f t="array" ref="CF7">INT($C7 * 80% * (0.985^(COLUMN()-COLUMN($O7))) / SUMPRODUCT(0.985^(COLUMN($O7:$CN7)-COLUMN($O7))))</f>
        <v>0</v>
      </c>
      <c r="CG7" s="61" cm="1">
        <f t="array" ref="CG7">INT($C7 * 80% * (0.985^(COLUMN()-COLUMN($O7))) / SUMPRODUCT(0.985^(COLUMN($O7:$CN7)-COLUMN($O7))))</f>
        <v>0</v>
      </c>
      <c r="CH7" s="61" cm="1">
        <f t="array" ref="CH7">INT($C7 * 80% * (0.985^(COLUMN()-COLUMN($O7))) / SUMPRODUCT(0.985^(COLUMN($O7:$CN7)-COLUMN($O7))))</f>
        <v>0</v>
      </c>
      <c r="CI7" s="61">
        <v>0</v>
      </c>
      <c r="CJ7" s="61">
        <v>3</v>
      </c>
      <c r="CK7" s="61">
        <v>3</v>
      </c>
      <c r="CL7" s="61">
        <v>3</v>
      </c>
      <c r="CM7" s="61">
        <v>3</v>
      </c>
      <c r="CN7" s="61">
        <v>3</v>
      </c>
    </row>
    <row r="8" spans="2:94" x14ac:dyDescent="0.25">
      <c r="B8" t="s">
        <v>75</v>
      </c>
      <c r="C8">
        <v>4925</v>
      </c>
      <c r="D8">
        <f t="shared" si="0"/>
        <v>0</v>
      </c>
      <c r="E8" s="61">
        <f t="shared" si="2"/>
        <v>98</v>
      </c>
      <c r="F8" s="61">
        <f t="shared" si="1"/>
        <v>98</v>
      </c>
      <c r="G8" s="61">
        <f t="shared" si="1"/>
        <v>98</v>
      </c>
      <c r="H8" s="61">
        <f t="shared" si="1"/>
        <v>98</v>
      </c>
      <c r="I8" s="61">
        <v>138</v>
      </c>
      <c r="J8" s="61">
        <f t="shared" si="1"/>
        <v>98</v>
      </c>
      <c r="K8" s="61">
        <f t="shared" si="1"/>
        <v>98</v>
      </c>
      <c r="L8" s="61">
        <f t="shared" si="1"/>
        <v>98</v>
      </c>
      <c r="M8" s="61">
        <f t="shared" si="1"/>
        <v>98</v>
      </c>
      <c r="N8" s="61">
        <f t="shared" si="1"/>
        <v>98</v>
      </c>
      <c r="O8" s="61" cm="1">
        <f t="array" ref="O8">INT($C8 * 80% * (0.985^(COLUMN()-COLUMN($O8))) / SUMPRODUCT(0.985^(COLUMN($O8:$CN8)-COLUMN($O8))))</f>
        <v>85</v>
      </c>
      <c r="P8" s="61" cm="1">
        <f t="array" ref="P8">INT($C8 * 80% * (0.985^(COLUMN()-COLUMN($O8))) / SUMPRODUCT(0.985^(COLUMN($O8:$CN8)-COLUMN($O8))))</f>
        <v>84</v>
      </c>
      <c r="Q8" s="61" cm="1">
        <f t="array" ref="Q8">INT($C8 * 80% * (0.985^(COLUMN()-COLUMN($O8))) / SUMPRODUCT(0.985^(COLUMN($O8:$CN8)-COLUMN($O8))))</f>
        <v>82</v>
      </c>
      <c r="R8" s="61" cm="1">
        <f t="array" ref="R8">INT($C8 * 80% * (0.985^(COLUMN()-COLUMN($O8))) / SUMPRODUCT(0.985^(COLUMN($O8:$CN8)-COLUMN($O8))))</f>
        <v>81</v>
      </c>
      <c r="S8" s="61" cm="1">
        <f t="array" ref="S8">INT($C8 * 80% * (0.985^(COLUMN()-COLUMN($O8))) / SUMPRODUCT(0.985^(COLUMN($O8:$CN8)-COLUMN($O8))))</f>
        <v>80</v>
      </c>
      <c r="T8" s="61" cm="1">
        <f t="array" ref="T8">INT($C8 * 80% * (0.985^(COLUMN()-COLUMN($O8))) / SUMPRODUCT(0.985^(COLUMN($O8:$CN8)-COLUMN($O8))))</f>
        <v>79</v>
      </c>
      <c r="U8" s="61" cm="1">
        <f t="array" ref="U8">INT($C8 * 80% * (0.985^(COLUMN()-COLUMN($O8))) / SUMPRODUCT(0.985^(COLUMN($O8:$CN8)-COLUMN($O8))))</f>
        <v>77</v>
      </c>
      <c r="V8" s="61" cm="1">
        <f t="array" ref="V8">INT($C8 * 80% * (0.985^(COLUMN()-COLUMN($O8))) / SUMPRODUCT(0.985^(COLUMN($O8:$CN8)-COLUMN($O8))))</f>
        <v>76</v>
      </c>
      <c r="W8" s="61" cm="1">
        <f t="array" ref="W8">INT($C8 * 80% * (0.985^(COLUMN()-COLUMN($O8))) / SUMPRODUCT(0.985^(COLUMN($O8:$CN8)-COLUMN($O8))))</f>
        <v>75</v>
      </c>
      <c r="X8" s="61" cm="1">
        <f t="array" ref="X8">INT($C8 * 80% * (0.985^(COLUMN()-COLUMN($O8))) / SUMPRODUCT(0.985^(COLUMN($O8:$CN8)-COLUMN($O8))))</f>
        <v>74</v>
      </c>
      <c r="Y8" s="61" cm="1">
        <f t="array" ref="Y8">INT($C8 * 80% * (0.985^(COLUMN()-COLUMN($O8))) / SUMPRODUCT(0.985^(COLUMN($O8:$CN8)-COLUMN($O8))))</f>
        <v>73</v>
      </c>
      <c r="Z8" s="61" cm="1">
        <f t="array" ref="Z8">INT($C8 * 80% * (0.985^(COLUMN()-COLUMN($O8))) / SUMPRODUCT(0.985^(COLUMN($O8:$CN8)-COLUMN($O8))))</f>
        <v>72</v>
      </c>
      <c r="AA8" s="61" cm="1">
        <f t="array" ref="AA8">INT($C8 * 80% * (0.985^(COLUMN()-COLUMN($O8))) / SUMPRODUCT(0.985^(COLUMN($O8:$CN8)-COLUMN($O8))))</f>
        <v>71</v>
      </c>
      <c r="AB8" s="61" cm="1">
        <f t="array" ref="AB8">INT($C8 * 80% * (0.985^(COLUMN()-COLUMN($O8))) / SUMPRODUCT(0.985^(COLUMN($O8:$CN8)-COLUMN($O8))))</f>
        <v>70</v>
      </c>
      <c r="AC8" s="61" cm="1">
        <f t="array" ref="AC8">INT($C8 * 80% * (0.985^(COLUMN()-COLUMN($O8))) / SUMPRODUCT(0.985^(COLUMN($O8:$CN8)-COLUMN($O8))))</f>
        <v>69</v>
      </c>
      <c r="AD8" s="61" cm="1">
        <f t="array" ref="AD8">INT($C8 * 80% * (0.985^(COLUMN()-COLUMN($O8))) / SUMPRODUCT(0.985^(COLUMN($O8:$CN8)-COLUMN($O8))))</f>
        <v>68</v>
      </c>
      <c r="AE8" s="61" cm="1">
        <f t="array" ref="AE8">INT($C8 * 80% * (0.985^(COLUMN()-COLUMN($O8))) / SUMPRODUCT(0.985^(COLUMN($O8:$CN8)-COLUMN($O8))))</f>
        <v>67</v>
      </c>
      <c r="AF8" s="61" cm="1">
        <f t="array" ref="AF8">INT($C8 * 80% * (0.985^(COLUMN()-COLUMN($O8))) / SUMPRODUCT(0.985^(COLUMN($O8:$CN8)-COLUMN($O8))))</f>
        <v>66</v>
      </c>
      <c r="AG8" s="61" cm="1">
        <f t="array" ref="AG8">INT($C8 * 80% * (0.985^(COLUMN()-COLUMN($O8))) / SUMPRODUCT(0.985^(COLUMN($O8:$CN8)-COLUMN($O8))))</f>
        <v>65</v>
      </c>
      <c r="AH8" s="61" cm="1">
        <f t="array" ref="AH8">INT($C8 * 80% * (0.985^(COLUMN()-COLUMN($O8))) / SUMPRODUCT(0.985^(COLUMN($O8:$CN8)-COLUMN($O8))))</f>
        <v>64</v>
      </c>
      <c r="AI8" s="61" cm="1">
        <f t="array" ref="AI8">INT($C8 * 80% * (0.985^(COLUMN()-COLUMN($O8))) / SUMPRODUCT(0.985^(COLUMN($O8:$CN8)-COLUMN($O8))))</f>
        <v>63</v>
      </c>
      <c r="AJ8" s="61" cm="1">
        <f t="array" ref="AJ8">INT($C8 * 80% * (0.985^(COLUMN()-COLUMN($O8))) / SUMPRODUCT(0.985^(COLUMN($O8:$CN8)-COLUMN($O8))))</f>
        <v>62</v>
      </c>
      <c r="AK8" s="61" cm="1">
        <f t="array" ref="AK8">INT($C8 * 80% * (0.985^(COLUMN()-COLUMN($O8))) / SUMPRODUCT(0.985^(COLUMN($O8:$CN8)-COLUMN($O8))))</f>
        <v>61</v>
      </c>
      <c r="AL8" s="61" cm="1">
        <f t="array" ref="AL8">INT($C8 * 80% * (0.985^(COLUMN()-COLUMN($O8))) / SUMPRODUCT(0.985^(COLUMN($O8:$CN8)-COLUMN($O8))))</f>
        <v>60</v>
      </c>
      <c r="AM8" s="61" cm="1">
        <f t="array" ref="AM8">INT($C8 * 80% * (0.985^(COLUMN()-COLUMN($O8))) / SUMPRODUCT(0.985^(COLUMN($O8:$CN8)-COLUMN($O8))))</f>
        <v>59</v>
      </c>
      <c r="AN8" s="61" cm="1">
        <f t="array" ref="AN8">INT($C8 * 80% * (0.985^(COLUMN()-COLUMN($O8))) / SUMPRODUCT(0.985^(COLUMN($O8:$CN8)-COLUMN($O8))))</f>
        <v>58</v>
      </c>
      <c r="AO8" s="61" cm="1">
        <f t="array" ref="AO8">INT($C8 * 80% * (0.985^(COLUMN()-COLUMN($O8))) / SUMPRODUCT(0.985^(COLUMN($O8:$CN8)-COLUMN($O8))))</f>
        <v>57</v>
      </c>
      <c r="AP8" s="61" cm="1">
        <f t="array" ref="AP8">INT($C8 * 80% * (0.985^(COLUMN()-COLUMN($O8))) / SUMPRODUCT(0.985^(COLUMN($O8:$CN8)-COLUMN($O8))))</f>
        <v>56</v>
      </c>
      <c r="AQ8" s="61" cm="1">
        <f t="array" ref="AQ8">INT($C8 * 80% * (0.985^(COLUMN()-COLUMN($O8))) / SUMPRODUCT(0.985^(COLUMN($O8:$CN8)-COLUMN($O8))))</f>
        <v>55</v>
      </c>
      <c r="AR8" s="61" cm="1">
        <f t="array" ref="AR8">INT($C8 * 80% * (0.985^(COLUMN()-COLUMN($O8))) / SUMPRODUCT(0.985^(COLUMN($O8:$CN8)-COLUMN($O8))))</f>
        <v>55</v>
      </c>
      <c r="AS8" s="61" cm="1">
        <f t="array" ref="AS8">INT($C8 * 80% * (0.985^(COLUMN()-COLUMN($O8))) / SUMPRODUCT(0.985^(COLUMN($O8:$CN8)-COLUMN($O8))))</f>
        <v>54</v>
      </c>
      <c r="AT8" s="61" cm="1">
        <f t="array" ref="AT8">INT($C8 * 80% * (0.985^(COLUMN()-COLUMN($O8))) / SUMPRODUCT(0.985^(COLUMN($O8:$CN8)-COLUMN($O8))))</f>
        <v>53</v>
      </c>
      <c r="AU8" s="61" cm="1">
        <f t="array" ref="AU8">INT($C8 * 80% * (0.985^(COLUMN()-COLUMN($O8))) / SUMPRODUCT(0.985^(COLUMN($O8:$CN8)-COLUMN($O8))))</f>
        <v>52</v>
      </c>
      <c r="AV8" s="61" cm="1">
        <f t="array" ref="AV8">INT($C8 * 80% * (0.985^(COLUMN()-COLUMN($O8))) / SUMPRODUCT(0.985^(COLUMN($O8:$CN8)-COLUMN($O8))))</f>
        <v>51</v>
      </c>
      <c r="AW8" s="61" cm="1">
        <f t="array" ref="AW8">INT($C8 * 80% * (0.985^(COLUMN()-COLUMN($O8))) / SUMPRODUCT(0.985^(COLUMN($O8:$CN8)-COLUMN($O8))))</f>
        <v>51</v>
      </c>
      <c r="AX8" s="61" cm="1">
        <f t="array" ref="AX8">INT($C8 * 80% * (0.985^(COLUMN()-COLUMN($O8))) / SUMPRODUCT(0.985^(COLUMN($O8:$CN8)-COLUMN($O8))))</f>
        <v>50</v>
      </c>
      <c r="AY8" s="61" cm="1">
        <f t="array" ref="AY8">INT($C8 * 80% * (0.985^(COLUMN()-COLUMN($O8))) / SUMPRODUCT(0.985^(COLUMN($O8:$CN8)-COLUMN($O8))))</f>
        <v>49</v>
      </c>
      <c r="AZ8" s="61" cm="1">
        <f t="array" ref="AZ8">INT($C8 * 80% * (0.985^(COLUMN()-COLUMN($O8))) / SUMPRODUCT(0.985^(COLUMN($O8:$CN8)-COLUMN($O8))))</f>
        <v>48</v>
      </c>
      <c r="BA8" s="61" cm="1">
        <f t="array" ref="BA8">INT($C8 * 80% * (0.985^(COLUMN()-COLUMN($O8))) / SUMPRODUCT(0.985^(COLUMN($O8:$CN8)-COLUMN($O8))))</f>
        <v>48</v>
      </c>
      <c r="BB8" s="61" cm="1">
        <f t="array" ref="BB8">INT($C8 * 80% * (0.985^(COLUMN()-COLUMN($O8))) / SUMPRODUCT(0.985^(COLUMN($O8:$CN8)-COLUMN($O8))))</f>
        <v>47</v>
      </c>
      <c r="BC8" s="61" cm="1">
        <f t="array" ref="BC8">INT($C8 * 80% * (0.985^(COLUMN()-COLUMN($O8))) / SUMPRODUCT(0.985^(COLUMN($O8:$CN8)-COLUMN($O8))))</f>
        <v>46</v>
      </c>
      <c r="BD8" s="61" cm="1">
        <f t="array" ref="BD8">INT($C8 * 80% * (0.985^(COLUMN()-COLUMN($O8))) / SUMPRODUCT(0.985^(COLUMN($O8:$CN8)-COLUMN($O8))))</f>
        <v>45</v>
      </c>
      <c r="BE8" s="61" cm="1">
        <f t="array" ref="BE8">INT($C8 * 80% * (0.985^(COLUMN()-COLUMN($O8))) / SUMPRODUCT(0.985^(COLUMN($O8:$CN8)-COLUMN($O8))))</f>
        <v>45</v>
      </c>
      <c r="BF8" s="61" cm="1">
        <f t="array" ref="BF8">INT($C8 * 80% * (0.985^(COLUMN()-COLUMN($O8))) / SUMPRODUCT(0.985^(COLUMN($O8:$CN8)-COLUMN($O8))))</f>
        <v>44</v>
      </c>
      <c r="BG8" s="61" cm="1">
        <f t="array" ref="BG8">INT($C8 * 80% * (0.985^(COLUMN()-COLUMN($O8))) / SUMPRODUCT(0.985^(COLUMN($O8:$CN8)-COLUMN($O8))))</f>
        <v>43</v>
      </c>
      <c r="BH8" s="61" cm="1">
        <f t="array" ref="BH8">INT($C8 * 80% * (0.985^(COLUMN()-COLUMN($O8))) / SUMPRODUCT(0.985^(COLUMN($O8:$CN8)-COLUMN($O8))))</f>
        <v>43</v>
      </c>
      <c r="BI8" s="61" cm="1">
        <f t="array" ref="BI8">INT($C8 * 80% * (0.985^(COLUMN()-COLUMN($O8))) / SUMPRODUCT(0.985^(COLUMN($O8:$CN8)-COLUMN($O8))))</f>
        <v>42</v>
      </c>
      <c r="BJ8" s="61" cm="1">
        <f t="array" ref="BJ8">INT($C8 * 80% * (0.985^(COLUMN()-COLUMN($O8))) / SUMPRODUCT(0.985^(COLUMN($O8:$CN8)-COLUMN($O8))))</f>
        <v>41</v>
      </c>
      <c r="BK8" s="61" cm="1">
        <f t="array" ref="BK8">INT($C8 * 80% * (0.985^(COLUMN()-COLUMN($O8))) / SUMPRODUCT(0.985^(COLUMN($O8:$CN8)-COLUMN($O8))))</f>
        <v>41</v>
      </c>
      <c r="BL8" s="61" cm="1">
        <f t="array" ref="BL8">INT($C8 * 80% * (0.985^(COLUMN()-COLUMN($O8))) / SUMPRODUCT(0.985^(COLUMN($O8:$CN8)-COLUMN($O8))))</f>
        <v>40</v>
      </c>
      <c r="BM8" s="61" cm="1">
        <f t="array" ref="BM8">INT($C8 * 80% * (0.985^(COLUMN()-COLUMN($O8))) / SUMPRODUCT(0.985^(COLUMN($O8:$CN8)-COLUMN($O8))))</f>
        <v>40</v>
      </c>
      <c r="BN8" s="61" cm="1">
        <f t="array" ref="BN8">INT($C8 * 80% * (0.985^(COLUMN()-COLUMN($O8))) / SUMPRODUCT(0.985^(COLUMN($O8:$CN8)-COLUMN($O8))))</f>
        <v>39</v>
      </c>
      <c r="BO8" s="61" cm="1">
        <f t="array" ref="BO8">INT($C8 * 80% * (0.985^(COLUMN()-COLUMN($O8))) / SUMPRODUCT(0.985^(COLUMN($O8:$CN8)-COLUMN($O8))))</f>
        <v>38</v>
      </c>
      <c r="BP8" s="61" cm="1">
        <f t="array" ref="BP8">INT($C8 * 80% * (0.985^(COLUMN()-COLUMN($O8))) / SUMPRODUCT(0.985^(COLUMN($O8:$CN8)-COLUMN($O8))))</f>
        <v>38</v>
      </c>
      <c r="BQ8" s="61" cm="1">
        <f t="array" ref="BQ8">INT($C8 * 80% * (0.985^(COLUMN()-COLUMN($O8))) / SUMPRODUCT(0.985^(COLUMN($O8:$CN8)-COLUMN($O8))))</f>
        <v>37</v>
      </c>
      <c r="BR8" s="61" cm="1">
        <f t="array" ref="BR8">INT($C8 * 80% * (0.985^(COLUMN()-COLUMN($O8))) / SUMPRODUCT(0.985^(COLUMN($O8:$CN8)-COLUMN($O8))))</f>
        <v>37</v>
      </c>
      <c r="BS8" s="61" cm="1">
        <f t="array" ref="BS8">INT($C8 * 80% * (0.985^(COLUMN()-COLUMN($O8))) / SUMPRODUCT(0.985^(COLUMN($O8:$CN8)-COLUMN($O8))))</f>
        <v>36</v>
      </c>
      <c r="BT8" s="61" cm="1">
        <f t="array" ref="BT8">INT($C8 * 80% * (0.985^(COLUMN()-COLUMN($O8))) / SUMPRODUCT(0.985^(COLUMN($O8:$CN8)-COLUMN($O8))))</f>
        <v>36</v>
      </c>
      <c r="BU8" s="61" cm="1">
        <f t="array" ref="BU8">INT($C8 * 80% * (0.985^(COLUMN()-COLUMN($O8))) / SUMPRODUCT(0.985^(COLUMN($O8:$CN8)-COLUMN($O8))))</f>
        <v>35</v>
      </c>
      <c r="BV8" s="61" cm="1">
        <f t="array" ref="BV8">INT($C8 * 80% * (0.985^(COLUMN()-COLUMN($O8))) / SUMPRODUCT(0.985^(COLUMN($O8:$CN8)-COLUMN($O8))))</f>
        <v>34</v>
      </c>
      <c r="BW8" s="61" cm="1">
        <f t="array" ref="BW8">INT($C8 * 80% * (0.985^(COLUMN()-COLUMN($O8))) / SUMPRODUCT(0.985^(COLUMN($O8:$CN8)-COLUMN($O8))))</f>
        <v>34</v>
      </c>
      <c r="BX8" s="61" cm="1">
        <f t="array" ref="BX8">INT($C8 * 80% * (0.985^(COLUMN()-COLUMN($O8))) / SUMPRODUCT(0.985^(COLUMN($O8:$CN8)-COLUMN($O8))))</f>
        <v>33</v>
      </c>
      <c r="BY8" s="61" cm="1">
        <f t="array" ref="BY8">INT($C8 * 80% * (0.985^(COLUMN()-COLUMN($O8))) / SUMPRODUCT(0.985^(COLUMN($O8:$CN8)-COLUMN($O8))))</f>
        <v>33</v>
      </c>
      <c r="BZ8" s="61" cm="1">
        <f t="array" ref="BZ8">INT($C8 * 80% * (0.985^(COLUMN()-COLUMN($O8))) / SUMPRODUCT(0.985^(COLUMN($O8:$CN8)-COLUMN($O8))))</f>
        <v>32</v>
      </c>
      <c r="CA8" s="61" cm="1">
        <f t="array" ref="CA8">INT($C8 * 80% * (0.985^(COLUMN()-COLUMN($O8))) / SUMPRODUCT(0.985^(COLUMN($O8:$CN8)-COLUMN($O8))))</f>
        <v>32</v>
      </c>
      <c r="CB8" s="61" cm="1">
        <f t="array" ref="CB8">INT($C8 * 80% * (0.985^(COLUMN()-COLUMN($O8))) / SUMPRODUCT(0.985^(COLUMN($O8:$CN8)-COLUMN($O8))))</f>
        <v>31</v>
      </c>
      <c r="CC8" s="61" cm="1">
        <f t="array" ref="CC8">INT($C8 * 80% * (0.985^(COLUMN()-COLUMN($O8))) / SUMPRODUCT(0.985^(COLUMN($O8:$CN8)-COLUMN($O8))))</f>
        <v>31</v>
      </c>
      <c r="CD8" s="61" cm="1">
        <f t="array" ref="CD8">INT($C8 * 80% * (0.985^(COLUMN()-COLUMN($O8))) / SUMPRODUCT(0.985^(COLUMN($O8:$CN8)-COLUMN($O8))))</f>
        <v>31</v>
      </c>
      <c r="CE8" s="61" cm="1">
        <f t="array" ref="CE8">INT($C8 * 80% * (0.985^(COLUMN()-COLUMN($O8))) / SUMPRODUCT(0.985^(COLUMN($O8:$CN8)-COLUMN($O8))))</f>
        <v>30</v>
      </c>
      <c r="CF8" s="61" cm="1">
        <f t="array" ref="CF8">INT($C8 * 80% * (0.985^(COLUMN()-COLUMN($O8))) / SUMPRODUCT(0.985^(COLUMN($O8:$CN8)-COLUMN($O8))))</f>
        <v>30</v>
      </c>
      <c r="CG8" s="61" cm="1">
        <f t="array" ref="CG8">INT($C8 * 80% * (0.985^(COLUMN()-COLUMN($O8))) / SUMPRODUCT(0.985^(COLUMN($O8:$CN8)-COLUMN($O8))))</f>
        <v>29</v>
      </c>
      <c r="CH8" s="61" cm="1">
        <f t="array" ref="CH8">INT($C8 * 80% * (0.985^(COLUMN()-COLUMN($O8))) / SUMPRODUCT(0.985^(COLUMN($O8:$CN8)-COLUMN($O8))))</f>
        <v>29</v>
      </c>
      <c r="CI8" s="61" cm="1">
        <f t="array" ref="CI8">INT($C8 * 80% * (0.985^(COLUMN()-COLUMN($O8))) / SUMPRODUCT(0.985^(COLUMN($O8:$CN8)-COLUMN($O8))))</f>
        <v>28</v>
      </c>
      <c r="CJ8" s="61" cm="1">
        <f t="array" ref="CJ8">INT($C8 * 80% * (0.985^(COLUMN()-COLUMN($O8))) / SUMPRODUCT(0.985^(COLUMN($O8:$CN8)-COLUMN($O8))))</f>
        <v>28</v>
      </c>
      <c r="CK8" s="61" cm="1">
        <f t="array" ref="CK8">INT($C8 * 80% * (0.985^(COLUMN()-COLUMN($O8))) / SUMPRODUCT(0.985^(COLUMN($O8:$CN8)-COLUMN($O8))))</f>
        <v>27</v>
      </c>
      <c r="CL8" s="61" cm="1">
        <f t="array" ref="CL8">INT($C8 * 80% * (0.985^(COLUMN()-COLUMN($O8))) / SUMPRODUCT(0.985^(COLUMN($O8:$CN8)-COLUMN($O8))))</f>
        <v>27</v>
      </c>
      <c r="CM8" s="61" cm="1">
        <f t="array" ref="CM8">INT($C8 * 80% * (0.985^(COLUMN()-COLUMN($O8))) / SUMPRODUCT(0.985^(COLUMN($O8:$CN8)-COLUMN($O8))))</f>
        <v>27</v>
      </c>
      <c r="CN8" s="61" cm="1">
        <f t="array" ref="CN8">INT($C8 * 80% * (0.985^(COLUMN()-COLUMN($O8))) / SUMPRODUCT(0.985^(COLUMN($O8:$CN8)-COLUMN($O8))))</f>
        <v>26</v>
      </c>
    </row>
    <row r="9" spans="2:94" x14ac:dyDescent="0.25">
      <c r="B9" t="s">
        <v>76</v>
      </c>
      <c r="C9">
        <v>2462</v>
      </c>
      <c r="D9">
        <f t="shared" si="0"/>
        <v>0</v>
      </c>
      <c r="E9" s="61">
        <f t="shared" si="2"/>
        <v>49</v>
      </c>
      <c r="F9" s="61">
        <f t="shared" si="1"/>
        <v>49</v>
      </c>
      <c r="G9" s="61">
        <f t="shared" si="1"/>
        <v>49</v>
      </c>
      <c r="H9" s="61">
        <f t="shared" si="1"/>
        <v>49</v>
      </c>
      <c r="I9" s="61">
        <v>89</v>
      </c>
      <c r="J9" s="61">
        <f t="shared" si="1"/>
        <v>49</v>
      </c>
      <c r="K9" s="61">
        <f t="shared" si="1"/>
        <v>49</v>
      </c>
      <c r="L9" s="61">
        <f t="shared" si="1"/>
        <v>49</v>
      </c>
      <c r="M9" s="61">
        <f t="shared" si="1"/>
        <v>49</v>
      </c>
      <c r="N9" s="61">
        <f t="shared" si="1"/>
        <v>49</v>
      </c>
      <c r="O9" s="61" cm="1">
        <f t="array" ref="O9">INT($C9 * 80% * (0.985^(COLUMN()-COLUMN($O9))) / SUMPRODUCT(0.985^(COLUMN($O9:$CN9)-COLUMN($O9))))</f>
        <v>42</v>
      </c>
      <c r="P9" s="61" cm="1">
        <f t="array" ref="P9">INT($C9 * 80% * (0.985^(COLUMN()-COLUMN($O9))) / SUMPRODUCT(0.985^(COLUMN($O9:$CN9)-COLUMN($O9))))</f>
        <v>42</v>
      </c>
      <c r="Q9" s="61" cm="1">
        <f t="array" ref="Q9">INT($C9 * 80% * (0.985^(COLUMN()-COLUMN($O9))) / SUMPRODUCT(0.985^(COLUMN($O9:$CN9)-COLUMN($O9))))</f>
        <v>41</v>
      </c>
      <c r="R9" s="61" cm="1">
        <f t="array" ref="R9">INT($C9 * 80% * (0.985^(COLUMN()-COLUMN($O9))) / SUMPRODUCT(0.985^(COLUMN($O9:$CN9)-COLUMN($O9))))</f>
        <v>40</v>
      </c>
      <c r="S9" s="61" cm="1">
        <f t="array" ref="S9">INT($C9 * 80% * (0.985^(COLUMN()-COLUMN($O9))) / SUMPRODUCT(0.985^(COLUMN($O9:$CN9)-COLUMN($O9))))</f>
        <v>40</v>
      </c>
      <c r="T9" s="61" cm="1">
        <f t="array" ref="T9">INT($C9 * 80% * (0.985^(COLUMN()-COLUMN($O9))) / SUMPRODUCT(0.985^(COLUMN($O9:$CN9)-COLUMN($O9))))</f>
        <v>39</v>
      </c>
      <c r="U9" s="61" cm="1">
        <f t="array" ref="U9">INT($C9 * 80% * (0.985^(COLUMN()-COLUMN($O9))) / SUMPRODUCT(0.985^(COLUMN($O9:$CN9)-COLUMN($O9))))</f>
        <v>38</v>
      </c>
      <c r="V9" s="61" cm="1">
        <f t="array" ref="V9">INT($C9 * 80% * (0.985^(COLUMN()-COLUMN($O9))) / SUMPRODUCT(0.985^(COLUMN($O9:$CN9)-COLUMN($O9))))</f>
        <v>38</v>
      </c>
      <c r="W9" s="61" cm="1">
        <f t="array" ref="W9">INT($C9 * 80% * (0.985^(COLUMN()-COLUMN($O9))) / SUMPRODUCT(0.985^(COLUMN($O9:$CN9)-COLUMN($O9))))</f>
        <v>37</v>
      </c>
      <c r="X9" s="61" cm="1">
        <f t="array" ref="X9">INT($C9 * 80% * (0.985^(COLUMN()-COLUMN($O9))) / SUMPRODUCT(0.985^(COLUMN($O9:$CN9)-COLUMN($O9))))</f>
        <v>37</v>
      </c>
      <c r="Y9" s="61" cm="1">
        <f t="array" ref="Y9">INT($C9 * 80% * (0.985^(COLUMN()-COLUMN($O9))) / SUMPRODUCT(0.985^(COLUMN($O9:$CN9)-COLUMN($O9))))</f>
        <v>36</v>
      </c>
      <c r="Z9" s="61" cm="1">
        <f t="array" ref="Z9">INT($C9 * 80% * (0.985^(COLUMN()-COLUMN($O9))) / SUMPRODUCT(0.985^(COLUMN($O9:$CN9)-COLUMN($O9))))</f>
        <v>36</v>
      </c>
      <c r="AA9" s="61" cm="1">
        <f t="array" ref="AA9">INT($C9 * 80% * (0.985^(COLUMN()-COLUMN($O9))) / SUMPRODUCT(0.985^(COLUMN($O9:$CN9)-COLUMN($O9))))</f>
        <v>35</v>
      </c>
      <c r="AB9" s="61" cm="1">
        <f t="array" ref="AB9">INT($C9 * 80% * (0.985^(COLUMN()-COLUMN($O9))) / SUMPRODUCT(0.985^(COLUMN($O9:$CN9)-COLUMN($O9))))</f>
        <v>35</v>
      </c>
      <c r="AC9" s="61" cm="1">
        <f t="array" ref="AC9">INT($C9 * 80% * (0.985^(COLUMN()-COLUMN($O9))) / SUMPRODUCT(0.985^(COLUMN($O9:$CN9)-COLUMN($O9))))</f>
        <v>34</v>
      </c>
      <c r="AD9" s="61" cm="1">
        <f t="array" ref="AD9">INT($C9 * 80% * (0.985^(COLUMN()-COLUMN($O9))) / SUMPRODUCT(0.985^(COLUMN($O9:$CN9)-COLUMN($O9))))</f>
        <v>34</v>
      </c>
      <c r="AE9" s="61" cm="1">
        <f t="array" ref="AE9">INT($C9 * 80% * (0.985^(COLUMN()-COLUMN($O9))) / SUMPRODUCT(0.985^(COLUMN($O9:$CN9)-COLUMN($O9))))</f>
        <v>33</v>
      </c>
      <c r="AF9" s="61" cm="1">
        <f t="array" ref="AF9">INT($C9 * 80% * (0.985^(COLUMN()-COLUMN($O9))) / SUMPRODUCT(0.985^(COLUMN($O9:$CN9)-COLUMN($O9))))</f>
        <v>33</v>
      </c>
      <c r="AG9" s="61" cm="1">
        <f t="array" ref="AG9">INT($C9 * 80% * (0.985^(COLUMN()-COLUMN($O9))) / SUMPRODUCT(0.985^(COLUMN($O9:$CN9)-COLUMN($O9))))</f>
        <v>32</v>
      </c>
      <c r="AH9" s="61" cm="1">
        <f t="array" ref="AH9">INT($C9 * 80% * (0.985^(COLUMN()-COLUMN($O9))) / SUMPRODUCT(0.985^(COLUMN($O9:$CN9)-COLUMN($O9))))</f>
        <v>32</v>
      </c>
      <c r="AI9" s="61" cm="1">
        <f t="array" ref="AI9">INT($C9 * 80% * (0.985^(COLUMN()-COLUMN($O9))) / SUMPRODUCT(0.985^(COLUMN($O9:$CN9)-COLUMN($O9))))</f>
        <v>31</v>
      </c>
      <c r="AJ9" s="61" cm="1">
        <f t="array" ref="AJ9">INT($C9 * 80% * (0.985^(COLUMN()-COLUMN($O9))) / SUMPRODUCT(0.985^(COLUMN($O9:$CN9)-COLUMN($O9))))</f>
        <v>31</v>
      </c>
      <c r="AK9" s="61" cm="1">
        <f t="array" ref="AK9">INT($C9 * 80% * (0.985^(COLUMN()-COLUMN($O9))) / SUMPRODUCT(0.985^(COLUMN($O9:$CN9)-COLUMN($O9))))</f>
        <v>30</v>
      </c>
      <c r="AL9" s="61" cm="1">
        <f t="array" ref="AL9">INT($C9 * 80% * (0.985^(COLUMN()-COLUMN($O9))) / SUMPRODUCT(0.985^(COLUMN($O9:$CN9)-COLUMN($O9))))</f>
        <v>30</v>
      </c>
      <c r="AM9" s="61" cm="1">
        <f t="array" ref="AM9">INT($C9 * 80% * (0.985^(COLUMN()-COLUMN($O9))) / SUMPRODUCT(0.985^(COLUMN($O9:$CN9)-COLUMN($O9))))</f>
        <v>29</v>
      </c>
      <c r="AN9" s="61" cm="1">
        <f t="array" ref="AN9">INT($C9 * 80% * (0.985^(COLUMN()-COLUMN($O9))) / SUMPRODUCT(0.985^(COLUMN($O9:$CN9)-COLUMN($O9))))</f>
        <v>29</v>
      </c>
      <c r="AO9" s="61" cm="1">
        <f t="array" ref="AO9">INT($C9 * 80% * (0.985^(COLUMN()-COLUMN($O9))) / SUMPRODUCT(0.985^(COLUMN($O9:$CN9)-COLUMN($O9))))</f>
        <v>28</v>
      </c>
      <c r="AP9" s="61" cm="1">
        <f t="array" ref="AP9">INT($C9 * 80% * (0.985^(COLUMN()-COLUMN($O9))) / SUMPRODUCT(0.985^(COLUMN($O9:$CN9)-COLUMN($O9))))</f>
        <v>28</v>
      </c>
      <c r="AQ9" s="61" cm="1">
        <f t="array" ref="AQ9">INT($C9 * 80% * (0.985^(COLUMN()-COLUMN($O9))) / SUMPRODUCT(0.985^(COLUMN($O9:$CN9)-COLUMN($O9))))</f>
        <v>27</v>
      </c>
      <c r="AR9" s="61" cm="1">
        <f t="array" ref="AR9">INT($C9 * 80% * (0.985^(COLUMN()-COLUMN($O9))) / SUMPRODUCT(0.985^(COLUMN($O9:$CN9)-COLUMN($O9))))</f>
        <v>27</v>
      </c>
      <c r="AS9" s="61" cm="1">
        <f t="array" ref="AS9">INT($C9 * 80% * (0.985^(COLUMN()-COLUMN($O9))) / SUMPRODUCT(0.985^(COLUMN($O9:$CN9)-COLUMN($O9))))</f>
        <v>27</v>
      </c>
      <c r="AT9" s="61" cm="1">
        <f t="array" ref="AT9">INT($C9 * 80% * (0.985^(COLUMN()-COLUMN($O9))) / SUMPRODUCT(0.985^(COLUMN($O9:$CN9)-COLUMN($O9))))</f>
        <v>26</v>
      </c>
      <c r="AU9" s="61" cm="1">
        <f t="array" ref="AU9">INT($C9 * 80% * (0.985^(COLUMN()-COLUMN($O9))) / SUMPRODUCT(0.985^(COLUMN($O9:$CN9)-COLUMN($O9))))</f>
        <v>26</v>
      </c>
      <c r="AV9" s="61" cm="1">
        <f t="array" ref="AV9">INT($C9 * 80% * (0.985^(COLUMN()-COLUMN($O9))) / SUMPRODUCT(0.985^(COLUMN($O9:$CN9)-COLUMN($O9))))</f>
        <v>25</v>
      </c>
      <c r="AW9" s="61" cm="1">
        <f t="array" ref="AW9">INT($C9 * 80% * (0.985^(COLUMN()-COLUMN($O9))) / SUMPRODUCT(0.985^(COLUMN($O9:$CN9)-COLUMN($O9))))</f>
        <v>25</v>
      </c>
      <c r="AX9" s="61" cm="1">
        <f t="array" ref="AX9">INT($C9 * 80% * (0.985^(COLUMN()-COLUMN($O9))) / SUMPRODUCT(0.985^(COLUMN($O9:$CN9)-COLUMN($O9))))</f>
        <v>25</v>
      </c>
      <c r="AY9" s="61" cm="1">
        <f t="array" ref="AY9">INT($C9 * 80% * (0.985^(COLUMN()-COLUMN($O9))) / SUMPRODUCT(0.985^(COLUMN($O9:$CN9)-COLUMN($O9))))</f>
        <v>24</v>
      </c>
      <c r="AZ9" s="61" cm="1">
        <f t="array" ref="AZ9">INT($C9 * 80% * (0.985^(COLUMN()-COLUMN($O9))) / SUMPRODUCT(0.985^(COLUMN($O9:$CN9)-COLUMN($O9))))</f>
        <v>24</v>
      </c>
      <c r="BA9" s="61" cm="1">
        <f t="array" ref="BA9">INT($C9 * 80% * (0.985^(COLUMN()-COLUMN($O9))) / SUMPRODUCT(0.985^(COLUMN($O9:$CN9)-COLUMN($O9))))</f>
        <v>24</v>
      </c>
      <c r="BB9" s="61" cm="1">
        <f t="array" ref="BB9">INT($C9 * 80% * (0.985^(COLUMN()-COLUMN($O9))) / SUMPRODUCT(0.985^(COLUMN($O9:$CN9)-COLUMN($O9))))</f>
        <v>23</v>
      </c>
      <c r="BC9" s="61" cm="1">
        <f t="array" ref="BC9">INT($C9 * 80% * (0.985^(COLUMN()-COLUMN($O9))) / SUMPRODUCT(0.985^(COLUMN($O9:$CN9)-COLUMN($O9))))</f>
        <v>23</v>
      </c>
      <c r="BD9" s="61" cm="1">
        <f t="array" ref="BD9">INT($C9 * 80% * (0.985^(COLUMN()-COLUMN($O9))) / SUMPRODUCT(0.985^(COLUMN($O9:$CN9)-COLUMN($O9))))</f>
        <v>22</v>
      </c>
      <c r="BE9" s="61" cm="1">
        <f t="array" ref="BE9">INT($C9 * 80% * (0.985^(COLUMN()-COLUMN($O9))) / SUMPRODUCT(0.985^(COLUMN($O9:$CN9)-COLUMN($O9))))</f>
        <v>22</v>
      </c>
      <c r="BF9" s="61" cm="1">
        <f t="array" ref="BF9">INT($C9 * 80% * (0.985^(COLUMN()-COLUMN($O9))) / SUMPRODUCT(0.985^(COLUMN($O9:$CN9)-COLUMN($O9))))</f>
        <v>22</v>
      </c>
      <c r="BG9" s="61" cm="1">
        <f t="array" ref="BG9">INT($C9 * 80% * (0.985^(COLUMN()-COLUMN($O9))) / SUMPRODUCT(0.985^(COLUMN($O9:$CN9)-COLUMN($O9))))</f>
        <v>21</v>
      </c>
      <c r="BH9" s="61" cm="1">
        <f t="array" ref="BH9">INT($C9 * 80% * (0.985^(COLUMN()-COLUMN($O9))) / SUMPRODUCT(0.985^(COLUMN($O9:$CN9)-COLUMN($O9))))</f>
        <v>21</v>
      </c>
      <c r="BI9" s="61" cm="1">
        <f t="array" ref="BI9">INT($C9 * 80% * (0.985^(COLUMN()-COLUMN($O9))) / SUMPRODUCT(0.985^(COLUMN($O9:$CN9)-COLUMN($O9))))</f>
        <v>21</v>
      </c>
      <c r="BJ9" s="61" cm="1">
        <f t="array" ref="BJ9">INT($C9 * 80% * (0.985^(COLUMN()-COLUMN($O9))) / SUMPRODUCT(0.985^(COLUMN($O9:$CN9)-COLUMN($O9))))</f>
        <v>20</v>
      </c>
      <c r="BK9" s="61" cm="1">
        <f t="array" ref="BK9">INT($C9 * 80% * (0.985^(COLUMN()-COLUMN($O9))) / SUMPRODUCT(0.985^(COLUMN($O9:$CN9)-COLUMN($O9))))</f>
        <v>20</v>
      </c>
      <c r="BL9" s="61" cm="1">
        <f t="array" ref="BL9">INT($C9 * 80% * (0.985^(COLUMN()-COLUMN($O9))) / SUMPRODUCT(0.985^(COLUMN($O9:$CN9)-COLUMN($O9))))</f>
        <v>20</v>
      </c>
      <c r="BM9" s="61" cm="1">
        <f t="array" ref="BM9">INT($C9 * 80% * (0.985^(COLUMN()-COLUMN($O9))) / SUMPRODUCT(0.985^(COLUMN($O9:$CN9)-COLUMN($O9))))</f>
        <v>20</v>
      </c>
      <c r="BN9" s="61" cm="1">
        <f t="array" ref="BN9">INT($C9 * 80% * (0.985^(COLUMN()-COLUMN($O9))) / SUMPRODUCT(0.985^(COLUMN($O9:$CN9)-COLUMN($O9))))</f>
        <v>19</v>
      </c>
      <c r="BO9" s="61" cm="1">
        <f t="array" ref="BO9">INT($C9 * 80% * (0.985^(COLUMN()-COLUMN($O9))) / SUMPRODUCT(0.985^(COLUMN($O9:$CN9)-COLUMN($O9))))</f>
        <v>19</v>
      </c>
      <c r="BP9" s="61" cm="1">
        <f t="array" ref="BP9">INT($C9 * 80% * (0.985^(COLUMN()-COLUMN($O9))) / SUMPRODUCT(0.985^(COLUMN($O9:$CN9)-COLUMN($O9))))</f>
        <v>19</v>
      </c>
      <c r="BQ9" s="61" cm="1">
        <f t="array" ref="BQ9">INT($C9 * 80% * (0.985^(COLUMN()-COLUMN($O9))) / SUMPRODUCT(0.985^(COLUMN($O9:$CN9)-COLUMN($O9))))</f>
        <v>18</v>
      </c>
      <c r="BR9" s="61" cm="1">
        <f t="array" ref="BR9">INT($C9 * 80% * (0.985^(COLUMN()-COLUMN($O9))) / SUMPRODUCT(0.985^(COLUMN($O9:$CN9)-COLUMN($O9))))</f>
        <v>18</v>
      </c>
      <c r="BS9" s="61" cm="1">
        <f t="array" ref="BS9">INT($C9 * 80% * (0.985^(COLUMN()-COLUMN($O9))) / SUMPRODUCT(0.985^(COLUMN($O9:$CN9)-COLUMN($O9))))</f>
        <v>18</v>
      </c>
      <c r="BT9" s="61" cm="1">
        <f t="array" ref="BT9">INT($C9 * 80% * (0.985^(COLUMN()-COLUMN($O9))) / SUMPRODUCT(0.985^(COLUMN($O9:$CN9)-COLUMN($O9))))</f>
        <v>18</v>
      </c>
      <c r="BU9" s="61" cm="1">
        <f t="array" ref="BU9">INT($C9 * 80% * (0.985^(COLUMN()-COLUMN($O9))) / SUMPRODUCT(0.985^(COLUMN($O9:$CN9)-COLUMN($O9))))</f>
        <v>17</v>
      </c>
      <c r="BV9" s="61" cm="1">
        <f t="array" ref="BV9">INT($C9 * 80% * (0.985^(COLUMN()-COLUMN($O9))) / SUMPRODUCT(0.985^(COLUMN($O9:$CN9)-COLUMN($O9))))</f>
        <v>17</v>
      </c>
      <c r="BW9" s="61" cm="1">
        <f t="array" ref="BW9">INT($C9 * 80% * (0.985^(COLUMN()-COLUMN($O9))) / SUMPRODUCT(0.985^(COLUMN($O9:$CN9)-COLUMN($O9))))</f>
        <v>17</v>
      </c>
      <c r="BX9" s="61" cm="1">
        <f t="array" ref="BX9">INT($C9 * 80% * (0.985^(COLUMN()-COLUMN($O9))) / SUMPRODUCT(0.985^(COLUMN($O9:$CN9)-COLUMN($O9))))</f>
        <v>16</v>
      </c>
      <c r="BY9" s="61" cm="1">
        <f t="array" ref="BY9">INT($C9 * 80% * (0.985^(COLUMN()-COLUMN($O9))) / SUMPRODUCT(0.985^(COLUMN($O9:$CN9)-COLUMN($O9))))</f>
        <v>16</v>
      </c>
      <c r="BZ9" s="61" cm="1">
        <f t="array" ref="BZ9">INT($C9 * 80% * (0.985^(COLUMN()-COLUMN($O9))) / SUMPRODUCT(0.985^(COLUMN($O9:$CN9)-COLUMN($O9))))</f>
        <v>16</v>
      </c>
      <c r="CA9" s="61" cm="1">
        <f t="array" ref="CA9">INT($C9 * 80% * (0.985^(COLUMN()-COLUMN($O9))) / SUMPRODUCT(0.985^(COLUMN($O9:$CN9)-COLUMN($O9))))</f>
        <v>16</v>
      </c>
      <c r="CB9" s="61" cm="1">
        <f t="array" ref="CB9">INT($C9 * 80% * (0.985^(COLUMN()-COLUMN($O9))) / SUMPRODUCT(0.985^(COLUMN($O9:$CN9)-COLUMN($O9))))</f>
        <v>15</v>
      </c>
      <c r="CC9" s="61" cm="1">
        <f t="array" ref="CC9">INT($C9 * 80% * (0.985^(COLUMN()-COLUMN($O9))) / SUMPRODUCT(0.985^(COLUMN($O9:$CN9)-COLUMN($O9))))</f>
        <v>15</v>
      </c>
      <c r="CD9" s="61" cm="1">
        <f t="array" ref="CD9">INT($C9 * 80% * (0.985^(COLUMN()-COLUMN($O9))) / SUMPRODUCT(0.985^(COLUMN($O9:$CN9)-COLUMN($O9))))</f>
        <v>15</v>
      </c>
      <c r="CE9" s="61" cm="1">
        <f t="array" ref="CE9">INT($C9 * 80% * (0.985^(COLUMN()-COLUMN($O9))) / SUMPRODUCT(0.985^(COLUMN($O9:$CN9)-COLUMN($O9))))</f>
        <v>15</v>
      </c>
      <c r="CF9" s="61" cm="1">
        <f t="array" ref="CF9">INT($C9 * 80% * (0.985^(COLUMN()-COLUMN($O9))) / SUMPRODUCT(0.985^(COLUMN($O9:$CN9)-COLUMN($O9))))</f>
        <v>15</v>
      </c>
      <c r="CG9" s="61" cm="1">
        <f t="array" ref="CG9">INT($C9 * 80% * (0.985^(COLUMN()-COLUMN($O9))) / SUMPRODUCT(0.985^(COLUMN($O9:$CN9)-COLUMN($O9))))</f>
        <v>14</v>
      </c>
      <c r="CH9" s="61" cm="1">
        <f t="array" ref="CH9">INT($C9 * 80% * (0.985^(COLUMN()-COLUMN($O9))) / SUMPRODUCT(0.985^(COLUMN($O9:$CN9)-COLUMN($O9))))</f>
        <v>14</v>
      </c>
      <c r="CI9" s="61" cm="1">
        <f t="array" ref="CI9">INT($C9 * 80% * (0.985^(COLUMN()-COLUMN($O9))) / SUMPRODUCT(0.985^(COLUMN($O9:$CN9)-COLUMN($O9))))</f>
        <v>14</v>
      </c>
      <c r="CJ9" s="61" cm="1">
        <f t="array" ref="CJ9">INT($C9 * 80% * (0.985^(COLUMN()-COLUMN($O9))) / SUMPRODUCT(0.985^(COLUMN($O9:$CN9)-COLUMN($O9))))</f>
        <v>14</v>
      </c>
      <c r="CK9" s="61" cm="1">
        <f t="array" ref="CK9">INT($C9 * 80% * (0.985^(COLUMN()-COLUMN($O9))) / SUMPRODUCT(0.985^(COLUMN($O9:$CN9)-COLUMN($O9))))</f>
        <v>13</v>
      </c>
      <c r="CL9" s="61" cm="1">
        <f t="array" ref="CL9">INT($C9 * 80% * (0.985^(COLUMN()-COLUMN($O9))) / SUMPRODUCT(0.985^(COLUMN($O9:$CN9)-COLUMN($O9))))</f>
        <v>13</v>
      </c>
      <c r="CM9" s="61" cm="1">
        <f t="array" ref="CM9">INT($C9 * 80% * (0.985^(COLUMN()-COLUMN($O9))) / SUMPRODUCT(0.985^(COLUMN($O9:$CN9)-COLUMN($O9))))</f>
        <v>13</v>
      </c>
      <c r="CN9" s="61" cm="1">
        <f t="array" ref="CN9">INT($C9 * 80% * (0.985^(COLUMN()-COLUMN($O9))) / SUMPRODUCT(0.985^(COLUMN($O9:$CN9)-COLUMN($O9))))</f>
        <v>13</v>
      </c>
    </row>
    <row r="10" spans="2:94" x14ac:dyDescent="0.25">
      <c r="B10" t="s">
        <v>66</v>
      </c>
      <c r="C10">
        <v>10091</v>
      </c>
      <c r="D10">
        <f t="shared" si="0"/>
        <v>0</v>
      </c>
      <c r="E10" s="61"/>
      <c r="F10" s="61"/>
      <c r="G10" s="61"/>
      <c r="H10" s="61"/>
      <c r="I10" s="61">
        <v>0</v>
      </c>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v>10091</v>
      </c>
    </row>
    <row r="11" spans="2:94" x14ac:dyDescent="0.25">
      <c r="B11" t="s">
        <v>77</v>
      </c>
      <c r="C11">
        <v>20480</v>
      </c>
      <c r="D11">
        <f t="shared" si="0"/>
        <v>0</v>
      </c>
      <c r="E11" s="61">
        <f t="shared" si="2"/>
        <v>409</v>
      </c>
      <c r="F11" s="61">
        <f t="shared" si="1"/>
        <v>409</v>
      </c>
      <c r="G11" s="61">
        <f t="shared" si="1"/>
        <v>409</v>
      </c>
      <c r="H11" s="61">
        <f t="shared" si="1"/>
        <v>409</v>
      </c>
      <c r="I11" s="61">
        <v>455</v>
      </c>
      <c r="J11" s="61">
        <f t="shared" si="1"/>
        <v>409</v>
      </c>
      <c r="K11" s="61">
        <f t="shared" si="1"/>
        <v>409</v>
      </c>
      <c r="L11" s="61">
        <f t="shared" si="1"/>
        <v>409</v>
      </c>
      <c r="M11" s="61">
        <f t="shared" si="1"/>
        <v>409</v>
      </c>
      <c r="N11" s="61">
        <f t="shared" si="1"/>
        <v>409</v>
      </c>
      <c r="O11" s="61" cm="1">
        <f t="array" ref="O11">INT($C11 * 80% * (0.985^(COLUMN()-COLUMN($O11))) / SUMPRODUCT(0.985^(COLUMN($O11:$CN11)-COLUMN($O11))))</f>
        <v>354</v>
      </c>
      <c r="P11" s="61" cm="1">
        <f t="array" ref="P11">INT($C11 * 80% * (0.985^(COLUMN()-COLUMN($O11))) / SUMPRODUCT(0.985^(COLUMN($O11:$CN11)-COLUMN($O11))))</f>
        <v>349</v>
      </c>
      <c r="Q11" s="61" cm="1">
        <f t="array" ref="Q11">INT($C11 * 80% * (0.985^(COLUMN()-COLUMN($O11))) / SUMPRODUCT(0.985^(COLUMN($O11:$CN11)-COLUMN($O11))))</f>
        <v>344</v>
      </c>
      <c r="R11" s="61" cm="1">
        <f t="array" ref="R11">INT($C11 * 80% * (0.985^(COLUMN()-COLUMN($O11))) / SUMPRODUCT(0.985^(COLUMN($O11:$CN11)-COLUMN($O11))))</f>
        <v>339</v>
      </c>
      <c r="S11" s="61" cm="1">
        <f t="array" ref="S11">INT($C11 * 80% * (0.985^(COLUMN()-COLUMN($O11))) / SUMPRODUCT(0.985^(COLUMN($O11:$CN11)-COLUMN($O11))))</f>
        <v>334</v>
      </c>
      <c r="T11" s="61" cm="1">
        <f t="array" ref="T11">INT($C11 * 80% * (0.985^(COLUMN()-COLUMN($O11))) / SUMPRODUCT(0.985^(COLUMN($O11:$CN11)-COLUMN($O11))))</f>
        <v>329</v>
      </c>
      <c r="U11" s="61" cm="1">
        <f t="array" ref="U11">INT($C11 * 80% * (0.985^(COLUMN()-COLUMN($O11))) / SUMPRODUCT(0.985^(COLUMN($O11:$CN11)-COLUMN($O11))))</f>
        <v>324</v>
      </c>
      <c r="V11" s="61" cm="1">
        <f t="array" ref="V11">INT($C11 * 80% * (0.985^(COLUMN()-COLUMN($O11))) / SUMPRODUCT(0.985^(COLUMN($O11:$CN11)-COLUMN($O11))))</f>
        <v>319</v>
      </c>
      <c r="W11" s="61" cm="1">
        <f t="array" ref="W11">INT($C11 * 80% * (0.985^(COLUMN()-COLUMN($O11))) / SUMPRODUCT(0.985^(COLUMN($O11:$CN11)-COLUMN($O11))))</f>
        <v>314</v>
      </c>
      <c r="X11" s="61" cm="1">
        <f t="array" ref="X11">INT($C11 * 80% * (0.985^(COLUMN()-COLUMN($O11))) / SUMPRODUCT(0.985^(COLUMN($O11:$CN11)-COLUMN($O11))))</f>
        <v>309</v>
      </c>
      <c r="Y11" s="61" cm="1">
        <f t="array" ref="Y11">INT($C11 * 80% * (0.985^(COLUMN()-COLUMN($O11))) / SUMPRODUCT(0.985^(COLUMN($O11:$CN11)-COLUMN($O11))))</f>
        <v>305</v>
      </c>
      <c r="Z11" s="61" cm="1">
        <f t="array" ref="Z11">INT($C11 * 80% * (0.985^(COLUMN()-COLUMN($O11))) / SUMPRODUCT(0.985^(COLUMN($O11:$CN11)-COLUMN($O11))))</f>
        <v>300</v>
      </c>
      <c r="AA11" s="61" cm="1">
        <f t="array" ref="AA11">INT($C11 * 80% * (0.985^(COLUMN()-COLUMN($O11))) / SUMPRODUCT(0.985^(COLUMN($O11:$CN11)-COLUMN($O11))))</f>
        <v>296</v>
      </c>
      <c r="AB11" s="61" cm="1">
        <f t="array" ref="AB11">INT($C11 * 80% * (0.985^(COLUMN()-COLUMN($O11))) / SUMPRODUCT(0.985^(COLUMN($O11:$CN11)-COLUMN($O11))))</f>
        <v>291</v>
      </c>
      <c r="AC11" s="61" cm="1">
        <f t="array" ref="AC11">INT($C11 * 80% * (0.985^(COLUMN()-COLUMN($O11))) / SUMPRODUCT(0.985^(COLUMN($O11:$CN11)-COLUMN($O11))))</f>
        <v>287</v>
      </c>
      <c r="AD11" s="61" cm="1">
        <f t="array" ref="AD11">INT($C11 * 80% * (0.985^(COLUMN()-COLUMN($O11))) / SUMPRODUCT(0.985^(COLUMN($O11:$CN11)-COLUMN($O11))))</f>
        <v>282</v>
      </c>
      <c r="AE11" s="61" cm="1">
        <f t="array" ref="AE11">INT($C11 * 80% * (0.985^(COLUMN()-COLUMN($O11))) / SUMPRODUCT(0.985^(COLUMN($O11:$CN11)-COLUMN($O11))))</f>
        <v>278</v>
      </c>
      <c r="AF11" s="61" cm="1">
        <f t="array" ref="AF11">INT($C11 * 80% * (0.985^(COLUMN()-COLUMN($O11))) / SUMPRODUCT(0.985^(COLUMN($O11:$CN11)-COLUMN($O11))))</f>
        <v>274</v>
      </c>
      <c r="AG11" s="61" cm="1">
        <f t="array" ref="AG11">INT($C11 * 80% * (0.985^(COLUMN()-COLUMN($O11))) / SUMPRODUCT(0.985^(COLUMN($O11:$CN11)-COLUMN($O11))))</f>
        <v>270</v>
      </c>
      <c r="AH11" s="61" cm="1">
        <f t="array" ref="AH11">INT($C11 * 80% * (0.985^(COLUMN()-COLUMN($O11))) / SUMPRODUCT(0.985^(COLUMN($O11:$CN11)-COLUMN($O11))))</f>
        <v>266</v>
      </c>
      <c r="AI11" s="61" cm="1">
        <f t="array" ref="AI11">INT($C11 * 80% * (0.985^(COLUMN()-COLUMN($O11))) / SUMPRODUCT(0.985^(COLUMN($O11:$CN11)-COLUMN($O11))))</f>
        <v>262</v>
      </c>
      <c r="AJ11" s="61" cm="1">
        <f t="array" ref="AJ11">INT($C11 * 80% * (0.985^(COLUMN()-COLUMN($O11))) / SUMPRODUCT(0.985^(COLUMN($O11:$CN11)-COLUMN($O11))))</f>
        <v>258</v>
      </c>
      <c r="AK11" s="61" cm="1">
        <f t="array" ref="AK11">INT($C11 * 80% * (0.985^(COLUMN()-COLUMN($O11))) / SUMPRODUCT(0.985^(COLUMN($O11:$CN11)-COLUMN($O11))))</f>
        <v>254</v>
      </c>
      <c r="AL11" s="61" cm="1">
        <f t="array" ref="AL11">INT($C11 * 80% * (0.985^(COLUMN()-COLUMN($O11))) / SUMPRODUCT(0.985^(COLUMN($O11:$CN11)-COLUMN($O11))))</f>
        <v>250</v>
      </c>
      <c r="AM11" s="61" cm="1">
        <f t="array" ref="AM11">INT($C11 * 80% * (0.985^(COLUMN()-COLUMN($O11))) / SUMPRODUCT(0.985^(COLUMN($O11:$CN11)-COLUMN($O11))))</f>
        <v>246</v>
      </c>
      <c r="AN11" s="61" cm="1">
        <f t="array" ref="AN11">INT($C11 * 80% * (0.985^(COLUMN()-COLUMN($O11))) / SUMPRODUCT(0.985^(COLUMN($O11:$CN11)-COLUMN($O11))))</f>
        <v>243</v>
      </c>
      <c r="AO11" s="61" cm="1">
        <f t="array" ref="AO11">INT($C11 * 80% * (0.985^(COLUMN()-COLUMN($O11))) / SUMPRODUCT(0.985^(COLUMN($O11:$CN11)-COLUMN($O11))))</f>
        <v>239</v>
      </c>
      <c r="AP11" s="61" cm="1">
        <f t="array" ref="AP11">INT($C11 * 80% * (0.985^(COLUMN()-COLUMN($O11))) / SUMPRODUCT(0.985^(COLUMN($O11:$CN11)-COLUMN($O11))))</f>
        <v>236</v>
      </c>
      <c r="AQ11" s="61" cm="1">
        <f t="array" ref="AQ11">INT($C11 * 80% * (0.985^(COLUMN()-COLUMN($O11))) / SUMPRODUCT(0.985^(COLUMN($O11:$CN11)-COLUMN($O11))))</f>
        <v>232</v>
      </c>
      <c r="AR11" s="61" cm="1">
        <f t="array" ref="AR11">INT($C11 * 80% * (0.985^(COLUMN()-COLUMN($O11))) / SUMPRODUCT(0.985^(COLUMN($O11:$CN11)-COLUMN($O11))))</f>
        <v>228</v>
      </c>
      <c r="AS11" s="61" cm="1">
        <f t="array" ref="AS11">INT($C11 * 80% * (0.985^(COLUMN()-COLUMN($O11))) / SUMPRODUCT(0.985^(COLUMN($O11:$CN11)-COLUMN($O11))))</f>
        <v>225</v>
      </c>
      <c r="AT11" s="61" cm="1">
        <f t="array" ref="AT11">INT($C11 * 80% * (0.985^(COLUMN()-COLUMN($O11))) / SUMPRODUCT(0.985^(COLUMN($O11:$CN11)-COLUMN($O11))))</f>
        <v>222</v>
      </c>
      <c r="AU11" s="61" cm="1">
        <f t="array" ref="AU11">INT($C11 * 80% * (0.985^(COLUMN()-COLUMN($O11))) / SUMPRODUCT(0.985^(COLUMN($O11:$CN11)-COLUMN($O11))))</f>
        <v>218</v>
      </c>
      <c r="AV11" s="61" cm="1">
        <f t="array" ref="AV11">INT($C11 * 80% * (0.985^(COLUMN()-COLUMN($O11))) / SUMPRODUCT(0.985^(COLUMN($O11:$CN11)-COLUMN($O11))))</f>
        <v>215</v>
      </c>
      <c r="AW11" s="61" cm="1">
        <f t="array" ref="AW11">INT($C11 * 80% * (0.985^(COLUMN()-COLUMN($O11))) / SUMPRODUCT(0.985^(COLUMN($O11:$CN11)-COLUMN($O11))))</f>
        <v>212</v>
      </c>
      <c r="AX11" s="61" cm="1">
        <f t="array" ref="AX11">INT($C11 * 80% * (0.985^(COLUMN()-COLUMN($O11))) / SUMPRODUCT(0.985^(COLUMN($O11:$CN11)-COLUMN($O11))))</f>
        <v>209</v>
      </c>
      <c r="AY11" s="61" cm="1">
        <f t="array" ref="AY11">INT($C11 * 80% * (0.985^(COLUMN()-COLUMN($O11))) / SUMPRODUCT(0.985^(COLUMN($O11:$CN11)-COLUMN($O11))))</f>
        <v>206</v>
      </c>
      <c r="AZ11" s="61" cm="1">
        <f t="array" ref="AZ11">INT($C11 * 80% * (0.985^(COLUMN()-COLUMN($O11))) / SUMPRODUCT(0.985^(COLUMN($O11:$CN11)-COLUMN($O11))))</f>
        <v>202</v>
      </c>
      <c r="BA11" s="61" cm="1">
        <f t="array" ref="BA11">INT($C11 * 80% * (0.985^(COLUMN()-COLUMN($O11))) / SUMPRODUCT(0.985^(COLUMN($O11:$CN11)-COLUMN($O11))))</f>
        <v>199</v>
      </c>
      <c r="BB11" s="61" cm="1">
        <f t="array" ref="BB11">INT($C11 * 80% * (0.985^(COLUMN()-COLUMN($O11))) / SUMPRODUCT(0.985^(COLUMN($O11:$CN11)-COLUMN($O11))))</f>
        <v>196</v>
      </c>
      <c r="BC11" s="61" cm="1">
        <f t="array" ref="BC11">INT($C11 * 80% * (0.985^(COLUMN()-COLUMN($O11))) / SUMPRODUCT(0.985^(COLUMN($O11:$CN11)-COLUMN($O11))))</f>
        <v>193</v>
      </c>
      <c r="BD11" s="61" cm="1">
        <f t="array" ref="BD11">INT($C11 * 80% * (0.985^(COLUMN()-COLUMN($O11))) / SUMPRODUCT(0.985^(COLUMN($O11:$CN11)-COLUMN($O11))))</f>
        <v>191</v>
      </c>
      <c r="BE11" s="61" cm="1">
        <f t="array" ref="BE11">INT($C11 * 80% * (0.985^(COLUMN()-COLUMN($O11))) / SUMPRODUCT(0.985^(COLUMN($O11:$CN11)-COLUMN($O11))))</f>
        <v>188</v>
      </c>
      <c r="BF11" s="61" cm="1">
        <f t="array" ref="BF11">INT($C11 * 80% * (0.985^(COLUMN()-COLUMN($O11))) / SUMPRODUCT(0.985^(COLUMN($O11:$CN11)-COLUMN($O11))))</f>
        <v>185</v>
      </c>
      <c r="BG11" s="61" cm="1">
        <f t="array" ref="BG11">INT($C11 * 80% * (0.985^(COLUMN()-COLUMN($O11))) / SUMPRODUCT(0.985^(COLUMN($O11:$CN11)-COLUMN($O11))))</f>
        <v>182</v>
      </c>
      <c r="BH11" s="61" cm="1">
        <f t="array" ref="BH11">INT($C11 * 80% * (0.985^(COLUMN()-COLUMN($O11))) / SUMPRODUCT(0.985^(COLUMN($O11:$CN11)-COLUMN($O11))))</f>
        <v>179</v>
      </c>
      <c r="BI11" s="61" cm="1">
        <f t="array" ref="BI11">INT($C11 * 80% * (0.985^(COLUMN()-COLUMN($O11))) / SUMPRODUCT(0.985^(COLUMN($O11:$CN11)-COLUMN($O11))))</f>
        <v>177</v>
      </c>
      <c r="BJ11" s="61" cm="1">
        <f t="array" ref="BJ11">INT($C11 * 80% * (0.985^(COLUMN()-COLUMN($O11))) / SUMPRODUCT(0.985^(COLUMN($O11:$CN11)-COLUMN($O11))))</f>
        <v>174</v>
      </c>
      <c r="BK11" s="61" cm="1">
        <f t="array" ref="BK11">INT($C11 * 80% * (0.985^(COLUMN()-COLUMN($O11))) / SUMPRODUCT(0.985^(COLUMN($O11:$CN11)-COLUMN($O11))))</f>
        <v>171</v>
      </c>
      <c r="BL11" s="61" cm="1">
        <f t="array" ref="BL11">INT($C11 * 80% * (0.985^(COLUMN()-COLUMN($O11))) / SUMPRODUCT(0.985^(COLUMN($O11:$CN11)-COLUMN($O11))))</f>
        <v>169</v>
      </c>
      <c r="BM11" s="61" cm="1">
        <f t="array" ref="BM11">INT($C11 * 80% * (0.985^(COLUMN()-COLUMN($O11))) / SUMPRODUCT(0.985^(COLUMN($O11:$CN11)-COLUMN($O11))))</f>
        <v>166</v>
      </c>
      <c r="BN11" s="61" cm="1">
        <f t="array" ref="BN11">INT($C11 * 80% * (0.985^(COLUMN()-COLUMN($O11))) / SUMPRODUCT(0.985^(COLUMN($O11:$CN11)-COLUMN($O11))))</f>
        <v>164</v>
      </c>
      <c r="BO11" s="61" cm="1">
        <f t="array" ref="BO11">INT($C11 * 80% * (0.985^(COLUMN()-COLUMN($O11))) / SUMPRODUCT(0.985^(COLUMN($O11:$CN11)-COLUMN($O11))))</f>
        <v>161</v>
      </c>
      <c r="BP11" s="61" cm="1">
        <f t="array" ref="BP11">INT($C11 * 80% * (0.985^(COLUMN()-COLUMN($O11))) / SUMPRODUCT(0.985^(COLUMN($O11:$CN11)-COLUMN($O11))))</f>
        <v>159</v>
      </c>
      <c r="BQ11" s="61" cm="1">
        <f t="array" ref="BQ11">INT($C11 * 80% * (0.985^(COLUMN()-COLUMN($O11))) / SUMPRODUCT(0.985^(COLUMN($O11:$CN11)-COLUMN($O11))))</f>
        <v>156</v>
      </c>
      <c r="BR11" s="61" cm="1">
        <f t="array" ref="BR11">INT($C11 * 80% * (0.985^(COLUMN()-COLUMN($O11))) / SUMPRODUCT(0.985^(COLUMN($O11:$CN11)-COLUMN($O11))))</f>
        <v>154</v>
      </c>
      <c r="BS11" s="61" cm="1">
        <f t="array" ref="BS11">INT($C11 * 80% * (0.985^(COLUMN()-COLUMN($O11))) / SUMPRODUCT(0.985^(COLUMN($O11:$CN11)-COLUMN($O11))))</f>
        <v>152</v>
      </c>
      <c r="BT11" s="61" cm="1">
        <f t="array" ref="BT11">INT($C11 * 80% * (0.985^(COLUMN()-COLUMN($O11))) / SUMPRODUCT(0.985^(COLUMN($O11:$CN11)-COLUMN($O11))))</f>
        <v>149</v>
      </c>
      <c r="BU11" s="61" cm="1">
        <f t="array" ref="BU11">INT($C11 * 80% * (0.985^(COLUMN()-COLUMN($O11))) / SUMPRODUCT(0.985^(COLUMN($O11:$CN11)-COLUMN($O11))))</f>
        <v>147</v>
      </c>
      <c r="BV11" s="61" cm="1">
        <f t="array" ref="BV11">INT($C11 * 80% * (0.985^(COLUMN()-COLUMN($O11))) / SUMPRODUCT(0.985^(COLUMN($O11:$CN11)-COLUMN($O11))))</f>
        <v>145</v>
      </c>
      <c r="BW11" s="61" cm="1">
        <f t="array" ref="BW11">INT($C11 * 80% * (0.985^(COLUMN()-COLUMN($O11))) / SUMPRODUCT(0.985^(COLUMN($O11:$CN11)-COLUMN($O11))))</f>
        <v>143</v>
      </c>
      <c r="BX11" s="61" cm="1">
        <f t="array" ref="BX11">INT($C11 * 80% * (0.985^(COLUMN()-COLUMN($O11))) / SUMPRODUCT(0.985^(COLUMN($O11:$CN11)-COLUMN($O11))))</f>
        <v>141</v>
      </c>
      <c r="BY11" s="61" cm="1">
        <f t="array" ref="BY11">INT($C11 * 80% * (0.985^(COLUMN()-COLUMN($O11))) / SUMPRODUCT(0.985^(COLUMN($O11:$CN11)-COLUMN($O11))))</f>
        <v>139</v>
      </c>
      <c r="BZ11" s="61" cm="1">
        <f t="array" ref="BZ11">INT($C11 * 80% * (0.985^(COLUMN()-COLUMN($O11))) / SUMPRODUCT(0.985^(COLUMN($O11:$CN11)-COLUMN($O11))))</f>
        <v>136</v>
      </c>
      <c r="CA11" s="61" cm="1">
        <f t="array" ref="CA11">INT($C11 * 80% * (0.985^(COLUMN()-COLUMN($O11))) / SUMPRODUCT(0.985^(COLUMN($O11:$CN11)-COLUMN($O11))))</f>
        <v>134</v>
      </c>
      <c r="CB11" s="61" cm="1">
        <f t="array" ref="CB11">INT($C11 * 80% * (0.985^(COLUMN()-COLUMN($O11))) / SUMPRODUCT(0.985^(COLUMN($O11:$CN11)-COLUMN($O11))))</f>
        <v>132</v>
      </c>
      <c r="CC11" s="61" cm="1">
        <f t="array" ref="CC11">INT($C11 * 80% * (0.985^(COLUMN()-COLUMN($O11))) / SUMPRODUCT(0.985^(COLUMN($O11:$CN11)-COLUMN($O11))))</f>
        <v>130</v>
      </c>
      <c r="CD11" s="61" cm="1">
        <f t="array" ref="CD11">INT($C11 * 80% * (0.985^(COLUMN()-COLUMN($O11))) / SUMPRODUCT(0.985^(COLUMN($O11:$CN11)-COLUMN($O11))))</f>
        <v>128</v>
      </c>
      <c r="CE11" s="61" cm="1">
        <f t="array" ref="CE11">INT($C11 * 80% * (0.985^(COLUMN()-COLUMN($O11))) / SUMPRODUCT(0.985^(COLUMN($O11:$CN11)-COLUMN($O11))))</f>
        <v>127</v>
      </c>
      <c r="CF11" s="61" cm="1">
        <f t="array" ref="CF11">INT($C11 * 80% * (0.985^(COLUMN()-COLUMN($O11))) / SUMPRODUCT(0.985^(COLUMN($O11:$CN11)-COLUMN($O11))))</f>
        <v>125</v>
      </c>
      <c r="CG11" s="61" cm="1">
        <f t="array" ref="CG11">INT($C11 * 80% * (0.985^(COLUMN()-COLUMN($O11))) / SUMPRODUCT(0.985^(COLUMN($O11:$CN11)-COLUMN($O11))))</f>
        <v>123</v>
      </c>
      <c r="CH11" s="61" cm="1">
        <f t="array" ref="CH11">INT($C11 * 80% * (0.985^(COLUMN()-COLUMN($O11))) / SUMPRODUCT(0.985^(COLUMN($O11:$CN11)-COLUMN($O11))))</f>
        <v>121</v>
      </c>
      <c r="CI11" s="61" cm="1">
        <f t="array" ref="CI11">INT($C11 * 80% * (0.985^(COLUMN()-COLUMN($O11))) / SUMPRODUCT(0.985^(COLUMN($O11:$CN11)-COLUMN($O11))))</f>
        <v>119</v>
      </c>
      <c r="CJ11" s="61" cm="1">
        <f t="array" ref="CJ11">INT($C11 * 80% * (0.985^(COLUMN()-COLUMN($O11))) / SUMPRODUCT(0.985^(COLUMN($O11:$CN11)-COLUMN($O11))))</f>
        <v>117</v>
      </c>
      <c r="CK11" s="61" cm="1">
        <f t="array" ref="CK11">INT($C11 * 80% * (0.985^(COLUMN()-COLUMN($O11))) / SUMPRODUCT(0.985^(COLUMN($O11:$CN11)-COLUMN($O11))))</f>
        <v>115</v>
      </c>
      <c r="CL11" s="61" cm="1">
        <f t="array" ref="CL11">INT($C11 * 80% * (0.985^(COLUMN()-COLUMN($O11))) / SUMPRODUCT(0.985^(COLUMN($O11:$CN11)-COLUMN($O11))))</f>
        <v>114</v>
      </c>
      <c r="CM11" s="61" cm="1">
        <f t="array" ref="CM11">INT($C11 * 80% * (0.985^(COLUMN()-COLUMN($O11))) / SUMPRODUCT(0.985^(COLUMN($O11:$CN11)-COLUMN($O11))))</f>
        <v>112</v>
      </c>
      <c r="CN11" s="61" cm="1">
        <f t="array" ref="CN11">INT($C11 * 80% * (0.985^(COLUMN()-COLUMN($O11))) / SUMPRODUCT(0.985^(COLUMN($O11:$CN11)-COLUMN($O11))))</f>
        <v>110</v>
      </c>
    </row>
    <row r="12" spans="2:94" x14ac:dyDescent="0.25">
      <c r="B12" t="s">
        <v>78</v>
      </c>
      <c r="C12">
        <v>443</v>
      </c>
      <c r="D12">
        <f t="shared" si="0"/>
        <v>0</v>
      </c>
      <c r="E12" s="61">
        <v>14</v>
      </c>
      <c r="F12" s="61">
        <v>14</v>
      </c>
      <c r="G12" s="61">
        <v>14</v>
      </c>
      <c r="H12" s="61">
        <v>13</v>
      </c>
      <c r="I12" s="61">
        <v>8</v>
      </c>
      <c r="J12" s="61">
        <f t="shared" si="1"/>
        <v>8</v>
      </c>
      <c r="K12" s="61">
        <f t="shared" si="1"/>
        <v>8</v>
      </c>
      <c r="L12" s="61">
        <f t="shared" si="1"/>
        <v>8</v>
      </c>
      <c r="M12" s="61">
        <f t="shared" si="1"/>
        <v>8</v>
      </c>
      <c r="N12" s="61">
        <f t="shared" si="1"/>
        <v>8</v>
      </c>
      <c r="O12" s="61" cm="1">
        <f t="array" ref="O12">INT($C12 * 80% * (0.985^(COLUMN()-COLUMN($O12))) / SUMPRODUCT(0.985^(COLUMN($O12:$CN12)-COLUMN($O12))))</f>
        <v>7</v>
      </c>
      <c r="P12" s="61" cm="1">
        <f t="array" ref="P12">INT($C12 * 80% * (0.985^(COLUMN()-COLUMN($O12))) / SUMPRODUCT(0.985^(COLUMN($O12:$CN12)-COLUMN($O12))))</f>
        <v>7</v>
      </c>
      <c r="Q12" s="61" cm="1">
        <f t="array" ref="Q12">INT($C12 * 80% * (0.985^(COLUMN()-COLUMN($O12))) / SUMPRODUCT(0.985^(COLUMN($O12:$CN12)-COLUMN($O12))))</f>
        <v>7</v>
      </c>
      <c r="R12" s="61" cm="1">
        <f t="array" ref="R12">INT($C12 * 80% * (0.985^(COLUMN()-COLUMN($O12))) / SUMPRODUCT(0.985^(COLUMN($O12:$CN12)-COLUMN($O12))))</f>
        <v>7</v>
      </c>
      <c r="S12" s="61" cm="1">
        <f t="array" ref="S12">INT($C12 * 80% * (0.985^(COLUMN()-COLUMN($O12))) / SUMPRODUCT(0.985^(COLUMN($O12:$CN12)-COLUMN($O12))))</f>
        <v>7</v>
      </c>
      <c r="T12" s="61" cm="1">
        <f t="array" ref="T12">INT($C12 * 80% * (0.985^(COLUMN()-COLUMN($O12))) / SUMPRODUCT(0.985^(COLUMN($O12:$CN12)-COLUMN($O12))))</f>
        <v>7</v>
      </c>
      <c r="U12" s="61" cm="1">
        <f t="array" ref="U12">INT($C12 * 80% * (0.985^(COLUMN()-COLUMN($O12))) / SUMPRODUCT(0.985^(COLUMN($O12:$CN12)-COLUMN($O12))))</f>
        <v>7</v>
      </c>
      <c r="V12" s="61" cm="1">
        <f t="array" ref="V12">INT($C12 * 80% * (0.985^(COLUMN()-COLUMN($O12))) / SUMPRODUCT(0.985^(COLUMN($O12:$CN12)-COLUMN($O12))))</f>
        <v>6</v>
      </c>
      <c r="W12" s="61" cm="1">
        <f t="array" ref="W12">INT($C12 * 80% * (0.985^(COLUMN()-COLUMN($O12))) / SUMPRODUCT(0.985^(COLUMN($O12:$CN12)-COLUMN($O12))))</f>
        <v>6</v>
      </c>
      <c r="X12" s="61" cm="1">
        <f t="array" ref="X12">INT($C12 * 80% * (0.985^(COLUMN()-COLUMN($O12))) / SUMPRODUCT(0.985^(COLUMN($O12:$CN12)-COLUMN($O12))))</f>
        <v>6</v>
      </c>
      <c r="Y12" s="61" cm="1">
        <f t="array" ref="Y12">INT($C12 * 80% * (0.985^(COLUMN()-COLUMN($O12))) / SUMPRODUCT(0.985^(COLUMN($O12:$CN12)-COLUMN($O12))))</f>
        <v>6</v>
      </c>
      <c r="Z12" s="61" cm="1">
        <f t="array" ref="Z12">INT($C12 * 80% * (0.985^(COLUMN()-COLUMN($O12))) / SUMPRODUCT(0.985^(COLUMN($O12:$CN12)-COLUMN($O12))))</f>
        <v>6</v>
      </c>
      <c r="AA12" s="61" cm="1">
        <f t="array" ref="AA12">INT($C12 * 80% * (0.985^(COLUMN()-COLUMN($O12))) / SUMPRODUCT(0.985^(COLUMN($O12:$CN12)-COLUMN($O12))))</f>
        <v>6</v>
      </c>
      <c r="AB12" s="61" cm="1">
        <f t="array" ref="AB12">INT($C12 * 80% * (0.985^(COLUMN()-COLUMN($O12))) / SUMPRODUCT(0.985^(COLUMN($O12:$CN12)-COLUMN($O12))))</f>
        <v>6</v>
      </c>
      <c r="AC12" s="61" cm="1">
        <f t="array" ref="AC12">INT($C12 * 80% * (0.985^(COLUMN()-COLUMN($O12))) / SUMPRODUCT(0.985^(COLUMN($O12:$CN12)-COLUMN($O12))))</f>
        <v>6</v>
      </c>
      <c r="AD12" s="61" cm="1">
        <f t="array" ref="AD12">INT($C12 * 80% * (0.985^(COLUMN()-COLUMN($O12))) / SUMPRODUCT(0.985^(COLUMN($O12:$CN12)-COLUMN($O12))))</f>
        <v>6</v>
      </c>
      <c r="AE12" s="61" cm="1">
        <f t="array" ref="AE12">INT($C12 * 80% * (0.985^(COLUMN()-COLUMN($O12))) / SUMPRODUCT(0.985^(COLUMN($O12:$CN12)-COLUMN($O12))))</f>
        <v>6</v>
      </c>
      <c r="AF12" s="61" cm="1">
        <f t="array" ref="AF12">INT($C12 * 80% * (0.985^(COLUMN()-COLUMN($O12))) / SUMPRODUCT(0.985^(COLUMN($O12:$CN12)-COLUMN($O12))))</f>
        <v>5</v>
      </c>
      <c r="AG12" s="61" cm="1">
        <f t="array" ref="AG12">INT($C12 * 80% * (0.985^(COLUMN()-COLUMN($O12))) / SUMPRODUCT(0.985^(COLUMN($O12:$CN12)-COLUMN($O12))))</f>
        <v>5</v>
      </c>
      <c r="AH12" s="61" cm="1">
        <f t="array" ref="AH12">INT($C12 * 80% * (0.985^(COLUMN()-COLUMN($O12))) / SUMPRODUCT(0.985^(COLUMN($O12:$CN12)-COLUMN($O12))))</f>
        <v>5</v>
      </c>
      <c r="AI12" s="61" cm="1">
        <f t="array" ref="AI12">INT($C12 * 80% * (0.985^(COLUMN()-COLUMN($O12))) / SUMPRODUCT(0.985^(COLUMN($O12:$CN12)-COLUMN($O12))))</f>
        <v>5</v>
      </c>
      <c r="AJ12" s="61" cm="1">
        <f t="array" ref="AJ12">INT($C12 * 80% * (0.985^(COLUMN()-COLUMN($O12))) / SUMPRODUCT(0.985^(COLUMN($O12:$CN12)-COLUMN($O12))))</f>
        <v>5</v>
      </c>
      <c r="AK12" s="61" cm="1">
        <f t="array" ref="AK12">INT($C12 * 80% * (0.985^(COLUMN()-COLUMN($O12))) / SUMPRODUCT(0.985^(COLUMN($O12:$CN12)-COLUMN($O12))))</f>
        <v>5</v>
      </c>
      <c r="AL12" s="61" cm="1">
        <f t="array" ref="AL12">INT($C12 * 80% * (0.985^(COLUMN()-COLUMN($O12))) / SUMPRODUCT(0.985^(COLUMN($O12:$CN12)-COLUMN($O12))))</f>
        <v>5</v>
      </c>
      <c r="AM12" s="61" cm="1">
        <f t="array" ref="AM12">INT($C12 * 80% * (0.985^(COLUMN()-COLUMN($O12))) / SUMPRODUCT(0.985^(COLUMN($O12:$CN12)-COLUMN($O12))))</f>
        <v>5</v>
      </c>
      <c r="AN12" s="61" cm="1">
        <f t="array" ref="AN12">INT($C12 * 80% * (0.985^(COLUMN()-COLUMN($O12))) / SUMPRODUCT(0.985^(COLUMN($O12:$CN12)-COLUMN($O12))))</f>
        <v>5</v>
      </c>
      <c r="AO12" s="61" cm="1">
        <f t="array" ref="AO12">INT($C12 * 80% * (0.985^(COLUMN()-COLUMN($O12))) / SUMPRODUCT(0.985^(COLUMN($O12:$CN12)-COLUMN($O12))))</f>
        <v>5</v>
      </c>
      <c r="AP12" s="61" cm="1">
        <f t="array" ref="AP12">INT($C12 * 80% * (0.985^(COLUMN()-COLUMN($O12))) / SUMPRODUCT(0.985^(COLUMN($O12:$CN12)-COLUMN($O12))))</f>
        <v>5</v>
      </c>
      <c r="AQ12" s="61" cm="1">
        <f t="array" ref="AQ12">INT($C12 * 80% * (0.985^(COLUMN()-COLUMN($O12))) / SUMPRODUCT(0.985^(COLUMN($O12:$CN12)-COLUMN($O12))))</f>
        <v>5</v>
      </c>
      <c r="AR12" s="61" cm="1">
        <f t="array" ref="AR12">INT($C12 * 80% * (0.985^(COLUMN()-COLUMN($O12))) / SUMPRODUCT(0.985^(COLUMN($O12:$CN12)-COLUMN($O12))))</f>
        <v>4</v>
      </c>
      <c r="AS12" s="61" cm="1">
        <f t="array" ref="AS12">INT($C12 * 80% * (0.985^(COLUMN()-COLUMN($O12))) / SUMPRODUCT(0.985^(COLUMN($O12:$CN12)-COLUMN($O12))))</f>
        <v>4</v>
      </c>
      <c r="AT12" s="61" cm="1">
        <f t="array" ref="AT12">INT($C12 * 80% * (0.985^(COLUMN()-COLUMN($O12))) / SUMPRODUCT(0.985^(COLUMN($O12:$CN12)-COLUMN($O12))))</f>
        <v>4</v>
      </c>
      <c r="AU12" s="61" cm="1">
        <f t="array" ref="AU12">INT($C12 * 80% * (0.985^(COLUMN()-COLUMN($O12))) / SUMPRODUCT(0.985^(COLUMN($O12:$CN12)-COLUMN($O12))))</f>
        <v>4</v>
      </c>
      <c r="AV12" s="61" cm="1">
        <f t="array" ref="AV12">INT($C12 * 80% * (0.985^(COLUMN()-COLUMN($O12))) / SUMPRODUCT(0.985^(COLUMN($O12:$CN12)-COLUMN($O12))))</f>
        <v>4</v>
      </c>
      <c r="AW12" s="61" cm="1">
        <f t="array" ref="AW12">INT($C12 * 80% * (0.985^(COLUMN()-COLUMN($O12))) / SUMPRODUCT(0.985^(COLUMN($O12:$CN12)-COLUMN($O12))))</f>
        <v>4</v>
      </c>
      <c r="AX12" s="61" cm="1">
        <f t="array" ref="AX12">INT($C12 * 80% * (0.985^(COLUMN()-COLUMN($O12))) / SUMPRODUCT(0.985^(COLUMN($O12:$CN12)-COLUMN($O12))))</f>
        <v>4</v>
      </c>
      <c r="AY12" s="61" cm="1">
        <f t="array" ref="AY12">INT($C12 * 80% * (0.985^(COLUMN()-COLUMN($O12))) / SUMPRODUCT(0.985^(COLUMN($O12:$CN12)-COLUMN($O12))))</f>
        <v>4</v>
      </c>
      <c r="AZ12" s="61" cm="1">
        <f t="array" ref="AZ12">INT($C12 * 80% * (0.985^(COLUMN()-COLUMN($O12))) / SUMPRODUCT(0.985^(COLUMN($O12:$CN12)-COLUMN($O12))))</f>
        <v>4</v>
      </c>
      <c r="BA12" s="61" cm="1">
        <f t="array" ref="BA12">INT($C12 * 80% * (0.985^(COLUMN()-COLUMN($O12))) / SUMPRODUCT(0.985^(COLUMN($O12:$CN12)-COLUMN($O12))))</f>
        <v>4</v>
      </c>
      <c r="BB12" s="61" cm="1">
        <f t="array" ref="BB12">INT($C12 * 80% * (0.985^(COLUMN()-COLUMN($O12))) / SUMPRODUCT(0.985^(COLUMN($O12:$CN12)-COLUMN($O12))))</f>
        <v>4</v>
      </c>
      <c r="BC12" s="61" cm="1">
        <f t="array" ref="BC12">INT($C12 * 80% * (0.985^(COLUMN()-COLUMN($O12))) / SUMPRODUCT(0.985^(COLUMN($O12:$CN12)-COLUMN($O12))))</f>
        <v>4</v>
      </c>
      <c r="BD12" s="61" cm="1">
        <f t="array" ref="BD12">INT($C12 * 80% * (0.985^(COLUMN()-COLUMN($O12))) / SUMPRODUCT(0.985^(COLUMN($O12:$CN12)-COLUMN($O12))))</f>
        <v>4</v>
      </c>
      <c r="BE12" s="61" cm="1">
        <f t="array" ref="BE12">INT($C12 * 80% * (0.985^(COLUMN()-COLUMN($O12))) / SUMPRODUCT(0.985^(COLUMN($O12:$CN12)-COLUMN($O12))))</f>
        <v>4</v>
      </c>
      <c r="BF12" s="61" cm="1">
        <f t="array" ref="BF12">INT($C12 * 80% * (0.985^(COLUMN()-COLUMN($O12))) / SUMPRODUCT(0.985^(COLUMN($O12:$CN12)-COLUMN($O12))))</f>
        <v>4</v>
      </c>
      <c r="BG12" s="61" cm="1">
        <f t="array" ref="BG12">INT($C12 * 80% * (0.985^(COLUMN()-COLUMN($O12))) / SUMPRODUCT(0.985^(COLUMN($O12:$CN12)-COLUMN($O12))))</f>
        <v>3</v>
      </c>
      <c r="BH12" s="61" cm="1">
        <f t="array" ref="BH12">INT($C12 * 80% * (0.985^(COLUMN()-COLUMN($O12))) / SUMPRODUCT(0.985^(COLUMN($O12:$CN12)-COLUMN($O12))))</f>
        <v>3</v>
      </c>
      <c r="BI12" s="61" cm="1">
        <f t="array" ref="BI12">INT($C12 * 80% * (0.985^(COLUMN()-COLUMN($O12))) / SUMPRODUCT(0.985^(COLUMN($O12:$CN12)-COLUMN($O12))))</f>
        <v>3</v>
      </c>
      <c r="BJ12" s="61" cm="1">
        <f t="array" ref="BJ12">INT($C12 * 80% * (0.985^(COLUMN()-COLUMN($O12))) / SUMPRODUCT(0.985^(COLUMN($O12:$CN12)-COLUMN($O12))))</f>
        <v>3</v>
      </c>
      <c r="BK12" s="61" cm="1">
        <f t="array" ref="BK12">INT($C12 * 80% * (0.985^(COLUMN()-COLUMN($O12))) / SUMPRODUCT(0.985^(COLUMN($O12:$CN12)-COLUMN($O12))))</f>
        <v>3</v>
      </c>
      <c r="BL12" s="61" cm="1">
        <f t="array" ref="BL12">INT($C12 * 80% * (0.985^(COLUMN()-COLUMN($O12))) / SUMPRODUCT(0.985^(COLUMN($O12:$CN12)-COLUMN($O12))))</f>
        <v>3</v>
      </c>
      <c r="BM12" s="61" cm="1">
        <f t="array" ref="BM12">INT($C12 * 80% * (0.985^(COLUMN()-COLUMN($O12))) / SUMPRODUCT(0.985^(COLUMN($O12:$CN12)-COLUMN($O12))))</f>
        <v>3</v>
      </c>
      <c r="BN12" s="61" cm="1">
        <f t="array" ref="BN12">INT($C12 * 80% * (0.985^(COLUMN()-COLUMN($O12))) / SUMPRODUCT(0.985^(COLUMN($O12:$CN12)-COLUMN($O12))))</f>
        <v>3</v>
      </c>
      <c r="BO12" s="61" cm="1">
        <f t="array" ref="BO12">INT($C12 * 80% * (0.985^(COLUMN()-COLUMN($O12))) / SUMPRODUCT(0.985^(COLUMN($O12:$CN12)-COLUMN($O12))))</f>
        <v>3</v>
      </c>
      <c r="BP12" s="61" cm="1">
        <f t="array" ref="BP12">INT($C12 * 80% * (0.985^(COLUMN()-COLUMN($O12))) / SUMPRODUCT(0.985^(COLUMN($O12:$CN12)-COLUMN($O12))))</f>
        <v>3</v>
      </c>
      <c r="BQ12" s="61" cm="1">
        <f t="array" ref="BQ12">INT($C12 * 80% * (0.985^(COLUMN()-COLUMN($O12))) / SUMPRODUCT(0.985^(COLUMN($O12:$CN12)-COLUMN($O12))))</f>
        <v>3</v>
      </c>
      <c r="BR12" s="61" cm="1">
        <f t="array" ref="BR12">INT($C12 * 80% * (0.985^(COLUMN()-COLUMN($O12))) / SUMPRODUCT(0.985^(COLUMN($O12:$CN12)-COLUMN($O12))))</f>
        <v>3</v>
      </c>
      <c r="BS12" s="61" cm="1">
        <f t="array" ref="BS12">INT($C12 * 80% * (0.985^(COLUMN()-COLUMN($O12))) / SUMPRODUCT(0.985^(COLUMN($O12:$CN12)-COLUMN($O12))))</f>
        <v>3</v>
      </c>
      <c r="BT12" s="61" cm="1">
        <f t="array" ref="BT12">INT($C12 * 80% * (0.985^(COLUMN()-COLUMN($O12))) / SUMPRODUCT(0.985^(COLUMN($O12:$CN12)-COLUMN($O12))))</f>
        <v>3</v>
      </c>
      <c r="BU12" s="61" cm="1">
        <f t="array" ref="BU12">INT($C12 * 80% * (0.985^(COLUMN()-COLUMN($O12))) / SUMPRODUCT(0.985^(COLUMN($O12:$CN12)-COLUMN($O12))))</f>
        <v>3</v>
      </c>
      <c r="BV12" s="61" cm="1">
        <f t="array" ref="BV12">INT($C12 * 80% * (0.985^(COLUMN()-COLUMN($O12))) / SUMPRODUCT(0.985^(COLUMN($O12:$CN12)-COLUMN($O12))))</f>
        <v>3</v>
      </c>
      <c r="BW12" s="61">
        <v>6</v>
      </c>
      <c r="BX12" s="61">
        <v>6</v>
      </c>
      <c r="BY12" s="61" cm="1">
        <f t="array" ref="BY12">INT($C12 * 80% * (0.985^(COLUMN()-COLUMN($O12))) / SUMPRODUCT(0.985^(COLUMN($O12:$CN12)-COLUMN($O12))))</f>
        <v>3</v>
      </c>
      <c r="BZ12" s="61" cm="1">
        <f t="array" ref="BZ12">INT($C12 * 80% * (0.985^(COLUMN()-COLUMN($O12))) / SUMPRODUCT(0.985^(COLUMN($O12:$CN12)-COLUMN($O12))))</f>
        <v>2</v>
      </c>
      <c r="CA12" s="61" cm="1">
        <f t="array" ref="CA12">INT($C12 * 80% * (0.985^(COLUMN()-COLUMN($O12))) / SUMPRODUCT(0.985^(COLUMN($O12:$CN12)-COLUMN($O12))))</f>
        <v>2</v>
      </c>
      <c r="CB12" s="61" cm="1">
        <f t="array" ref="CB12">INT($C12 * 80% * (0.985^(COLUMN()-COLUMN($O12))) / SUMPRODUCT(0.985^(COLUMN($O12:$CN12)-COLUMN($O12))))</f>
        <v>2</v>
      </c>
      <c r="CC12" s="61" cm="1">
        <f t="array" ref="CC12">INT($C12 * 80% * (0.985^(COLUMN()-COLUMN($O12))) / SUMPRODUCT(0.985^(COLUMN($O12:$CN12)-COLUMN($O12))))</f>
        <v>2</v>
      </c>
      <c r="CD12" s="61" cm="1">
        <f t="array" ref="CD12">INT($C12 * 80% * (0.985^(COLUMN()-COLUMN($O12))) / SUMPRODUCT(0.985^(COLUMN($O12:$CN12)-COLUMN($O12))))</f>
        <v>2</v>
      </c>
      <c r="CE12" s="61" cm="1">
        <f t="array" ref="CE12">INT($C12 * 80% * (0.985^(COLUMN()-COLUMN($O12))) / SUMPRODUCT(0.985^(COLUMN($O12:$CN12)-COLUMN($O12))))</f>
        <v>2</v>
      </c>
      <c r="CF12" s="61" cm="1">
        <f t="array" ref="CF12">INT($C12 * 80% * (0.985^(COLUMN()-COLUMN($O12))) / SUMPRODUCT(0.985^(COLUMN($O12:$CN12)-COLUMN($O12))))</f>
        <v>2</v>
      </c>
      <c r="CG12" s="61" cm="1">
        <f t="array" ref="CG12">INT($C12 * 80% * (0.985^(COLUMN()-COLUMN($O12))) / SUMPRODUCT(0.985^(COLUMN($O12:$CN12)-COLUMN($O12))))</f>
        <v>2</v>
      </c>
      <c r="CH12" s="61" cm="1">
        <f t="array" ref="CH12">INT($C12 * 80% * (0.985^(COLUMN()-COLUMN($O12))) / SUMPRODUCT(0.985^(COLUMN($O12:$CN12)-COLUMN($O12))))</f>
        <v>2</v>
      </c>
      <c r="CI12" s="61">
        <v>5</v>
      </c>
      <c r="CJ12" s="61">
        <v>5</v>
      </c>
      <c r="CK12" s="61">
        <v>5</v>
      </c>
      <c r="CL12" s="61">
        <v>5</v>
      </c>
      <c r="CM12" s="61">
        <v>5</v>
      </c>
      <c r="CN12" s="61">
        <v>5</v>
      </c>
    </row>
    <row r="13" spans="2:94" x14ac:dyDescent="0.25">
      <c r="B13" t="s">
        <v>79</v>
      </c>
      <c r="C13">
        <v>311</v>
      </c>
      <c r="D13">
        <f t="shared" si="0"/>
        <v>0</v>
      </c>
      <c r="E13" s="61">
        <v>13</v>
      </c>
      <c r="F13" s="61">
        <v>10</v>
      </c>
      <c r="G13" s="61">
        <v>10</v>
      </c>
      <c r="H13" s="61">
        <v>10</v>
      </c>
      <c r="I13" s="61">
        <v>6</v>
      </c>
      <c r="J13" s="61">
        <f t="shared" si="1"/>
        <v>6</v>
      </c>
      <c r="K13" s="61">
        <f t="shared" si="1"/>
        <v>6</v>
      </c>
      <c r="L13" s="61">
        <f t="shared" si="1"/>
        <v>6</v>
      </c>
      <c r="M13" s="61">
        <f t="shared" si="1"/>
        <v>6</v>
      </c>
      <c r="N13" s="61">
        <f t="shared" si="1"/>
        <v>6</v>
      </c>
      <c r="O13" s="61" cm="1">
        <f t="array" ref="O13">INT($C13 * 80% * (0.985^(COLUMN()-COLUMN($O13))) / SUMPRODUCT(0.985^(COLUMN($O13:$CN13)-COLUMN($O13))))</f>
        <v>5</v>
      </c>
      <c r="P13" s="61" cm="1">
        <f t="array" ref="P13">INT($C13 * 80% * (0.985^(COLUMN()-COLUMN($O13))) / SUMPRODUCT(0.985^(COLUMN($O13:$CN13)-COLUMN($O13))))</f>
        <v>5</v>
      </c>
      <c r="Q13" s="61" cm="1">
        <f t="array" ref="Q13">INT($C13 * 80% * (0.985^(COLUMN()-COLUMN($O13))) / SUMPRODUCT(0.985^(COLUMN($O13:$CN13)-COLUMN($O13))))</f>
        <v>5</v>
      </c>
      <c r="R13" s="61" cm="1">
        <f t="array" ref="R13">INT($C13 * 80% * (0.985^(COLUMN()-COLUMN($O13))) / SUMPRODUCT(0.985^(COLUMN($O13:$CN13)-COLUMN($O13))))</f>
        <v>5</v>
      </c>
      <c r="S13" s="61" cm="1">
        <f t="array" ref="S13">INT($C13 * 80% * (0.985^(COLUMN()-COLUMN($O13))) / SUMPRODUCT(0.985^(COLUMN($O13:$CN13)-COLUMN($O13))))</f>
        <v>5</v>
      </c>
      <c r="T13" s="61" cm="1">
        <f t="array" ref="T13">INT($C13 * 80% * (0.985^(COLUMN()-COLUMN($O13))) / SUMPRODUCT(0.985^(COLUMN($O13:$CN13)-COLUMN($O13))))</f>
        <v>4</v>
      </c>
      <c r="U13" s="61" cm="1">
        <f t="array" ref="U13">INT($C13 * 80% * (0.985^(COLUMN()-COLUMN($O13))) / SUMPRODUCT(0.985^(COLUMN($O13:$CN13)-COLUMN($O13))))</f>
        <v>4</v>
      </c>
      <c r="V13" s="61" cm="1">
        <f t="array" ref="V13">INT($C13 * 80% * (0.985^(COLUMN()-COLUMN($O13))) / SUMPRODUCT(0.985^(COLUMN($O13:$CN13)-COLUMN($O13))))</f>
        <v>4</v>
      </c>
      <c r="W13" s="61" cm="1">
        <f t="array" ref="W13">INT($C13 * 80% * (0.985^(COLUMN()-COLUMN($O13))) / SUMPRODUCT(0.985^(COLUMN($O13:$CN13)-COLUMN($O13))))</f>
        <v>4</v>
      </c>
      <c r="X13" s="61" cm="1">
        <f t="array" ref="X13">INT($C13 * 80% * (0.985^(COLUMN()-COLUMN($O13))) / SUMPRODUCT(0.985^(COLUMN($O13:$CN13)-COLUMN($O13))))</f>
        <v>4</v>
      </c>
      <c r="Y13" s="61" cm="1">
        <f t="array" ref="Y13">INT($C13 * 80% * (0.985^(COLUMN()-COLUMN($O13))) / SUMPRODUCT(0.985^(COLUMN($O13:$CN13)-COLUMN($O13))))</f>
        <v>4</v>
      </c>
      <c r="Z13" s="61" cm="1">
        <f t="array" ref="Z13">INT($C13 * 80% * (0.985^(COLUMN()-COLUMN($O13))) / SUMPRODUCT(0.985^(COLUMN($O13:$CN13)-COLUMN($O13))))</f>
        <v>4</v>
      </c>
      <c r="AA13" s="61" cm="1">
        <f t="array" ref="AA13">INT($C13 * 80% * (0.985^(COLUMN()-COLUMN($O13))) / SUMPRODUCT(0.985^(COLUMN($O13:$CN13)-COLUMN($O13))))</f>
        <v>4</v>
      </c>
      <c r="AB13" s="61" cm="1">
        <f t="array" ref="AB13">INT($C13 * 80% * (0.985^(COLUMN()-COLUMN($O13))) / SUMPRODUCT(0.985^(COLUMN($O13:$CN13)-COLUMN($O13))))</f>
        <v>4</v>
      </c>
      <c r="AC13" s="61" cm="1">
        <f t="array" ref="AC13">INT($C13 * 80% * (0.985^(COLUMN()-COLUMN($O13))) / SUMPRODUCT(0.985^(COLUMN($O13:$CN13)-COLUMN($O13))))</f>
        <v>4</v>
      </c>
      <c r="AD13" s="61" cm="1">
        <f t="array" ref="AD13">INT($C13 * 80% * (0.985^(COLUMN()-COLUMN($O13))) / SUMPRODUCT(0.985^(COLUMN($O13:$CN13)-COLUMN($O13))))</f>
        <v>4</v>
      </c>
      <c r="AE13" s="61" cm="1">
        <f t="array" ref="AE13">INT($C13 * 80% * (0.985^(COLUMN()-COLUMN($O13))) / SUMPRODUCT(0.985^(COLUMN($O13:$CN13)-COLUMN($O13))))</f>
        <v>4</v>
      </c>
      <c r="AF13" s="61" cm="1">
        <f t="array" ref="AF13">INT($C13 * 80% * (0.985^(COLUMN()-COLUMN($O13))) / SUMPRODUCT(0.985^(COLUMN($O13:$CN13)-COLUMN($O13))))</f>
        <v>4</v>
      </c>
      <c r="AG13" s="61" cm="1">
        <f t="array" ref="AG13">INT($C13 * 80% * (0.985^(COLUMN()-COLUMN($O13))) / SUMPRODUCT(0.985^(COLUMN($O13:$CN13)-COLUMN($O13))))</f>
        <v>4</v>
      </c>
      <c r="AH13" s="61" cm="1">
        <f t="array" ref="AH13">INT($C13 * 80% * (0.985^(COLUMN()-COLUMN($O13))) / SUMPRODUCT(0.985^(COLUMN($O13:$CN13)-COLUMN($O13))))</f>
        <v>4</v>
      </c>
      <c r="AI13" s="61" cm="1">
        <f t="array" ref="AI13">INT($C13 * 80% * (0.985^(COLUMN()-COLUMN($O13))) / SUMPRODUCT(0.985^(COLUMN($O13:$CN13)-COLUMN($O13))))</f>
        <v>3</v>
      </c>
      <c r="AJ13" s="61" cm="1">
        <f t="array" ref="AJ13">INT($C13 * 80% * (0.985^(COLUMN()-COLUMN($O13))) / SUMPRODUCT(0.985^(COLUMN($O13:$CN13)-COLUMN($O13))))</f>
        <v>3</v>
      </c>
      <c r="AK13" s="61" cm="1">
        <f t="array" ref="AK13">INT($C13 * 80% * (0.985^(COLUMN()-COLUMN($O13))) / SUMPRODUCT(0.985^(COLUMN($O13:$CN13)-COLUMN($O13))))</f>
        <v>3</v>
      </c>
      <c r="AL13" s="61" cm="1">
        <f t="array" ref="AL13">INT($C13 * 80% * (0.985^(COLUMN()-COLUMN($O13))) / SUMPRODUCT(0.985^(COLUMN($O13:$CN13)-COLUMN($O13))))</f>
        <v>3</v>
      </c>
      <c r="AM13" s="61" cm="1">
        <f t="array" ref="AM13">INT($C13 * 80% * (0.985^(COLUMN()-COLUMN($O13))) / SUMPRODUCT(0.985^(COLUMN($O13:$CN13)-COLUMN($O13))))</f>
        <v>3</v>
      </c>
      <c r="AN13" s="61" cm="1">
        <f t="array" ref="AN13">INT($C13 * 80% * (0.985^(COLUMN()-COLUMN($O13))) / SUMPRODUCT(0.985^(COLUMN($O13:$CN13)-COLUMN($O13))))</f>
        <v>3</v>
      </c>
      <c r="AO13" s="61" cm="1">
        <f t="array" ref="AO13">INT($C13 * 80% * (0.985^(COLUMN()-COLUMN($O13))) / SUMPRODUCT(0.985^(COLUMN($O13:$CN13)-COLUMN($O13))))</f>
        <v>3</v>
      </c>
      <c r="AP13" s="61" cm="1">
        <f t="array" ref="AP13">INT($C13 * 80% * (0.985^(COLUMN()-COLUMN($O13))) / SUMPRODUCT(0.985^(COLUMN($O13:$CN13)-COLUMN($O13))))</f>
        <v>3</v>
      </c>
      <c r="AQ13" s="61" cm="1">
        <f t="array" ref="AQ13">INT($C13 * 80% * (0.985^(COLUMN()-COLUMN($O13))) / SUMPRODUCT(0.985^(COLUMN($O13:$CN13)-COLUMN($O13))))</f>
        <v>3</v>
      </c>
      <c r="AR13" s="61" cm="1">
        <f t="array" ref="AR13">INT($C13 * 80% * (0.985^(COLUMN()-COLUMN($O13))) / SUMPRODUCT(0.985^(COLUMN($O13:$CN13)-COLUMN($O13))))</f>
        <v>3</v>
      </c>
      <c r="AS13" s="61" cm="1">
        <f t="array" ref="AS13">INT($C13 * 80% * (0.985^(COLUMN()-COLUMN($O13))) / SUMPRODUCT(0.985^(COLUMN($O13:$CN13)-COLUMN($O13))))</f>
        <v>3</v>
      </c>
      <c r="AT13" s="61" cm="1">
        <f t="array" ref="AT13">INT($C13 * 80% * (0.985^(COLUMN()-COLUMN($O13))) / SUMPRODUCT(0.985^(COLUMN($O13:$CN13)-COLUMN($O13))))</f>
        <v>3</v>
      </c>
      <c r="AU13" s="61" cm="1">
        <f t="array" ref="AU13">INT($C13 * 80% * (0.985^(COLUMN()-COLUMN($O13))) / SUMPRODUCT(0.985^(COLUMN($O13:$CN13)-COLUMN($O13))))</f>
        <v>3</v>
      </c>
      <c r="AV13" s="61" cm="1">
        <f t="array" ref="AV13">INT($C13 * 80% * (0.985^(COLUMN()-COLUMN($O13))) / SUMPRODUCT(0.985^(COLUMN($O13:$CN13)-COLUMN($O13))))</f>
        <v>3</v>
      </c>
      <c r="AW13" s="61" cm="1">
        <f t="array" ref="AW13">INT($C13 * 80% * (0.985^(COLUMN()-COLUMN($O13))) / SUMPRODUCT(0.985^(COLUMN($O13:$CN13)-COLUMN($O13))))</f>
        <v>3</v>
      </c>
      <c r="AX13" s="61" cm="1">
        <f t="array" ref="AX13">INT($C13 * 80% * (0.985^(COLUMN()-COLUMN($O13))) / SUMPRODUCT(0.985^(COLUMN($O13:$CN13)-COLUMN($O13))))</f>
        <v>3</v>
      </c>
      <c r="AY13" s="61" cm="1">
        <f t="array" ref="AY13">INT($C13 * 80% * (0.985^(COLUMN()-COLUMN($O13))) / SUMPRODUCT(0.985^(COLUMN($O13:$CN13)-COLUMN($O13))))</f>
        <v>3</v>
      </c>
      <c r="AZ13" s="61" cm="1">
        <f t="array" ref="AZ13">INT($C13 * 80% * (0.985^(COLUMN()-COLUMN($O13))) / SUMPRODUCT(0.985^(COLUMN($O13:$CN13)-COLUMN($O13))))</f>
        <v>3</v>
      </c>
      <c r="BA13" s="61" cm="1">
        <f t="array" ref="BA13">INT($C13 * 80% * (0.985^(COLUMN()-COLUMN($O13))) / SUMPRODUCT(0.985^(COLUMN($O13:$CN13)-COLUMN($O13))))</f>
        <v>3</v>
      </c>
      <c r="BB13" s="61" cm="1">
        <f t="array" ref="BB13">INT($C13 * 80% * (0.985^(COLUMN()-COLUMN($O13))) / SUMPRODUCT(0.985^(COLUMN($O13:$CN13)-COLUMN($O13))))</f>
        <v>2</v>
      </c>
      <c r="BC13" s="61" cm="1">
        <f t="array" ref="BC13">INT($C13 * 80% * (0.985^(COLUMN()-COLUMN($O13))) / SUMPRODUCT(0.985^(COLUMN($O13:$CN13)-COLUMN($O13))))</f>
        <v>2</v>
      </c>
      <c r="BD13" s="61" cm="1">
        <f t="array" ref="BD13">INT($C13 * 80% * (0.985^(COLUMN()-COLUMN($O13))) / SUMPRODUCT(0.985^(COLUMN($O13:$CN13)-COLUMN($O13))))</f>
        <v>2</v>
      </c>
      <c r="BE13" s="61" cm="1">
        <f t="array" ref="BE13">INT($C13 * 80% * (0.985^(COLUMN()-COLUMN($O13))) / SUMPRODUCT(0.985^(COLUMN($O13:$CN13)-COLUMN($O13))))</f>
        <v>2</v>
      </c>
      <c r="BF13" s="61" cm="1">
        <f t="array" ref="BF13">INT($C13 * 80% * (0.985^(COLUMN()-COLUMN($O13))) / SUMPRODUCT(0.985^(COLUMN($O13:$CN13)-COLUMN($O13))))</f>
        <v>2</v>
      </c>
      <c r="BG13" s="61" cm="1">
        <f t="array" ref="BG13">INT($C13 * 80% * (0.985^(COLUMN()-COLUMN($O13))) / SUMPRODUCT(0.985^(COLUMN($O13:$CN13)-COLUMN($O13))))</f>
        <v>2</v>
      </c>
      <c r="BH13" s="61" cm="1">
        <f t="array" ref="BH13">INT($C13 * 80% * (0.985^(COLUMN()-COLUMN($O13))) / SUMPRODUCT(0.985^(COLUMN($O13:$CN13)-COLUMN($O13))))</f>
        <v>2</v>
      </c>
      <c r="BI13" s="61" cm="1">
        <f t="array" ref="BI13">INT($C13 * 80% * (0.985^(COLUMN()-COLUMN($O13))) / SUMPRODUCT(0.985^(COLUMN($O13:$CN13)-COLUMN($O13))))</f>
        <v>2</v>
      </c>
      <c r="BJ13" s="61" cm="1">
        <f t="array" ref="BJ13">INT($C13 * 80% * (0.985^(COLUMN()-COLUMN($O13))) / SUMPRODUCT(0.985^(COLUMN($O13:$CN13)-COLUMN($O13))))</f>
        <v>2</v>
      </c>
      <c r="BK13" s="61" cm="1">
        <f t="array" ref="BK13">INT($C13 * 80% * (0.985^(COLUMN()-COLUMN($O13))) / SUMPRODUCT(0.985^(COLUMN($O13:$CN13)-COLUMN($O13))))</f>
        <v>2</v>
      </c>
      <c r="BL13" s="61" cm="1">
        <f t="array" ref="BL13">INT($C13 * 80% * (0.985^(COLUMN()-COLUMN($O13))) / SUMPRODUCT(0.985^(COLUMN($O13:$CN13)-COLUMN($O13))))</f>
        <v>2</v>
      </c>
      <c r="BM13" s="61" cm="1">
        <f t="array" ref="BM13">INT($C13 * 80% * (0.985^(COLUMN()-COLUMN($O13))) / SUMPRODUCT(0.985^(COLUMN($O13:$CN13)-COLUMN($O13))))</f>
        <v>2</v>
      </c>
      <c r="BN13" s="61" cm="1">
        <f t="array" ref="BN13">INT($C13 * 80% * (0.985^(COLUMN()-COLUMN($O13))) / SUMPRODUCT(0.985^(COLUMN($O13:$CN13)-COLUMN($O13))))</f>
        <v>2</v>
      </c>
      <c r="BO13" s="61" cm="1">
        <f t="array" ref="BO13">INT($C13 * 80% * (0.985^(COLUMN()-COLUMN($O13))) / SUMPRODUCT(0.985^(COLUMN($O13:$CN13)-COLUMN($O13))))</f>
        <v>2</v>
      </c>
      <c r="BP13" s="61" cm="1">
        <f t="array" ref="BP13">INT($C13 * 80% * (0.985^(COLUMN()-COLUMN($O13))) / SUMPRODUCT(0.985^(COLUMN($O13:$CN13)-COLUMN($O13))))</f>
        <v>2</v>
      </c>
      <c r="BQ13" s="61" cm="1">
        <f t="array" ref="BQ13">INT($C13 * 80% * (0.985^(COLUMN()-COLUMN($O13))) / SUMPRODUCT(0.985^(COLUMN($O13:$CN13)-COLUMN($O13))))</f>
        <v>2</v>
      </c>
      <c r="BR13" s="61" cm="1">
        <f t="array" ref="BR13">INT($C13 * 80% * (0.985^(COLUMN()-COLUMN($O13))) / SUMPRODUCT(0.985^(COLUMN($O13:$CN13)-COLUMN($O13))))</f>
        <v>2</v>
      </c>
      <c r="BS13" s="61" cm="1">
        <f t="array" ref="BS13">INT($C13 * 80% * (0.985^(COLUMN()-COLUMN($O13))) / SUMPRODUCT(0.985^(COLUMN($O13:$CN13)-COLUMN($O13))))</f>
        <v>2</v>
      </c>
      <c r="BT13" s="61" cm="1">
        <f t="array" ref="BT13">INT($C13 * 80% * (0.985^(COLUMN()-COLUMN($O13))) / SUMPRODUCT(0.985^(COLUMN($O13:$CN13)-COLUMN($O13))))</f>
        <v>2</v>
      </c>
      <c r="BU13" s="61" cm="1">
        <f t="array" ref="BU13">INT($C13 * 80% * (0.985^(COLUMN()-COLUMN($O13))) / SUMPRODUCT(0.985^(COLUMN($O13:$CN13)-COLUMN($O13))))</f>
        <v>2</v>
      </c>
      <c r="BV13" s="61" cm="1">
        <f t="array" ref="BV13">INT($C13 * 80% * (0.985^(COLUMN()-COLUMN($O13))) / SUMPRODUCT(0.985^(COLUMN($O13:$CN13)-COLUMN($O13))))</f>
        <v>2</v>
      </c>
      <c r="BW13" s="61">
        <v>5</v>
      </c>
      <c r="BX13" s="61">
        <v>5</v>
      </c>
      <c r="BY13" s="61" cm="1">
        <f t="array" ref="BY13">INT($C13 * 80% * (0.985^(COLUMN()-COLUMN($O13))) / SUMPRODUCT(0.985^(COLUMN($O13:$CN13)-COLUMN($O13))))</f>
        <v>2</v>
      </c>
      <c r="BZ13" s="61" cm="1">
        <f t="array" ref="BZ13">INT($C13 * 80% * (0.985^(COLUMN()-COLUMN($O13))) / SUMPRODUCT(0.985^(COLUMN($O13:$CN13)-COLUMN($O13))))</f>
        <v>2</v>
      </c>
      <c r="CA13" s="61" cm="1">
        <f t="array" ref="CA13">INT($C13 * 80% * (0.985^(COLUMN()-COLUMN($O13))) / SUMPRODUCT(0.985^(COLUMN($O13:$CN13)-COLUMN($O13))))</f>
        <v>2</v>
      </c>
      <c r="CB13" s="61" cm="1">
        <f t="array" ref="CB13">INT($C13 * 80% * (0.985^(COLUMN()-COLUMN($O13))) / SUMPRODUCT(0.985^(COLUMN($O13:$CN13)-COLUMN($O13))))</f>
        <v>2</v>
      </c>
      <c r="CC13" s="61" cm="1">
        <f t="array" ref="CC13">INT($C13 * 80% * (0.985^(COLUMN()-COLUMN($O13))) / SUMPRODUCT(0.985^(COLUMN($O13:$CN13)-COLUMN($O13))))</f>
        <v>1</v>
      </c>
      <c r="CD13" s="61" cm="1">
        <f t="array" ref="CD13">INT($C13 * 80% * (0.985^(COLUMN()-COLUMN($O13))) / SUMPRODUCT(0.985^(COLUMN($O13:$CN13)-COLUMN($O13))))</f>
        <v>1</v>
      </c>
      <c r="CE13" s="61" cm="1">
        <f t="array" ref="CE13">INT($C13 * 80% * (0.985^(COLUMN()-COLUMN($O13))) / SUMPRODUCT(0.985^(COLUMN($O13:$CN13)-COLUMN($O13))))</f>
        <v>1</v>
      </c>
      <c r="CF13" s="61" cm="1">
        <f t="array" ref="CF13">INT($C13 * 80% * (0.985^(COLUMN()-COLUMN($O13))) / SUMPRODUCT(0.985^(COLUMN($O13:$CN13)-COLUMN($O13))))</f>
        <v>1</v>
      </c>
      <c r="CG13" s="61" cm="1">
        <f t="array" ref="CG13">INT($C13 * 80% * (0.985^(COLUMN()-COLUMN($O13))) / SUMPRODUCT(0.985^(COLUMN($O13:$CN13)-COLUMN($O13))))</f>
        <v>1</v>
      </c>
      <c r="CH13" s="61" cm="1">
        <f t="array" ref="CH13">INT($C13 * 80% * (0.985^(COLUMN()-COLUMN($O13))) / SUMPRODUCT(0.985^(COLUMN($O13:$CN13)-COLUMN($O13))))</f>
        <v>1</v>
      </c>
      <c r="CI13" s="61">
        <v>4</v>
      </c>
      <c r="CJ13" s="61">
        <v>4</v>
      </c>
      <c r="CK13" s="61">
        <v>4</v>
      </c>
      <c r="CL13" s="61">
        <v>4</v>
      </c>
      <c r="CM13" s="61">
        <v>4</v>
      </c>
      <c r="CN13" s="61">
        <v>4</v>
      </c>
    </row>
    <row r="14" spans="2:94" x14ac:dyDescent="0.25">
      <c r="B14" t="s">
        <v>80</v>
      </c>
      <c r="C14">
        <v>12</v>
      </c>
      <c r="D14">
        <f t="shared" si="0"/>
        <v>0</v>
      </c>
      <c r="E14" s="61">
        <v>1</v>
      </c>
      <c r="F14" s="61">
        <v>1</v>
      </c>
      <c r="G14" s="61">
        <v>1</v>
      </c>
      <c r="H14" s="61">
        <v>1</v>
      </c>
      <c r="I14" s="61">
        <v>0</v>
      </c>
      <c r="J14" s="61">
        <f t="shared" si="1"/>
        <v>0</v>
      </c>
      <c r="K14" s="61">
        <f t="shared" si="1"/>
        <v>0</v>
      </c>
      <c r="L14" s="61">
        <f t="shared" si="1"/>
        <v>0</v>
      </c>
      <c r="M14" s="61">
        <f t="shared" si="1"/>
        <v>0</v>
      </c>
      <c r="N14" s="61">
        <f t="shared" si="1"/>
        <v>0</v>
      </c>
      <c r="O14" s="61" cm="1">
        <f t="array" ref="O14">INT($C14 * 80% * (0.985^(COLUMN()-COLUMN($O14))) / SUMPRODUCT(0.985^(COLUMN($O14:$CN14)-COLUMN($O14))))</f>
        <v>0</v>
      </c>
      <c r="P14" s="61" cm="1">
        <f t="array" ref="P14">INT($C14 * 80% * (0.985^(COLUMN()-COLUMN($O14))) / SUMPRODUCT(0.985^(COLUMN($O14:$CN14)-COLUMN($O14))))</f>
        <v>0</v>
      </c>
      <c r="Q14" s="61" cm="1">
        <f t="array" ref="Q14">INT($C14 * 80% * (0.985^(COLUMN()-COLUMN($O14))) / SUMPRODUCT(0.985^(COLUMN($O14:$CN14)-COLUMN($O14))))</f>
        <v>0</v>
      </c>
      <c r="R14" s="61" cm="1">
        <f t="array" ref="R14">INT($C14 * 80% * (0.985^(COLUMN()-COLUMN($O14))) / SUMPRODUCT(0.985^(COLUMN($O14:$CN14)-COLUMN($O14))))</f>
        <v>0</v>
      </c>
      <c r="S14" s="61" cm="1">
        <f t="array" ref="S14">INT($C14 * 80% * (0.985^(COLUMN()-COLUMN($O14))) / SUMPRODUCT(0.985^(COLUMN($O14:$CN14)-COLUMN($O14))))</f>
        <v>0</v>
      </c>
      <c r="T14" s="61" cm="1">
        <f t="array" ref="T14">INT($C14 * 80% * (0.985^(COLUMN()-COLUMN($O14))) / SUMPRODUCT(0.985^(COLUMN($O14:$CN14)-COLUMN($O14))))</f>
        <v>0</v>
      </c>
      <c r="U14" s="61" cm="1">
        <f t="array" ref="U14">INT($C14 * 80% * (0.985^(COLUMN()-COLUMN($O14))) / SUMPRODUCT(0.985^(COLUMN($O14:$CN14)-COLUMN($O14))))</f>
        <v>0</v>
      </c>
      <c r="V14" s="61" cm="1">
        <f t="array" ref="V14">INT($C14 * 80% * (0.985^(COLUMN()-COLUMN($O14))) / SUMPRODUCT(0.985^(COLUMN($O14:$CN14)-COLUMN($O14))))</f>
        <v>0</v>
      </c>
      <c r="W14" s="61" cm="1">
        <f t="array" ref="W14">INT($C14 * 80% * (0.985^(COLUMN()-COLUMN($O14))) / SUMPRODUCT(0.985^(COLUMN($O14:$CN14)-COLUMN($O14))))</f>
        <v>0</v>
      </c>
      <c r="X14" s="61" cm="1">
        <f t="array" ref="X14">INT($C14 * 80% * (0.985^(COLUMN()-COLUMN($O14))) / SUMPRODUCT(0.985^(COLUMN($O14:$CN14)-COLUMN($O14))))</f>
        <v>0</v>
      </c>
      <c r="Y14" s="61" cm="1">
        <f t="array" ref="Y14">INT($C14 * 80% * (0.985^(COLUMN()-COLUMN($O14))) / SUMPRODUCT(0.985^(COLUMN($O14:$CN14)-COLUMN($O14))))</f>
        <v>0</v>
      </c>
      <c r="Z14" s="61" cm="1">
        <f t="array" ref="Z14">INT($C14 * 80% * (0.985^(COLUMN()-COLUMN($O14))) / SUMPRODUCT(0.985^(COLUMN($O14:$CN14)-COLUMN($O14))))</f>
        <v>0</v>
      </c>
      <c r="AA14" s="61" cm="1">
        <f t="array" ref="AA14">INT($C14 * 80% * (0.985^(COLUMN()-COLUMN($O14))) / SUMPRODUCT(0.985^(COLUMN($O14:$CN14)-COLUMN($O14))))</f>
        <v>0</v>
      </c>
      <c r="AB14" s="61" cm="1">
        <f t="array" ref="AB14">INT($C14 * 80% * (0.985^(COLUMN()-COLUMN($O14))) / SUMPRODUCT(0.985^(COLUMN($O14:$CN14)-COLUMN($O14))))</f>
        <v>0</v>
      </c>
      <c r="AC14" s="61" cm="1">
        <f t="array" ref="AC14">INT($C14 * 80% * (0.985^(COLUMN()-COLUMN($O14))) / SUMPRODUCT(0.985^(COLUMN($O14:$CN14)-COLUMN($O14))))</f>
        <v>0</v>
      </c>
      <c r="AD14" s="61" cm="1">
        <f t="array" ref="AD14">INT($C14 * 80% * (0.985^(COLUMN()-COLUMN($O14))) / SUMPRODUCT(0.985^(COLUMN($O14:$CN14)-COLUMN($O14))))</f>
        <v>0</v>
      </c>
      <c r="AE14" s="61" cm="1">
        <f t="array" ref="AE14">INT($C14 * 80% * (0.985^(COLUMN()-COLUMN($O14))) / SUMPRODUCT(0.985^(COLUMN($O14:$CN14)-COLUMN($O14))))</f>
        <v>0</v>
      </c>
      <c r="AF14" s="61" cm="1">
        <f t="array" ref="AF14">INT($C14 * 80% * (0.985^(COLUMN()-COLUMN($O14))) / SUMPRODUCT(0.985^(COLUMN($O14:$CN14)-COLUMN($O14))))</f>
        <v>0</v>
      </c>
      <c r="AG14" s="61" cm="1">
        <f t="array" ref="AG14">INT($C14 * 80% * (0.985^(COLUMN()-COLUMN($O14))) / SUMPRODUCT(0.985^(COLUMN($O14:$CN14)-COLUMN($O14))))</f>
        <v>0</v>
      </c>
      <c r="AH14" s="61" cm="1">
        <f t="array" ref="AH14">INT($C14 * 80% * (0.985^(COLUMN()-COLUMN($O14))) / SUMPRODUCT(0.985^(COLUMN($O14:$CN14)-COLUMN($O14))))</f>
        <v>0</v>
      </c>
      <c r="AI14" s="61" cm="1">
        <f t="array" ref="AI14">INT($C14 * 80% * (0.985^(COLUMN()-COLUMN($O14))) / SUMPRODUCT(0.985^(COLUMN($O14:$CN14)-COLUMN($O14))))</f>
        <v>0</v>
      </c>
      <c r="AJ14" s="61" cm="1">
        <f t="array" ref="AJ14">INT($C14 * 80% * (0.985^(COLUMN()-COLUMN($O14))) / SUMPRODUCT(0.985^(COLUMN($O14:$CN14)-COLUMN($O14))))</f>
        <v>0</v>
      </c>
      <c r="AK14" s="61" cm="1">
        <f t="array" ref="AK14">INT($C14 * 80% * (0.985^(COLUMN()-COLUMN($O14))) / SUMPRODUCT(0.985^(COLUMN($O14:$CN14)-COLUMN($O14))))</f>
        <v>0</v>
      </c>
      <c r="AL14" s="61" cm="1">
        <f t="array" ref="AL14">INT($C14 * 80% * (0.985^(COLUMN()-COLUMN($O14))) / SUMPRODUCT(0.985^(COLUMN($O14:$CN14)-COLUMN($O14))))</f>
        <v>0</v>
      </c>
      <c r="AM14" s="61" cm="1">
        <f t="array" ref="AM14">INT($C14 * 80% * (0.985^(COLUMN()-COLUMN($O14))) / SUMPRODUCT(0.985^(COLUMN($O14:$CN14)-COLUMN($O14))))</f>
        <v>0</v>
      </c>
      <c r="AN14" s="61" cm="1">
        <f t="array" ref="AN14">INT($C14 * 80% * (0.985^(COLUMN()-COLUMN($O14))) / SUMPRODUCT(0.985^(COLUMN($O14:$CN14)-COLUMN($O14))))</f>
        <v>0</v>
      </c>
      <c r="AO14" s="61" cm="1">
        <f t="array" ref="AO14">INT($C14 * 80% * (0.985^(COLUMN()-COLUMN($O14))) / SUMPRODUCT(0.985^(COLUMN($O14:$CN14)-COLUMN($O14))))</f>
        <v>0</v>
      </c>
      <c r="AP14" s="61" cm="1">
        <f t="array" ref="AP14">INT($C14 * 80% * (0.985^(COLUMN()-COLUMN($O14))) / SUMPRODUCT(0.985^(COLUMN($O14:$CN14)-COLUMN($O14))))</f>
        <v>0</v>
      </c>
      <c r="AQ14" s="61" cm="1">
        <f t="array" ref="AQ14">INT($C14 * 80% * (0.985^(COLUMN()-COLUMN($O14))) / SUMPRODUCT(0.985^(COLUMN($O14:$CN14)-COLUMN($O14))))</f>
        <v>0</v>
      </c>
      <c r="AR14" s="61" cm="1">
        <f t="array" ref="AR14">INT($C14 * 80% * (0.985^(COLUMN()-COLUMN($O14))) / SUMPRODUCT(0.985^(COLUMN($O14:$CN14)-COLUMN($O14))))</f>
        <v>0</v>
      </c>
      <c r="AS14" s="61" cm="1">
        <f t="array" ref="AS14">INT($C14 * 80% * (0.985^(COLUMN()-COLUMN($O14))) / SUMPRODUCT(0.985^(COLUMN($O14:$CN14)-COLUMN($O14))))</f>
        <v>0</v>
      </c>
      <c r="AT14" s="61" cm="1">
        <f t="array" ref="AT14">INT($C14 * 80% * (0.985^(COLUMN()-COLUMN($O14))) / SUMPRODUCT(0.985^(COLUMN($O14:$CN14)-COLUMN($O14))))</f>
        <v>0</v>
      </c>
      <c r="AU14" s="61" cm="1">
        <f t="array" ref="AU14">INT($C14 * 80% * (0.985^(COLUMN()-COLUMN($O14))) / SUMPRODUCT(0.985^(COLUMN($O14:$CN14)-COLUMN($O14))))</f>
        <v>0</v>
      </c>
      <c r="AV14" s="61" cm="1">
        <f t="array" ref="AV14">INT($C14 * 80% * (0.985^(COLUMN()-COLUMN($O14))) / SUMPRODUCT(0.985^(COLUMN($O14:$CN14)-COLUMN($O14))))</f>
        <v>0</v>
      </c>
      <c r="AW14" s="61" cm="1">
        <f t="array" ref="AW14">INT($C14 * 80% * (0.985^(COLUMN()-COLUMN($O14))) / SUMPRODUCT(0.985^(COLUMN($O14:$CN14)-COLUMN($O14))))</f>
        <v>0</v>
      </c>
      <c r="AX14" s="61" cm="1">
        <f t="array" ref="AX14">INT($C14 * 80% * (0.985^(COLUMN()-COLUMN($O14))) / SUMPRODUCT(0.985^(COLUMN($O14:$CN14)-COLUMN($O14))))</f>
        <v>0</v>
      </c>
      <c r="AY14" s="61" cm="1">
        <f t="array" ref="AY14">INT($C14 * 80% * (0.985^(COLUMN()-COLUMN($O14))) / SUMPRODUCT(0.985^(COLUMN($O14:$CN14)-COLUMN($O14))))</f>
        <v>0</v>
      </c>
      <c r="AZ14" s="61" cm="1">
        <f t="array" ref="AZ14">INT($C14 * 80% * (0.985^(COLUMN()-COLUMN($O14))) / SUMPRODUCT(0.985^(COLUMN($O14:$CN14)-COLUMN($O14))))</f>
        <v>0</v>
      </c>
      <c r="BA14" s="61" cm="1">
        <f t="array" ref="BA14">INT($C14 * 80% * (0.985^(COLUMN()-COLUMN($O14))) / SUMPRODUCT(0.985^(COLUMN($O14:$CN14)-COLUMN($O14))))</f>
        <v>0</v>
      </c>
      <c r="BB14" s="61" cm="1">
        <f t="array" ref="BB14">INT($C14 * 80% * (0.985^(COLUMN()-COLUMN($O14))) / SUMPRODUCT(0.985^(COLUMN($O14:$CN14)-COLUMN($O14))))</f>
        <v>0</v>
      </c>
      <c r="BC14" s="61" cm="1">
        <f t="array" ref="BC14">INT($C14 * 80% * (0.985^(COLUMN()-COLUMN($O14))) / SUMPRODUCT(0.985^(COLUMN($O14:$CN14)-COLUMN($O14))))</f>
        <v>0</v>
      </c>
      <c r="BD14" s="61" cm="1">
        <f t="array" ref="BD14">INT($C14 * 80% * (0.985^(COLUMN()-COLUMN($O14))) / SUMPRODUCT(0.985^(COLUMN($O14:$CN14)-COLUMN($O14))))</f>
        <v>0</v>
      </c>
      <c r="BE14" s="61" cm="1">
        <f t="array" ref="BE14">INT($C14 * 80% * (0.985^(COLUMN()-COLUMN($O14))) / SUMPRODUCT(0.985^(COLUMN($O14:$CN14)-COLUMN($O14))))</f>
        <v>0</v>
      </c>
      <c r="BF14" s="61" cm="1">
        <f t="array" ref="BF14">INT($C14 * 80% * (0.985^(COLUMN()-COLUMN($O14))) / SUMPRODUCT(0.985^(COLUMN($O14:$CN14)-COLUMN($O14))))</f>
        <v>0</v>
      </c>
      <c r="BG14" s="61" cm="1">
        <f t="array" ref="BG14">INT($C14 * 80% * (0.985^(COLUMN()-COLUMN($O14))) / SUMPRODUCT(0.985^(COLUMN($O14:$CN14)-COLUMN($O14))))</f>
        <v>0</v>
      </c>
      <c r="BH14" s="61" cm="1">
        <f t="array" ref="BH14">INT($C14 * 80% * (0.985^(COLUMN()-COLUMN($O14))) / SUMPRODUCT(0.985^(COLUMN($O14:$CN14)-COLUMN($O14))))</f>
        <v>0</v>
      </c>
      <c r="BI14" s="61" cm="1">
        <f t="array" ref="BI14">INT($C14 * 80% * (0.985^(COLUMN()-COLUMN($O14))) / SUMPRODUCT(0.985^(COLUMN($O14:$CN14)-COLUMN($O14))))</f>
        <v>0</v>
      </c>
      <c r="BJ14" s="61" cm="1">
        <f t="array" ref="BJ14">INT($C14 * 80% * (0.985^(COLUMN()-COLUMN($O14))) / SUMPRODUCT(0.985^(COLUMN($O14:$CN14)-COLUMN($O14))))</f>
        <v>0</v>
      </c>
      <c r="BK14" s="61" cm="1">
        <f t="array" ref="BK14">INT($C14 * 80% * (0.985^(COLUMN()-COLUMN($O14))) / SUMPRODUCT(0.985^(COLUMN($O14:$CN14)-COLUMN($O14))))</f>
        <v>0</v>
      </c>
      <c r="BL14" s="61" cm="1">
        <f t="array" ref="BL14">INT($C14 * 80% * (0.985^(COLUMN()-COLUMN($O14))) / SUMPRODUCT(0.985^(COLUMN($O14:$CN14)-COLUMN($O14))))</f>
        <v>0</v>
      </c>
      <c r="BM14" s="61" cm="1">
        <f t="array" ref="BM14">INT($C14 * 80% * (0.985^(COLUMN()-COLUMN($O14))) / SUMPRODUCT(0.985^(COLUMN($O14:$CN14)-COLUMN($O14))))</f>
        <v>0</v>
      </c>
      <c r="BN14" s="61" cm="1">
        <f t="array" ref="BN14">INT($C14 * 80% * (0.985^(COLUMN()-COLUMN($O14))) / SUMPRODUCT(0.985^(COLUMN($O14:$CN14)-COLUMN($O14))))</f>
        <v>0</v>
      </c>
      <c r="BO14" s="61" cm="1">
        <f t="array" ref="BO14">INT($C14 * 80% * (0.985^(COLUMN()-COLUMN($O14))) / SUMPRODUCT(0.985^(COLUMN($O14:$CN14)-COLUMN($O14))))</f>
        <v>0</v>
      </c>
      <c r="BP14" s="61" cm="1">
        <f t="array" ref="BP14">INT($C14 * 80% * (0.985^(COLUMN()-COLUMN($O14))) / SUMPRODUCT(0.985^(COLUMN($O14:$CN14)-COLUMN($O14))))</f>
        <v>0</v>
      </c>
      <c r="BQ14" s="61" cm="1">
        <f t="array" ref="BQ14">INT($C14 * 80% * (0.985^(COLUMN()-COLUMN($O14))) / SUMPRODUCT(0.985^(COLUMN($O14:$CN14)-COLUMN($O14))))</f>
        <v>0</v>
      </c>
      <c r="BR14" s="61" cm="1">
        <f t="array" ref="BR14">INT($C14 * 80% * (0.985^(COLUMN()-COLUMN($O14))) / SUMPRODUCT(0.985^(COLUMN($O14:$CN14)-COLUMN($O14))))</f>
        <v>0</v>
      </c>
      <c r="BS14" s="61" cm="1">
        <f t="array" ref="BS14">INT($C14 * 80% * (0.985^(COLUMN()-COLUMN($O14))) / SUMPRODUCT(0.985^(COLUMN($O14:$CN14)-COLUMN($O14))))</f>
        <v>0</v>
      </c>
      <c r="BT14" s="61" cm="1">
        <f t="array" ref="BT14">INT($C14 * 80% * (0.985^(COLUMN()-COLUMN($O14))) / SUMPRODUCT(0.985^(COLUMN($O14:$CN14)-COLUMN($O14))))</f>
        <v>0</v>
      </c>
      <c r="BU14" s="61" cm="1">
        <f t="array" ref="BU14">INT($C14 * 80% * (0.985^(COLUMN()-COLUMN($O14))) / SUMPRODUCT(0.985^(COLUMN($O14:$CN14)-COLUMN($O14))))</f>
        <v>0</v>
      </c>
      <c r="BV14" s="61" cm="1">
        <f t="array" ref="BV14">INT($C14 * 80% * (0.985^(COLUMN()-COLUMN($O14))) / SUMPRODUCT(0.985^(COLUMN($O14:$CN14)-COLUMN($O14))))</f>
        <v>0</v>
      </c>
      <c r="BW14" s="61">
        <v>1</v>
      </c>
      <c r="BX14" s="61">
        <v>1</v>
      </c>
      <c r="BY14" s="61" cm="1">
        <f t="array" ref="BY14">INT($C14 * 80% * (0.985^(COLUMN()-COLUMN($O14))) / SUMPRODUCT(0.985^(COLUMN($O14:$CN14)-COLUMN($O14))))</f>
        <v>0</v>
      </c>
      <c r="BZ14" s="61" cm="1">
        <f t="array" ref="BZ14">INT($C14 * 80% * (0.985^(COLUMN()-COLUMN($O14))) / SUMPRODUCT(0.985^(COLUMN($O14:$CN14)-COLUMN($O14))))</f>
        <v>0</v>
      </c>
      <c r="CA14" s="61" cm="1">
        <f t="array" ref="CA14">INT($C14 * 80% * (0.985^(COLUMN()-COLUMN($O14))) / SUMPRODUCT(0.985^(COLUMN($O14:$CN14)-COLUMN($O14))))</f>
        <v>0</v>
      </c>
      <c r="CB14" s="61" cm="1">
        <f t="array" ref="CB14">INT($C14 * 80% * (0.985^(COLUMN()-COLUMN($O14))) / SUMPRODUCT(0.985^(COLUMN($O14:$CN14)-COLUMN($O14))))</f>
        <v>0</v>
      </c>
      <c r="CC14" s="61" cm="1">
        <f t="array" ref="CC14">INT($C14 * 80% * (0.985^(COLUMN()-COLUMN($O14))) / SUMPRODUCT(0.985^(COLUMN($O14:$CN14)-COLUMN($O14))))</f>
        <v>0</v>
      </c>
      <c r="CD14" s="61" cm="1">
        <f t="array" ref="CD14">INT($C14 * 80% * (0.985^(COLUMN()-COLUMN($O14))) / SUMPRODUCT(0.985^(COLUMN($O14:$CN14)-COLUMN($O14))))</f>
        <v>0</v>
      </c>
      <c r="CE14" s="61" cm="1">
        <f t="array" ref="CE14">INT($C14 * 80% * (0.985^(COLUMN()-COLUMN($O14))) / SUMPRODUCT(0.985^(COLUMN($O14:$CN14)-COLUMN($O14))))</f>
        <v>0</v>
      </c>
      <c r="CF14" s="61" cm="1">
        <f t="array" ref="CF14">INT($C14 * 80% * (0.985^(COLUMN()-COLUMN($O14))) / SUMPRODUCT(0.985^(COLUMN($O14:$CN14)-COLUMN($O14))))</f>
        <v>0</v>
      </c>
      <c r="CG14" s="61" cm="1">
        <f t="array" ref="CG14">INT($C14 * 80% * (0.985^(COLUMN()-COLUMN($O14))) / SUMPRODUCT(0.985^(COLUMN($O14:$CN14)-COLUMN($O14))))</f>
        <v>0</v>
      </c>
      <c r="CH14" s="61" cm="1">
        <f t="array" ref="CH14">INT($C14 * 80% * (0.985^(COLUMN()-COLUMN($O14))) / SUMPRODUCT(0.985^(COLUMN($O14:$CN14)-COLUMN($O14))))</f>
        <v>0</v>
      </c>
      <c r="CI14" s="61">
        <v>1</v>
      </c>
      <c r="CJ14" s="61">
        <v>1</v>
      </c>
      <c r="CK14" s="61">
        <v>1</v>
      </c>
      <c r="CL14" s="61">
        <v>1</v>
      </c>
      <c r="CM14" s="61">
        <v>1</v>
      </c>
      <c r="CN14" s="61">
        <v>1</v>
      </c>
    </row>
    <row r="15" spans="2:94" x14ac:dyDescent="0.25">
      <c r="B15" t="s">
        <v>81</v>
      </c>
      <c r="C15">
        <v>937.8</v>
      </c>
      <c r="D15">
        <f t="shared" si="0"/>
        <v>0</v>
      </c>
      <c r="E15" s="61">
        <f t="shared" si="2"/>
        <v>18</v>
      </c>
      <c r="F15" s="61">
        <f t="shared" si="1"/>
        <v>18</v>
      </c>
      <c r="G15" s="61">
        <f t="shared" si="1"/>
        <v>18</v>
      </c>
      <c r="H15" s="61">
        <f t="shared" si="1"/>
        <v>18</v>
      </c>
      <c r="I15" s="61">
        <v>63.799999999999955</v>
      </c>
      <c r="J15" s="61">
        <f t="shared" si="1"/>
        <v>18</v>
      </c>
      <c r="K15" s="61">
        <f t="shared" si="1"/>
        <v>18</v>
      </c>
      <c r="L15" s="61">
        <f t="shared" si="1"/>
        <v>18</v>
      </c>
      <c r="M15" s="61">
        <f t="shared" si="1"/>
        <v>18</v>
      </c>
      <c r="N15" s="61">
        <f t="shared" si="1"/>
        <v>18</v>
      </c>
      <c r="O15" s="61" cm="1">
        <f t="array" ref="O15">INT($C15 * 80% * (0.985^(COLUMN()-COLUMN($O15))) / SUMPRODUCT(0.985^(COLUMN($O15:$CN15)-COLUMN($O15))))</f>
        <v>16</v>
      </c>
      <c r="P15" s="61" cm="1">
        <f t="array" ref="P15">INT($C15 * 80% * (0.985^(COLUMN()-COLUMN($O15))) / SUMPRODUCT(0.985^(COLUMN($O15:$CN15)-COLUMN($O15))))</f>
        <v>16</v>
      </c>
      <c r="Q15" s="61" cm="1">
        <f t="array" ref="Q15">INT($C15 * 80% * (0.985^(COLUMN()-COLUMN($O15))) / SUMPRODUCT(0.985^(COLUMN($O15:$CN15)-COLUMN($O15))))</f>
        <v>15</v>
      </c>
      <c r="R15" s="61" cm="1">
        <f t="array" ref="R15">INT($C15 * 80% * (0.985^(COLUMN()-COLUMN($O15))) / SUMPRODUCT(0.985^(COLUMN($O15:$CN15)-COLUMN($O15))))</f>
        <v>15</v>
      </c>
      <c r="S15" s="61" cm="1">
        <f t="array" ref="S15">INT($C15 * 80% * (0.985^(COLUMN()-COLUMN($O15))) / SUMPRODUCT(0.985^(COLUMN($O15:$CN15)-COLUMN($O15))))</f>
        <v>15</v>
      </c>
      <c r="T15" s="61" cm="1">
        <f t="array" ref="T15">INT($C15 * 80% * (0.985^(COLUMN()-COLUMN($O15))) / SUMPRODUCT(0.985^(COLUMN($O15:$CN15)-COLUMN($O15))))</f>
        <v>15</v>
      </c>
      <c r="U15" s="61" cm="1">
        <f t="array" ref="U15">INT($C15 * 80% * (0.985^(COLUMN()-COLUMN($O15))) / SUMPRODUCT(0.985^(COLUMN($O15:$CN15)-COLUMN($O15))))</f>
        <v>14</v>
      </c>
      <c r="V15" s="61" cm="1">
        <f t="array" ref="V15">INT($C15 * 80% * (0.985^(COLUMN()-COLUMN($O15))) / SUMPRODUCT(0.985^(COLUMN($O15:$CN15)-COLUMN($O15))))</f>
        <v>14</v>
      </c>
      <c r="W15" s="61" cm="1">
        <f t="array" ref="W15">INT($C15 * 80% * (0.985^(COLUMN()-COLUMN($O15))) / SUMPRODUCT(0.985^(COLUMN($O15:$CN15)-COLUMN($O15))))</f>
        <v>14</v>
      </c>
      <c r="X15" s="61" cm="1">
        <f t="array" ref="X15">INT($C15 * 80% * (0.985^(COLUMN()-COLUMN($O15))) / SUMPRODUCT(0.985^(COLUMN($O15:$CN15)-COLUMN($O15))))</f>
        <v>14</v>
      </c>
      <c r="Y15" s="61" cm="1">
        <f t="array" ref="Y15">INT($C15 * 80% * (0.985^(COLUMN()-COLUMN($O15))) / SUMPRODUCT(0.985^(COLUMN($O15:$CN15)-COLUMN($O15))))</f>
        <v>13</v>
      </c>
      <c r="Z15" s="61" cm="1">
        <f t="array" ref="Z15">INT($C15 * 80% * (0.985^(COLUMN()-COLUMN($O15))) / SUMPRODUCT(0.985^(COLUMN($O15:$CN15)-COLUMN($O15))))</f>
        <v>13</v>
      </c>
      <c r="AA15" s="61" cm="1">
        <f t="array" ref="AA15">INT($C15 * 80% * (0.985^(COLUMN()-COLUMN($O15))) / SUMPRODUCT(0.985^(COLUMN($O15:$CN15)-COLUMN($O15))))</f>
        <v>13</v>
      </c>
      <c r="AB15" s="61" cm="1">
        <f t="array" ref="AB15">INT($C15 * 80% * (0.985^(COLUMN()-COLUMN($O15))) / SUMPRODUCT(0.985^(COLUMN($O15:$CN15)-COLUMN($O15))))</f>
        <v>13</v>
      </c>
      <c r="AC15" s="61" cm="1">
        <f t="array" ref="AC15">INT($C15 * 80% * (0.985^(COLUMN()-COLUMN($O15))) / SUMPRODUCT(0.985^(COLUMN($O15:$CN15)-COLUMN($O15))))</f>
        <v>13</v>
      </c>
      <c r="AD15" s="61" cm="1">
        <f t="array" ref="AD15">INT($C15 * 80% * (0.985^(COLUMN()-COLUMN($O15))) / SUMPRODUCT(0.985^(COLUMN($O15:$CN15)-COLUMN($O15))))</f>
        <v>12</v>
      </c>
      <c r="AE15" s="61" cm="1">
        <f t="array" ref="AE15">INT($C15 * 80% * (0.985^(COLUMN()-COLUMN($O15))) / SUMPRODUCT(0.985^(COLUMN($O15:$CN15)-COLUMN($O15))))</f>
        <v>12</v>
      </c>
      <c r="AF15" s="61" cm="1">
        <f t="array" ref="AF15">INT($C15 * 80% * (0.985^(COLUMN()-COLUMN($O15))) / SUMPRODUCT(0.985^(COLUMN($O15:$CN15)-COLUMN($O15))))</f>
        <v>12</v>
      </c>
      <c r="AG15" s="61" cm="1">
        <f t="array" ref="AG15">INT($C15 * 80% * (0.985^(COLUMN()-COLUMN($O15))) / SUMPRODUCT(0.985^(COLUMN($O15:$CN15)-COLUMN($O15))))</f>
        <v>12</v>
      </c>
      <c r="AH15" s="61" cm="1">
        <f t="array" ref="AH15">INT($C15 * 80% * (0.985^(COLUMN()-COLUMN($O15))) / SUMPRODUCT(0.985^(COLUMN($O15:$CN15)-COLUMN($O15))))</f>
        <v>12</v>
      </c>
      <c r="AI15" s="61" cm="1">
        <f t="array" ref="AI15">INT($C15 * 80% * (0.985^(COLUMN()-COLUMN($O15))) / SUMPRODUCT(0.985^(COLUMN($O15:$CN15)-COLUMN($O15))))</f>
        <v>12</v>
      </c>
      <c r="AJ15" s="61" cm="1">
        <f t="array" ref="AJ15">INT($C15 * 80% * (0.985^(COLUMN()-COLUMN($O15))) / SUMPRODUCT(0.985^(COLUMN($O15:$CN15)-COLUMN($O15))))</f>
        <v>11</v>
      </c>
      <c r="AK15" s="61" cm="1">
        <f t="array" ref="AK15">INT($C15 * 80% * (0.985^(COLUMN()-COLUMN($O15))) / SUMPRODUCT(0.985^(COLUMN($O15:$CN15)-COLUMN($O15))))</f>
        <v>11</v>
      </c>
      <c r="AL15" s="61" cm="1">
        <f t="array" ref="AL15">INT($C15 * 80% * (0.985^(COLUMN()-COLUMN($O15))) / SUMPRODUCT(0.985^(COLUMN($O15:$CN15)-COLUMN($O15))))</f>
        <v>11</v>
      </c>
      <c r="AM15" s="61" cm="1">
        <f t="array" ref="AM15">INT($C15 * 80% * (0.985^(COLUMN()-COLUMN($O15))) / SUMPRODUCT(0.985^(COLUMN($O15:$CN15)-COLUMN($O15))))</f>
        <v>11</v>
      </c>
      <c r="AN15" s="61" cm="1">
        <f t="array" ref="AN15">INT($C15 * 80% * (0.985^(COLUMN()-COLUMN($O15))) / SUMPRODUCT(0.985^(COLUMN($O15:$CN15)-COLUMN($O15))))</f>
        <v>11</v>
      </c>
      <c r="AO15" s="61" cm="1">
        <f t="array" ref="AO15">INT($C15 * 80% * (0.985^(COLUMN()-COLUMN($O15))) / SUMPRODUCT(0.985^(COLUMN($O15:$CN15)-COLUMN($O15))))</f>
        <v>10</v>
      </c>
      <c r="AP15" s="61" cm="1">
        <f t="array" ref="AP15">INT($C15 * 80% * (0.985^(COLUMN()-COLUMN($O15))) / SUMPRODUCT(0.985^(COLUMN($O15:$CN15)-COLUMN($O15))))</f>
        <v>10</v>
      </c>
      <c r="AQ15" s="61" cm="1">
        <f t="array" ref="AQ15">INT($C15 * 80% * (0.985^(COLUMN()-COLUMN($O15))) / SUMPRODUCT(0.985^(COLUMN($O15:$CN15)-COLUMN($O15))))</f>
        <v>10</v>
      </c>
      <c r="AR15" s="61" cm="1">
        <f t="array" ref="AR15">INT($C15 * 80% * (0.985^(COLUMN()-COLUMN($O15))) / SUMPRODUCT(0.985^(COLUMN($O15:$CN15)-COLUMN($O15))))</f>
        <v>10</v>
      </c>
      <c r="AS15" s="61" cm="1">
        <f t="array" ref="AS15">INT($C15 * 80% * (0.985^(COLUMN()-COLUMN($O15))) / SUMPRODUCT(0.985^(COLUMN($O15:$CN15)-COLUMN($O15))))</f>
        <v>10</v>
      </c>
      <c r="AT15" s="61" cm="1">
        <f t="array" ref="AT15">INT($C15 * 80% * (0.985^(COLUMN()-COLUMN($O15))) / SUMPRODUCT(0.985^(COLUMN($O15:$CN15)-COLUMN($O15))))</f>
        <v>10</v>
      </c>
      <c r="AU15" s="61" cm="1">
        <f t="array" ref="AU15">INT($C15 * 80% * (0.985^(COLUMN()-COLUMN($O15))) / SUMPRODUCT(0.985^(COLUMN($O15:$CN15)-COLUMN($O15))))</f>
        <v>10</v>
      </c>
      <c r="AV15" s="61" cm="1">
        <f t="array" ref="AV15">INT($C15 * 80% * (0.985^(COLUMN()-COLUMN($O15))) / SUMPRODUCT(0.985^(COLUMN($O15:$CN15)-COLUMN($O15))))</f>
        <v>9</v>
      </c>
      <c r="AW15" s="61" cm="1">
        <f t="array" ref="AW15">INT($C15 * 80% * (0.985^(COLUMN()-COLUMN($O15))) / SUMPRODUCT(0.985^(COLUMN($O15:$CN15)-COLUMN($O15))))</f>
        <v>9</v>
      </c>
      <c r="AX15" s="61" cm="1">
        <f t="array" ref="AX15">INT($C15 * 80% * (0.985^(COLUMN()-COLUMN($O15))) / SUMPRODUCT(0.985^(COLUMN($O15:$CN15)-COLUMN($O15))))</f>
        <v>9</v>
      </c>
      <c r="AY15" s="61" cm="1">
        <f t="array" ref="AY15">INT($C15 * 80% * (0.985^(COLUMN()-COLUMN($O15))) / SUMPRODUCT(0.985^(COLUMN($O15:$CN15)-COLUMN($O15))))</f>
        <v>9</v>
      </c>
      <c r="AZ15" s="61" cm="1">
        <f t="array" ref="AZ15">INT($C15 * 80% * (0.985^(COLUMN()-COLUMN($O15))) / SUMPRODUCT(0.985^(COLUMN($O15:$CN15)-COLUMN($O15))))</f>
        <v>9</v>
      </c>
      <c r="BA15" s="61" cm="1">
        <f t="array" ref="BA15">INT($C15 * 80% * (0.985^(COLUMN()-COLUMN($O15))) / SUMPRODUCT(0.985^(COLUMN($O15:$CN15)-COLUMN($O15))))</f>
        <v>9</v>
      </c>
      <c r="BB15" s="61" cm="1">
        <f t="array" ref="BB15">INT($C15 * 80% * (0.985^(COLUMN()-COLUMN($O15))) / SUMPRODUCT(0.985^(COLUMN($O15:$CN15)-COLUMN($O15))))</f>
        <v>9</v>
      </c>
      <c r="BC15" s="61" cm="1">
        <f t="array" ref="BC15">INT($C15 * 80% * (0.985^(COLUMN()-COLUMN($O15))) / SUMPRODUCT(0.985^(COLUMN($O15:$CN15)-COLUMN($O15))))</f>
        <v>8</v>
      </c>
      <c r="BD15" s="61" cm="1">
        <f t="array" ref="BD15">INT($C15 * 80% * (0.985^(COLUMN()-COLUMN($O15))) / SUMPRODUCT(0.985^(COLUMN($O15:$CN15)-COLUMN($O15))))</f>
        <v>8</v>
      </c>
      <c r="BE15" s="61" cm="1">
        <f t="array" ref="BE15">INT($C15 * 80% * (0.985^(COLUMN()-COLUMN($O15))) / SUMPRODUCT(0.985^(COLUMN($O15:$CN15)-COLUMN($O15))))</f>
        <v>8</v>
      </c>
      <c r="BF15" s="61" cm="1">
        <f t="array" ref="BF15">INT($C15 * 80% * (0.985^(COLUMN()-COLUMN($O15))) / SUMPRODUCT(0.985^(COLUMN($O15:$CN15)-COLUMN($O15))))</f>
        <v>8</v>
      </c>
      <c r="BG15" s="61" cm="1">
        <f t="array" ref="BG15">INT($C15 * 80% * (0.985^(COLUMN()-COLUMN($O15))) / SUMPRODUCT(0.985^(COLUMN($O15:$CN15)-COLUMN($O15))))</f>
        <v>8</v>
      </c>
      <c r="BH15" s="61" cm="1">
        <f t="array" ref="BH15">INT($C15 * 80% * (0.985^(COLUMN()-COLUMN($O15))) / SUMPRODUCT(0.985^(COLUMN($O15:$CN15)-COLUMN($O15))))</f>
        <v>8</v>
      </c>
      <c r="BI15" s="61" cm="1">
        <f t="array" ref="BI15">INT($C15 * 80% * (0.985^(COLUMN()-COLUMN($O15))) / SUMPRODUCT(0.985^(COLUMN($O15:$CN15)-COLUMN($O15))))</f>
        <v>8</v>
      </c>
      <c r="BJ15" s="61" cm="1">
        <f t="array" ref="BJ15">INT($C15 * 80% * (0.985^(COLUMN()-COLUMN($O15))) / SUMPRODUCT(0.985^(COLUMN($O15:$CN15)-COLUMN($O15))))</f>
        <v>7</v>
      </c>
      <c r="BK15" s="61" cm="1">
        <f t="array" ref="BK15">INT($C15 * 80% * (0.985^(COLUMN()-COLUMN($O15))) / SUMPRODUCT(0.985^(COLUMN($O15:$CN15)-COLUMN($O15))))</f>
        <v>7</v>
      </c>
      <c r="BL15" s="61" cm="1">
        <f t="array" ref="BL15">INT($C15 * 80% * (0.985^(COLUMN()-COLUMN($O15))) / SUMPRODUCT(0.985^(COLUMN($O15:$CN15)-COLUMN($O15))))</f>
        <v>7</v>
      </c>
      <c r="BM15" s="61" cm="1">
        <f t="array" ref="BM15">INT($C15 * 80% * (0.985^(COLUMN()-COLUMN($O15))) / SUMPRODUCT(0.985^(COLUMN($O15:$CN15)-COLUMN($O15))))</f>
        <v>7</v>
      </c>
      <c r="BN15" s="61" cm="1">
        <f t="array" ref="BN15">INT($C15 * 80% * (0.985^(COLUMN()-COLUMN($O15))) / SUMPRODUCT(0.985^(COLUMN($O15:$CN15)-COLUMN($O15))))</f>
        <v>7</v>
      </c>
      <c r="BO15" s="61" cm="1">
        <f t="array" ref="BO15">INT($C15 * 80% * (0.985^(COLUMN()-COLUMN($O15))) / SUMPRODUCT(0.985^(COLUMN($O15:$CN15)-COLUMN($O15))))</f>
        <v>7</v>
      </c>
      <c r="BP15" s="61" cm="1">
        <f t="array" ref="BP15">INT($C15 * 80% * (0.985^(COLUMN()-COLUMN($O15))) / SUMPRODUCT(0.985^(COLUMN($O15:$CN15)-COLUMN($O15))))</f>
        <v>7</v>
      </c>
      <c r="BQ15" s="61" cm="1">
        <f t="array" ref="BQ15">INT($C15 * 80% * (0.985^(COLUMN()-COLUMN($O15))) / SUMPRODUCT(0.985^(COLUMN($O15:$CN15)-COLUMN($O15))))</f>
        <v>7</v>
      </c>
      <c r="BR15" s="61" cm="1">
        <f t="array" ref="BR15">INT($C15 * 80% * (0.985^(COLUMN()-COLUMN($O15))) / SUMPRODUCT(0.985^(COLUMN($O15:$CN15)-COLUMN($O15))))</f>
        <v>7</v>
      </c>
      <c r="BS15" s="61" cm="1">
        <f t="array" ref="BS15">INT($C15 * 80% * (0.985^(COLUMN()-COLUMN($O15))) / SUMPRODUCT(0.985^(COLUMN($O15:$CN15)-COLUMN($O15))))</f>
        <v>6</v>
      </c>
      <c r="BT15" s="61" cm="1">
        <f t="array" ref="BT15">INT($C15 * 80% * (0.985^(COLUMN()-COLUMN($O15))) / SUMPRODUCT(0.985^(COLUMN($O15:$CN15)-COLUMN($O15))))</f>
        <v>6</v>
      </c>
      <c r="BU15" s="61" cm="1">
        <f t="array" ref="BU15">INT($C15 * 80% * (0.985^(COLUMN()-COLUMN($O15))) / SUMPRODUCT(0.985^(COLUMN($O15:$CN15)-COLUMN($O15))))</f>
        <v>6</v>
      </c>
      <c r="BV15" s="61" cm="1">
        <f t="array" ref="BV15">INT($C15 * 80% * (0.985^(COLUMN()-COLUMN($O15))) / SUMPRODUCT(0.985^(COLUMN($O15:$CN15)-COLUMN($O15))))</f>
        <v>6</v>
      </c>
      <c r="BW15" s="61" cm="1">
        <f t="array" ref="BW15">INT($C15 * 80% * (0.985^(COLUMN()-COLUMN($O15))) / SUMPRODUCT(0.985^(COLUMN($O15:$CN15)-COLUMN($O15))))</f>
        <v>6</v>
      </c>
      <c r="BX15" s="61" cm="1">
        <f t="array" ref="BX15">INT($C15 * 80% * (0.985^(COLUMN()-COLUMN($O15))) / SUMPRODUCT(0.985^(COLUMN($O15:$CN15)-COLUMN($O15))))</f>
        <v>6</v>
      </c>
      <c r="BY15" s="61" cm="1">
        <f t="array" ref="BY15">INT($C15 * 80% * (0.985^(COLUMN()-COLUMN($O15))) / SUMPRODUCT(0.985^(COLUMN($O15:$CN15)-COLUMN($O15))))</f>
        <v>6</v>
      </c>
      <c r="BZ15" s="61" cm="1">
        <f t="array" ref="BZ15">INT($C15 * 80% * (0.985^(COLUMN()-COLUMN($O15))) / SUMPRODUCT(0.985^(COLUMN($O15:$CN15)-COLUMN($O15))))</f>
        <v>6</v>
      </c>
      <c r="CA15" s="61" cm="1">
        <f t="array" ref="CA15">INT($C15 * 80% * (0.985^(COLUMN()-COLUMN($O15))) / SUMPRODUCT(0.985^(COLUMN($O15:$CN15)-COLUMN($O15))))</f>
        <v>6</v>
      </c>
      <c r="CB15" s="61" cm="1">
        <f t="array" ref="CB15">INT($C15 * 80% * (0.985^(COLUMN()-COLUMN($O15))) / SUMPRODUCT(0.985^(COLUMN($O15:$CN15)-COLUMN($O15))))</f>
        <v>6</v>
      </c>
      <c r="CC15" s="61" cm="1">
        <f t="array" ref="CC15">INT($C15 * 80% * (0.985^(COLUMN()-COLUMN($O15))) / SUMPRODUCT(0.985^(COLUMN($O15:$CN15)-COLUMN($O15))))</f>
        <v>5</v>
      </c>
      <c r="CD15" s="61" cm="1">
        <f t="array" ref="CD15">INT($C15 * 80% * (0.985^(COLUMN()-COLUMN($O15))) / SUMPRODUCT(0.985^(COLUMN($O15:$CN15)-COLUMN($O15))))</f>
        <v>5</v>
      </c>
      <c r="CE15" s="61" cm="1">
        <f t="array" ref="CE15">INT($C15 * 80% * (0.985^(COLUMN()-COLUMN($O15))) / SUMPRODUCT(0.985^(COLUMN($O15:$CN15)-COLUMN($O15))))</f>
        <v>5</v>
      </c>
      <c r="CF15" s="61" cm="1">
        <f t="array" ref="CF15">INT($C15 * 80% * (0.985^(COLUMN()-COLUMN($O15))) / SUMPRODUCT(0.985^(COLUMN($O15:$CN15)-COLUMN($O15))))</f>
        <v>5</v>
      </c>
      <c r="CG15" s="61" cm="1">
        <f t="array" ref="CG15">INT($C15 * 80% * (0.985^(COLUMN()-COLUMN($O15))) / SUMPRODUCT(0.985^(COLUMN($O15:$CN15)-COLUMN($O15))))</f>
        <v>5</v>
      </c>
      <c r="CH15" s="61" cm="1">
        <f t="array" ref="CH15">INT($C15 * 80% * (0.985^(COLUMN()-COLUMN($O15))) / SUMPRODUCT(0.985^(COLUMN($O15:$CN15)-COLUMN($O15))))</f>
        <v>5</v>
      </c>
      <c r="CI15" s="61" cm="1">
        <f t="array" ref="CI15">INT($C15 * 80% * (0.985^(COLUMN()-COLUMN($O15))) / SUMPRODUCT(0.985^(COLUMN($O15:$CN15)-COLUMN($O15))))</f>
        <v>5</v>
      </c>
      <c r="CJ15" s="61" cm="1">
        <f t="array" ref="CJ15">INT($C15 * 80% * (0.985^(COLUMN()-COLUMN($O15))) / SUMPRODUCT(0.985^(COLUMN($O15:$CN15)-COLUMN($O15))))</f>
        <v>5</v>
      </c>
      <c r="CK15" s="61" cm="1">
        <f t="array" ref="CK15">INT($C15 * 80% * (0.985^(COLUMN()-COLUMN($O15))) / SUMPRODUCT(0.985^(COLUMN($O15:$CN15)-COLUMN($O15))))</f>
        <v>5</v>
      </c>
      <c r="CL15" s="61" cm="1">
        <f t="array" ref="CL15">INT($C15 * 80% * (0.985^(COLUMN()-COLUMN($O15))) / SUMPRODUCT(0.985^(COLUMN($O15:$CN15)-COLUMN($O15))))</f>
        <v>5</v>
      </c>
      <c r="CM15" s="61" cm="1">
        <f t="array" ref="CM15">INT($C15 * 80% * (0.985^(COLUMN()-COLUMN($O15))) / SUMPRODUCT(0.985^(COLUMN($O15:$CN15)-COLUMN($O15))))</f>
        <v>5</v>
      </c>
      <c r="CN15" s="61" cm="1">
        <f t="array" ref="CN15">INT($C15 * 80% * (0.985^(COLUMN()-COLUMN($O15))) / SUMPRODUCT(0.985^(COLUMN($O15:$CN15)-COLUMN($O15))))</f>
        <v>5</v>
      </c>
    </row>
    <row r="16" spans="2:94" x14ac:dyDescent="0.25">
      <c r="D16">
        <f t="shared" ref="D16:D79" si="3">C16-SUM(E16:M16)</f>
        <v>0</v>
      </c>
    </row>
    <row r="17" spans="4:9" x14ac:dyDescent="0.25">
      <c r="D17">
        <f t="shared" si="3"/>
        <v>0</v>
      </c>
    </row>
    <row r="18" spans="4:9" x14ac:dyDescent="0.25">
      <c r="D18">
        <f t="shared" si="3"/>
        <v>0</v>
      </c>
    </row>
    <row r="19" spans="4:9" x14ac:dyDescent="0.25">
      <c r="D19">
        <f t="shared" si="3"/>
        <v>0</v>
      </c>
    </row>
    <row r="20" spans="4:9" x14ac:dyDescent="0.25">
      <c r="D20">
        <f t="shared" si="3"/>
        <v>0</v>
      </c>
    </row>
    <row r="21" spans="4:9" x14ac:dyDescent="0.25">
      <c r="D21">
        <f t="shared" si="3"/>
        <v>0</v>
      </c>
    </row>
    <row r="22" spans="4:9" x14ac:dyDescent="0.25">
      <c r="D22">
        <f t="shared" si="3"/>
        <v>0</v>
      </c>
    </row>
    <row r="23" spans="4:9" x14ac:dyDescent="0.25">
      <c r="D23">
        <f t="shared" si="3"/>
        <v>0</v>
      </c>
    </row>
    <row r="24" spans="4:9" x14ac:dyDescent="0.25">
      <c r="D24">
        <f t="shared" si="3"/>
        <v>0</v>
      </c>
    </row>
    <row r="25" spans="4:9" x14ac:dyDescent="0.25">
      <c r="D25">
        <f t="shared" si="3"/>
        <v>0</v>
      </c>
      <c r="I25" s="61"/>
    </row>
    <row r="26" spans="4:9" x14ac:dyDescent="0.25">
      <c r="D26">
        <f t="shared" si="3"/>
        <v>0</v>
      </c>
      <c r="I26" s="61"/>
    </row>
    <row r="27" spans="4:9" x14ac:dyDescent="0.25">
      <c r="D27">
        <f t="shared" si="3"/>
        <v>0</v>
      </c>
      <c r="I27" s="61"/>
    </row>
    <row r="28" spans="4:9" x14ac:dyDescent="0.25">
      <c r="D28">
        <f t="shared" si="3"/>
        <v>0</v>
      </c>
      <c r="I28" s="61"/>
    </row>
    <row r="29" spans="4:9" x14ac:dyDescent="0.25">
      <c r="D29">
        <f t="shared" si="3"/>
        <v>0</v>
      </c>
      <c r="I29" s="61"/>
    </row>
    <row r="30" spans="4:9" x14ac:dyDescent="0.25">
      <c r="D30">
        <f t="shared" si="3"/>
        <v>0</v>
      </c>
      <c r="I30" s="61"/>
    </row>
    <row r="31" spans="4:9" x14ac:dyDescent="0.25">
      <c r="D31">
        <f t="shared" si="3"/>
        <v>0</v>
      </c>
      <c r="I31" s="61"/>
    </row>
    <row r="32" spans="4:9" x14ac:dyDescent="0.25">
      <c r="D32">
        <f t="shared" si="3"/>
        <v>0</v>
      </c>
      <c r="I32" s="61"/>
    </row>
    <row r="33" spans="4:9" x14ac:dyDescent="0.25">
      <c r="D33">
        <f t="shared" si="3"/>
        <v>0</v>
      </c>
      <c r="I33" s="61"/>
    </row>
    <row r="34" spans="4:9" x14ac:dyDescent="0.25">
      <c r="D34">
        <f t="shared" si="3"/>
        <v>0</v>
      </c>
      <c r="I34" s="61"/>
    </row>
    <row r="35" spans="4:9" x14ac:dyDescent="0.25">
      <c r="D35">
        <f t="shared" si="3"/>
        <v>0</v>
      </c>
      <c r="I35" s="61"/>
    </row>
    <row r="36" spans="4:9" x14ac:dyDescent="0.25">
      <c r="D36">
        <f t="shared" si="3"/>
        <v>0</v>
      </c>
    </row>
    <row r="37" spans="4:9" x14ac:dyDescent="0.25">
      <c r="D37">
        <f t="shared" si="3"/>
        <v>0</v>
      </c>
    </row>
    <row r="38" spans="4:9" x14ac:dyDescent="0.25">
      <c r="D38">
        <f t="shared" si="3"/>
        <v>0</v>
      </c>
    </row>
    <row r="39" spans="4:9" x14ac:dyDescent="0.25">
      <c r="D39">
        <f t="shared" si="3"/>
        <v>0</v>
      </c>
    </row>
    <row r="40" spans="4:9" x14ac:dyDescent="0.25">
      <c r="D40">
        <f t="shared" si="3"/>
        <v>0</v>
      </c>
    </row>
    <row r="41" spans="4:9" x14ac:dyDescent="0.25">
      <c r="D41">
        <f t="shared" si="3"/>
        <v>0</v>
      </c>
    </row>
    <row r="42" spans="4:9" x14ac:dyDescent="0.25">
      <c r="D42">
        <f t="shared" si="3"/>
        <v>0</v>
      </c>
    </row>
    <row r="43" spans="4:9" x14ac:dyDescent="0.25">
      <c r="D43">
        <f t="shared" si="3"/>
        <v>0</v>
      </c>
    </row>
    <row r="44" spans="4:9" x14ac:dyDescent="0.25">
      <c r="D44">
        <f t="shared" si="3"/>
        <v>0</v>
      </c>
    </row>
    <row r="45" spans="4:9" x14ac:dyDescent="0.25">
      <c r="D45">
        <f t="shared" si="3"/>
        <v>0</v>
      </c>
    </row>
    <row r="46" spans="4:9" x14ac:dyDescent="0.25">
      <c r="D46">
        <f t="shared" si="3"/>
        <v>0</v>
      </c>
    </row>
    <row r="47" spans="4:9" x14ac:dyDescent="0.25">
      <c r="D47">
        <f t="shared" si="3"/>
        <v>0</v>
      </c>
    </row>
    <row r="48" spans="4:9" x14ac:dyDescent="0.25">
      <c r="D48">
        <f t="shared" si="3"/>
        <v>0</v>
      </c>
    </row>
    <row r="49" spans="2:4" x14ac:dyDescent="0.25">
      <c r="D49">
        <f t="shared" si="3"/>
        <v>0</v>
      </c>
    </row>
    <row r="50" spans="2:4" x14ac:dyDescent="0.25">
      <c r="D50">
        <f t="shared" si="3"/>
        <v>0</v>
      </c>
    </row>
    <row r="51" spans="2:4" x14ac:dyDescent="0.25">
      <c r="B51" s="38"/>
      <c r="C51" s="39"/>
      <c r="D51">
        <f t="shared" si="3"/>
        <v>0</v>
      </c>
    </row>
    <row r="52" spans="2:4" x14ac:dyDescent="0.25">
      <c r="B52" s="38"/>
      <c r="C52" s="39"/>
      <c r="D52">
        <f t="shared" si="3"/>
        <v>0</v>
      </c>
    </row>
    <row r="53" spans="2:4" x14ac:dyDescent="0.25">
      <c r="B53" s="38"/>
      <c r="C53" s="39"/>
      <c r="D53">
        <f t="shared" si="3"/>
        <v>0</v>
      </c>
    </row>
    <row r="54" spans="2:4" x14ac:dyDescent="0.25">
      <c r="B54" s="38"/>
      <c r="C54" s="39"/>
      <c r="D54">
        <f t="shared" si="3"/>
        <v>0</v>
      </c>
    </row>
    <row r="55" spans="2:4" x14ac:dyDescent="0.25">
      <c r="B55" s="40"/>
      <c r="C55" s="36"/>
      <c r="D55">
        <f t="shared" si="3"/>
        <v>0</v>
      </c>
    </row>
    <row r="56" spans="2:4" x14ac:dyDescent="0.25">
      <c r="B56" s="41"/>
      <c r="C56" s="39"/>
      <c r="D56">
        <f t="shared" si="3"/>
        <v>0</v>
      </c>
    </row>
    <row r="57" spans="2:4" x14ac:dyDescent="0.25">
      <c r="B57" s="35"/>
      <c r="C57" s="36"/>
      <c r="D57">
        <f t="shared" si="3"/>
        <v>0</v>
      </c>
    </row>
    <row r="58" spans="2:4" x14ac:dyDescent="0.25">
      <c r="B58" s="38"/>
      <c r="C58" s="39"/>
      <c r="D58">
        <f t="shared" si="3"/>
        <v>0</v>
      </c>
    </row>
    <row r="59" spans="2:4" x14ac:dyDescent="0.25">
      <c r="B59" s="38"/>
      <c r="C59" s="39"/>
      <c r="D59">
        <f t="shared" si="3"/>
        <v>0</v>
      </c>
    </row>
    <row r="60" spans="2:4" x14ac:dyDescent="0.25">
      <c r="B60" s="40"/>
      <c r="C60" s="36"/>
      <c r="D60">
        <f t="shared" si="3"/>
        <v>0</v>
      </c>
    </row>
    <row r="61" spans="2:4" x14ac:dyDescent="0.25">
      <c r="B61" s="41"/>
      <c r="C61" s="39"/>
      <c r="D61">
        <f t="shared" si="3"/>
        <v>0</v>
      </c>
    </row>
    <row r="62" spans="2:4" x14ac:dyDescent="0.25">
      <c r="B62" s="35"/>
      <c r="C62" s="36"/>
      <c r="D62">
        <f t="shared" si="3"/>
        <v>0</v>
      </c>
    </row>
    <row r="63" spans="2:4" x14ac:dyDescent="0.25">
      <c r="B63" s="38"/>
      <c r="C63" s="39"/>
      <c r="D63">
        <f t="shared" si="3"/>
        <v>0</v>
      </c>
    </row>
    <row r="64" spans="2:4" x14ac:dyDescent="0.25">
      <c r="B64" s="40"/>
      <c r="C64" s="36"/>
      <c r="D64">
        <f t="shared" si="3"/>
        <v>0</v>
      </c>
    </row>
    <row r="65" spans="2:4" x14ac:dyDescent="0.25">
      <c r="B65" s="41"/>
      <c r="C65" s="39"/>
      <c r="D65">
        <f t="shared" si="3"/>
        <v>0</v>
      </c>
    </row>
    <row r="66" spans="2:4" x14ac:dyDescent="0.25">
      <c r="B66" s="35"/>
      <c r="C66" s="36"/>
      <c r="D66">
        <f t="shared" si="3"/>
        <v>0</v>
      </c>
    </row>
    <row r="67" spans="2:4" x14ac:dyDescent="0.25">
      <c r="B67" s="38"/>
      <c r="C67" s="39"/>
      <c r="D67">
        <f t="shared" si="3"/>
        <v>0</v>
      </c>
    </row>
    <row r="68" spans="2:4" x14ac:dyDescent="0.25">
      <c r="B68" s="38"/>
      <c r="C68" s="39"/>
      <c r="D68">
        <f t="shared" si="3"/>
        <v>0</v>
      </c>
    </row>
    <row r="69" spans="2:4" x14ac:dyDescent="0.25">
      <c r="B69" s="38"/>
      <c r="C69" s="39"/>
      <c r="D69">
        <f t="shared" si="3"/>
        <v>0</v>
      </c>
    </row>
    <row r="70" spans="2:4" x14ac:dyDescent="0.25">
      <c r="B70" s="40"/>
      <c r="C70" s="36"/>
      <c r="D70">
        <f t="shared" si="3"/>
        <v>0</v>
      </c>
    </row>
    <row r="71" spans="2:4" x14ac:dyDescent="0.25">
      <c r="B71" s="41"/>
      <c r="C71" s="39"/>
      <c r="D71">
        <f t="shared" si="3"/>
        <v>0</v>
      </c>
    </row>
    <row r="72" spans="2:4" x14ac:dyDescent="0.25">
      <c r="B72" s="35"/>
      <c r="C72" s="36"/>
      <c r="D72">
        <f t="shared" si="3"/>
        <v>0</v>
      </c>
    </row>
    <row r="73" spans="2:4" x14ac:dyDescent="0.25">
      <c r="B73" s="38"/>
      <c r="C73" s="39"/>
      <c r="D73">
        <f t="shared" si="3"/>
        <v>0</v>
      </c>
    </row>
    <row r="74" spans="2:4" x14ac:dyDescent="0.25">
      <c r="B74" s="38"/>
      <c r="C74" s="39"/>
      <c r="D74">
        <f t="shared" si="3"/>
        <v>0</v>
      </c>
    </row>
    <row r="75" spans="2:4" x14ac:dyDescent="0.25">
      <c r="B75" s="38"/>
      <c r="C75" s="39"/>
      <c r="D75">
        <f t="shared" si="3"/>
        <v>0</v>
      </c>
    </row>
    <row r="76" spans="2:4" x14ac:dyDescent="0.25">
      <c r="B76" s="38"/>
      <c r="C76" s="39"/>
      <c r="D76">
        <f t="shared" si="3"/>
        <v>0</v>
      </c>
    </row>
    <row r="77" spans="2:4" x14ac:dyDescent="0.25">
      <c r="B77" s="38"/>
      <c r="C77" s="39"/>
      <c r="D77">
        <f t="shared" si="3"/>
        <v>0</v>
      </c>
    </row>
    <row r="78" spans="2:4" x14ac:dyDescent="0.25">
      <c r="B78" s="38"/>
      <c r="C78" s="39"/>
      <c r="D78">
        <f t="shared" si="3"/>
        <v>0</v>
      </c>
    </row>
    <row r="79" spans="2:4" x14ac:dyDescent="0.25">
      <c r="B79" s="38"/>
      <c r="C79" s="39"/>
      <c r="D79">
        <f t="shared" si="3"/>
        <v>0</v>
      </c>
    </row>
    <row r="80" spans="2:4" x14ac:dyDescent="0.25">
      <c r="B80" s="38"/>
      <c r="C80" s="39"/>
      <c r="D80">
        <f t="shared" ref="D80:D143" si="4">C80-SUM(E80:M80)</f>
        <v>0</v>
      </c>
    </row>
    <row r="81" spans="2:4" x14ac:dyDescent="0.25">
      <c r="B81" s="40"/>
      <c r="C81" s="36"/>
      <c r="D81">
        <f t="shared" si="4"/>
        <v>0</v>
      </c>
    </row>
    <row r="82" spans="2:4" x14ac:dyDescent="0.25">
      <c r="B82" s="41"/>
      <c r="C82" s="39"/>
      <c r="D82">
        <f t="shared" si="4"/>
        <v>0</v>
      </c>
    </row>
    <row r="83" spans="2:4" x14ac:dyDescent="0.25">
      <c r="B83" s="35"/>
      <c r="C83" s="36"/>
      <c r="D83">
        <f t="shared" si="4"/>
        <v>0</v>
      </c>
    </row>
    <row r="84" spans="2:4" x14ac:dyDescent="0.25">
      <c r="B84" s="38"/>
      <c r="C84" s="39"/>
      <c r="D84">
        <f t="shared" si="4"/>
        <v>0</v>
      </c>
    </row>
    <row r="85" spans="2:4" x14ac:dyDescent="0.25">
      <c r="B85" s="40"/>
      <c r="C85" s="36"/>
      <c r="D85">
        <f t="shared" si="4"/>
        <v>0</v>
      </c>
    </row>
    <row r="86" spans="2:4" x14ac:dyDescent="0.25">
      <c r="B86" s="41"/>
      <c r="C86" s="39"/>
      <c r="D86">
        <f t="shared" si="4"/>
        <v>0</v>
      </c>
    </row>
    <row r="87" spans="2:4" x14ac:dyDescent="0.25">
      <c r="B87" s="35"/>
      <c r="C87" s="36"/>
      <c r="D87">
        <f t="shared" si="4"/>
        <v>0</v>
      </c>
    </row>
    <row r="88" spans="2:4" x14ac:dyDescent="0.25">
      <c r="B88" s="38"/>
      <c r="C88" s="39"/>
      <c r="D88">
        <f t="shared" si="4"/>
        <v>0</v>
      </c>
    </row>
    <row r="89" spans="2:4" x14ac:dyDescent="0.25">
      <c r="B89" s="38"/>
      <c r="C89" s="39"/>
      <c r="D89">
        <f t="shared" si="4"/>
        <v>0</v>
      </c>
    </row>
    <row r="90" spans="2:4" x14ac:dyDescent="0.25">
      <c r="B90" s="40"/>
      <c r="C90" s="36"/>
      <c r="D90">
        <f t="shared" si="4"/>
        <v>0</v>
      </c>
    </row>
    <row r="91" spans="2:4" x14ac:dyDescent="0.25">
      <c r="B91" s="41"/>
      <c r="C91" s="39"/>
      <c r="D91">
        <f t="shared" si="4"/>
        <v>0</v>
      </c>
    </row>
    <row r="92" spans="2:4" x14ac:dyDescent="0.25">
      <c r="B92" s="35"/>
      <c r="C92" s="36"/>
      <c r="D92">
        <f t="shared" si="4"/>
        <v>0</v>
      </c>
    </row>
    <row r="93" spans="2:4" x14ac:dyDescent="0.25">
      <c r="B93" s="38"/>
      <c r="C93" s="39"/>
      <c r="D93">
        <f t="shared" si="4"/>
        <v>0</v>
      </c>
    </row>
    <row r="94" spans="2:4" x14ac:dyDescent="0.25">
      <c r="B94" s="38"/>
      <c r="C94" s="39"/>
      <c r="D94">
        <f t="shared" si="4"/>
        <v>0</v>
      </c>
    </row>
    <row r="95" spans="2:4" x14ac:dyDescent="0.25">
      <c r="B95" s="38"/>
      <c r="C95" s="39"/>
      <c r="D95">
        <f t="shared" si="4"/>
        <v>0</v>
      </c>
    </row>
    <row r="96" spans="2:4" x14ac:dyDescent="0.25">
      <c r="B96" s="38"/>
      <c r="C96" s="39"/>
      <c r="D96">
        <f t="shared" si="4"/>
        <v>0</v>
      </c>
    </row>
    <row r="97" spans="2:13" x14ac:dyDescent="0.25">
      <c r="B97" s="38"/>
      <c r="C97" s="39"/>
      <c r="D97">
        <f t="shared" si="4"/>
        <v>0</v>
      </c>
    </row>
    <row r="98" spans="2:13" x14ac:dyDescent="0.25">
      <c r="B98" s="40"/>
      <c r="C98" s="36"/>
      <c r="D98">
        <f t="shared" si="4"/>
        <v>0</v>
      </c>
    </row>
    <row r="99" spans="2:13" x14ac:dyDescent="0.25">
      <c r="B99" s="41"/>
      <c r="C99" s="39"/>
      <c r="D99">
        <f t="shared" si="4"/>
        <v>0</v>
      </c>
    </row>
    <row r="100" spans="2:13" x14ac:dyDescent="0.25">
      <c r="B100" s="35"/>
      <c r="C100" s="36"/>
      <c r="D100">
        <f t="shared" si="4"/>
        <v>0</v>
      </c>
    </row>
    <row r="101" spans="2:13" x14ac:dyDescent="0.25">
      <c r="B101" s="38"/>
      <c r="C101" s="39"/>
      <c r="D101">
        <f t="shared" si="4"/>
        <v>0</v>
      </c>
      <c r="E101" s="34"/>
      <c r="F101" s="34"/>
      <c r="G101" s="34"/>
      <c r="H101" s="34"/>
      <c r="I101" s="34"/>
      <c r="J101" s="34"/>
      <c r="K101" s="34"/>
      <c r="L101" s="34"/>
      <c r="M101" s="34"/>
    </row>
    <row r="102" spans="2:13" x14ac:dyDescent="0.25">
      <c r="B102" s="38"/>
      <c r="C102" s="39"/>
      <c r="D102">
        <f t="shared" si="4"/>
        <v>0</v>
      </c>
      <c r="E102" s="34"/>
      <c r="F102" s="34"/>
      <c r="G102" s="34"/>
      <c r="H102" s="34"/>
      <c r="I102" s="34"/>
      <c r="J102" s="34"/>
      <c r="K102" s="34"/>
      <c r="L102" s="34"/>
      <c r="M102" s="34"/>
    </row>
    <row r="103" spans="2:13" x14ac:dyDescent="0.25">
      <c r="B103" s="38"/>
      <c r="C103" s="39"/>
      <c r="D103">
        <f t="shared" si="4"/>
        <v>0</v>
      </c>
      <c r="E103" s="34"/>
      <c r="F103" s="34"/>
      <c r="G103" s="34"/>
      <c r="H103" s="34"/>
      <c r="I103" s="34"/>
      <c r="J103" s="34"/>
      <c r="K103" s="34"/>
      <c r="L103" s="34"/>
      <c r="M103" s="34"/>
    </row>
    <row r="104" spans="2:13" x14ac:dyDescent="0.25">
      <c r="B104" s="38"/>
      <c r="C104" s="39"/>
      <c r="D104">
        <f t="shared" si="4"/>
        <v>0</v>
      </c>
      <c r="E104" s="34"/>
      <c r="F104" s="34"/>
      <c r="G104" s="34"/>
      <c r="H104" s="34"/>
      <c r="I104" s="34"/>
      <c r="J104" s="34"/>
      <c r="K104" s="34"/>
      <c r="L104" s="34"/>
      <c r="M104" s="34"/>
    </row>
    <row r="105" spans="2:13" x14ac:dyDescent="0.25">
      <c r="B105" s="38"/>
      <c r="C105" s="39"/>
      <c r="D105">
        <f t="shared" si="4"/>
        <v>0</v>
      </c>
      <c r="E105" s="34"/>
      <c r="F105" s="34"/>
      <c r="G105" s="34"/>
      <c r="H105" s="34"/>
      <c r="I105" s="34"/>
      <c r="J105" s="34"/>
      <c r="K105" s="34"/>
      <c r="L105" s="34"/>
      <c r="M105" s="34"/>
    </row>
    <row r="106" spans="2:13" x14ac:dyDescent="0.25">
      <c r="B106" s="38"/>
      <c r="C106" s="39"/>
      <c r="D106">
        <f t="shared" si="4"/>
        <v>0</v>
      </c>
      <c r="E106" s="34"/>
      <c r="F106" s="34"/>
      <c r="G106" s="34"/>
      <c r="H106" s="34"/>
      <c r="I106" s="34"/>
      <c r="J106" s="34"/>
      <c r="K106" s="34"/>
      <c r="L106" s="34"/>
      <c r="M106" s="34"/>
    </row>
    <row r="107" spans="2:13" x14ac:dyDescent="0.25">
      <c r="B107" s="38"/>
      <c r="C107" s="39"/>
      <c r="D107">
        <f t="shared" si="4"/>
        <v>0</v>
      </c>
      <c r="E107" s="34"/>
      <c r="F107" s="34"/>
      <c r="G107" s="34"/>
      <c r="H107" s="34"/>
      <c r="I107" s="34"/>
      <c r="J107" s="34"/>
      <c r="K107" s="34"/>
      <c r="L107" s="34"/>
      <c r="M107" s="34"/>
    </row>
    <row r="108" spans="2:13" x14ac:dyDescent="0.25">
      <c r="B108" s="38"/>
      <c r="C108" s="39"/>
      <c r="D108">
        <f t="shared" si="4"/>
        <v>0</v>
      </c>
      <c r="E108" s="34"/>
      <c r="F108" s="34"/>
      <c r="G108" s="34"/>
      <c r="H108" s="34"/>
      <c r="I108" s="34"/>
      <c r="J108" s="34"/>
      <c r="K108" s="34"/>
      <c r="L108" s="34"/>
      <c r="M108" s="34"/>
    </row>
    <row r="109" spans="2:13" x14ac:dyDescent="0.25">
      <c r="B109" s="38"/>
      <c r="C109" s="39"/>
      <c r="D109">
        <f t="shared" si="4"/>
        <v>0</v>
      </c>
      <c r="E109" s="34"/>
      <c r="F109" s="34"/>
      <c r="G109" s="34"/>
      <c r="H109" s="34"/>
      <c r="I109" s="34"/>
      <c r="J109" s="34"/>
      <c r="K109" s="34"/>
      <c r="L109" s="34"/>
      <c r="M109" s="34"/>
    </row>
    <row r="110" spans="2:13" x14ac:dyDescent="0.25">
      <c r="B110" s="38"/>
      <c r="C110" s="39"/>
      <c r="D110">
        <f t="shared" si="4"/>
        <v>0</v>
      </c>
      <c r="E110" s="34"/>
      <c r="F110" s="34"/>
      <c r="G110" s="34"/>
      <c r="H110" s="34"/>
      <c r="I110" s="34"/>
      <c r="J110" s="34"/>
      <c r="K110" s="34"/>
      <c r="L110" s="34"/>
      <c r="M110" s="34"/>
    </row>
    <row r="111" spans="2:13" x14ac:dyDescent="0.25">
      <c r="B111" s="38"/>
      <c r="C111" s="39"/>
      <c r="D111">
        <f t="shared" si="4"/>
        <v>0</v>
      </c>
      <c r="E111" s="34"/>
      <c r="F111" s="34"/>
      <c r="G111" s="34"/>
      <c r="H111" s="34"/>
      <c r="I111" s="34"/>
      <c r="J111" s="34"/>
      <c r="K111" s="34"/>
      <c r="L111" s="34"/>
      <c r="M111" s="34"/>
    </row>
    <row r="112" spans="2:13" x14ac:dyDescent="0.25">
      <c r="B112" s="38"/>
      <c r="C112" s="39"/>
      <c r="D112">
        <f t="shared" si="4"/>
        <v>0</v>
      </c>
      <c r="E112" s="34"/>
      <c r="F112" s="34"/>
      <c r="G112" s="34"/>
      <c r="H112" s="34"/>
      <c r="I112" s="34"/>
      <c r="J112" s="34"/>
      <c r="K112" s="34"/>
      <c r="L112" s="34"/>
      <c r="M112" s="34"/>
    </row>
    <row r="113" spans="2:13" x14ac:dyDescent="0.25">
      <c r="B113" s="38"/>
      <c r="C113" s="39"/>
      <c r="D113">
        <f t="shared" si="4"/>
        <v>0</v>
      </c>
      <c r="E113" s="34"/>
      <c r="F113" s="34"/>
      <c r="G113" s="34"/>
      <c r="H113" s="34"/>
      <c r="I113" s="34"/>
      <c r="J113" s="34"/>
      <c r="K113" s="34"/>
      <c r="L113" s="34"/>
      <c r="M113" s="34"/>
    </row>
    <row r="114" spans="2:13" x14ac:dyDescent="0.25">
      <c r="B114" s="38"/>
      <c r="C114" s="39"/>
      <c r="D114">
        <f t="shared" si="4"/>
        <v>0</v>
      </c>
      <c r="E114" s="34"/>
      <c r="F114" s="34"/>
      <c r="G114" s="34"/>
      <c r="H114" s="34"/>
      <c r="I114" s="34"/>
      <c r="J114" s="34"/>
      <c r="K114" s="34"/>
      <c r="L114" s="34"/>
      <c r="M114" s="34"/>
    </row>
    <row r="115" spans="2:13" x14ac:dyDescent="0.25">
      <c r="B115" s="40"/>
      <c r="C115" s="36"/>
      <c r="D115">
        <f t="shared" si="4"/>
        <v>0</v>
      </c>
      <c r="E115" s="34"/>
      <c r="F115" s="34"/>
      <c r="G115" s="34"/>
      <c r="H115" s="34"/>
      <c r="I115" s="34"/>
      <c r="J115" s="34"/>
      <c r="K115" s="34"/>
      <c r="L115" s="34"/>
      <c r="M115" s="34"/>
    </row>
    <row r="116" spans="2:13" x14ac:dyDescent="0.25">
      <c r="B116" s="41"/>
      <c r="C116" s="39"/>
      <c r="D116">
        <f t="shared" si="4"/>
        <v>0</v>
      </c>
      <c r="E116" s="34"/>
      <c r="F116" s="34"/>
      <c r="G116" s="34"/>
      <c r="H116" s="34"/>
      <c r="I116" s="34"/>
      <c r="J116" s="34"/>
      <c r="K116" s="34"/>
      <c r="L116" s="34"/>
      <c r="M116" s="34"/>
    </row>
    <row r="117" spans="2:13" x14ac:dyDescent="0.25">
      <c r="B117" s="35"/>
      <c r="C117" s="36"/>
      <c r="D117">
        <f t="shared" si="4"/>
        <v>0</v>
      </c>
      <c r="E117" s="34"/>
      <c r="F117" s="34"/>
      <c r="G117" s="34"/>
      <c r="H117" s="34"/>
      <c r="I117" s="34"/>
      <c r="J117" s="34"/>
      <c r="K117" s="34"/>
      <c r="L117" s="34"/>
      <c r="M117" s="34"/>
    </row>
    <row r="118" spans="2:13" x14ac:dyDescent="0.25">
      <c r="B118" s="38"/>
      <c r="C118" s="39"/>
      <c r="D118">
        <f t="shared" si="4"/>
        <v>0</v>
      </c>
      <c r="E118" s="34"/>
      <c r="F118" s="34"/>
      <c r="G118" s="34"/>
      <c r="H118" s="34"/>
      <c r="I118" s="34"/>
      <c r="J118" s="34"/>
      <c r="K118" s="34"/>
      <c r="L118" s="34"/>
      <c r="M118" s="34"/>
    </row>
    <row r="119" spans="2:13" x14ac:dyDescent="0.25">
      <c r="B119" s="38"/>
      <c r="C119" s="39"/>
      <c r="D119">
        <f t="shared" si="4"/>
        <v>0</v>
      </c>
      <c r="E119" s="34"/>
      <c r="F119" s="34"/>
      <c r="G119" s="34"/>
      <c r="H119" s="34"/>
      <c r="I119" s="34"/>
      <c r="J119" s="34"/>
      <c r="K119" s="34"/>
      <c r="L119" s="34"/>
      <c r="M119" s="34"/>
    </row>
    <row r="120" spans="2:13" x14ac:dyDescent="0.25">
      <c r="B120" s="38"/>
      <c r="C120" s="39"/>
      <c r="D120">
        <f t="shared" si="4"/>
        <v>0</v>
      </c>
      <c r="E120" s="34"/>
      <c r="F120" s="34"/>
      <c r="G120" s="34"/>
      <c r="H120" s="34"/>
      <c r="I120" s="34"/>
      <c r="J120" s="34"/>
      <c r="K120" s="34"/>
      <c r="L120" s="34"/>
      <c r="M120" s="34"/>
    </row>
    <row r="121" spans="2:13" x14ac:dyDescent="0.25">
      <c r="B121" s="40"/>
      <c r="C121" s="36"/>
      <c r="D121">
        <f t="shared" si="4"/>
        <v>0</v>
      </c>
      <c r="E121" s="34"/>
      <c r="F121" s="34"/>
      <c r="G121" s="34"/>
      <c r="H121" s="34"/>
      <c r="I121" s="34"/>
      <c r="J121" s="34"/>
      <c r="K121" s="34"/>
      <c r="L121" s="34"/>
      <c r="M121" s="34"/>
    </row>
    <row r="122" spans="2:13" x14ac:dyDescent="0.25">
      <c r="B122" s="41"/>
      <c r="C122" s="39"/>
      <c r="D122">
        <f t="shared" si="4"/>
        <v>0</v>
      </c>
      <c r="E122" s="34"/>
      <c r="F122" s="34"/>
      <c r="G122" s="34"/>
      <c r="H122" s="34"/>
      <c r="I122" s="34"/>
      <c r="J122" s="34"/>
      <c r="K122" s="34"/>
      <c r="L122" s="34"/>
      <c r="M122" s="34"/>
    </row>
    <row r="123" spans="2:13" x14ac:dyDescent="0.25">
      <c r="B123" s="35"/>
      <c r="C123" s="36"/>
      <c r="D123">
        <f t="shared" si="4"/>
        <v>0</v>
      </c>
      <c r="E123" s="34"/>
      <c r="F123" s="34"/>
      <c r="G123" s="34"/>
      <c r="H123" s="34"/>
      <c r="I123" s="34"/>
      <c r="J123" s="34"/>
      <c r="K123" s="34"/>
      <c r="L123" s="34"/>
      <c r="M123" s="34"/>
    </row>
    <row r="124" spans="2:13" x14ac:dyDescent="0.25">
      <c r="B124" s="38"/>
      <c r="C124" s="39"/>
      <c r="D124">
        <f t="shared" si="4"/>
        <v>0</v>
      </c>
      <c r="E124" s="34"/>
      <c r="F124" s="34"/>
      <c r="G124" s="34"/>
      <c r="H124" s="34"/>
      <c r="I124" s="34"/>
      <c r="J124" s="34"/>
      <c r="K124" s="34"/>
      <c r="L124" s="34"/>
      <c r="M124" s="34"/>
    </row>
    <row r="125" spans="2:13" x14ac:dyDescent="0.25">
      <c r="B125" s="38"/>
      <c r="C125" s="39"/>
      <c r="D125">
        <f t="shared" si="4"/>
        <v>0</v>
      </c>
      <c r="E125" s="34"/>
      <c r="F125" s="34"/>
      <c r="G125" s="34"/>
      <c r="H125" s="34"/>
      <c r="I125" s="34"/>
      <c r="J125" s="34"/>
      <c r="K125" s="34"/>
      <c r="L125" s="34"/>
      <c r="M125" s="34"/>
    </row>
    <row r="126" spans="2:13" x14ac:dyDescent="0.25">
      <c r="B126" s="40"/>
      <c r="C126" s="36"/>
      <c r="D126">
        <f t="shared" si="4"/>
        <v>0</v>
      </c>
      <c r="E126" s="34"/>
      <c r="F126" s="34"/>
      <c r="G126" s="34"/>
      <c r="H126" s="34"/>
      <c r="I126" s="34"/>
      <c r="J126" s="34"/>
      <c r="K126" s="34"/>
      <c r="L126" s="34"/>
      <c r="M126" s="34"/>
    </row>
    <row r="127" spans="2:13" x14ac:dyDescent="0.25">
      <c r="B127" s="41"/>
      <c r="C127" s="39"/>
      <c r="D127">
        <f t="shared" si="4"/>
        <v>0</v>
      </c>
      <c r="E127" s="34"/>
      <c r="F127" s="34"/>
      <c r="G127" s="34"/>
      <c r="H127" s="34"/>
      <c r="I127" s="34"/>
      <c r="J127" s="34"/>
      <c r="K127" s="34"/>
      <c r="L127" s="34"/>
      <c r="M127" s="34"/>
    </row>
    <row r="128" spans="2:13" x14ac:dyDescent="0.25">
      <c r="B128" s="35"/>
      <c r="C128" s="36"/>
      <c r="D128">
        <f t="shared" si="4"/>
        <v>0</v>
      </c>
      <c r="E128" s="34"/>
      <c r="F128" s="34"/>
      <c r="G128" s="34"/>
      <c r="H128" s="34"/>
      <c r="I128" s="34"/>
      <c r="J128" s="34"/>
      <c r="K128" s="34"/>
      <c r="L128" s="34"/>
      <c r="M128" s="34"/>
    </row>
    <row r="129" spans="2:13" x14ac:dyDescent="0.25">
      <c r="B129" s="38"/>
      <c r="C129" s="39"/>
      <c r="D129">
        <f t="shared" si="4"/>
        <v>0</v>
      </c>
      <c r="E129" s="34"/>
      <c r="F129" s="34"/>
      <c r="G129" s="34"/>
      <c r="H129" s="34"/>
      <c r="I129" s="34"/>
      <c r="J129" s="34"/>
      <c r="K129" s="34"/>
      <c r="L129" s="34"/>
      <c r="M129" s="34"/>
    </row>
    <row r="130" spans="2:13" x14ac:dyDescent="0.25">
      <c r="B130" s="38"/>
      <c r="C130" s="39"/>
      <c r="D130">
        <f t="shared" si="4"/>
        <v>0</v>
      </c>
      <c r="E130" s="34"/>
      <c r="F130" s="34"/>
      <c r="G130" s="34"/>
      <c r="H130" s="34"/>
      <c r="I130" s="34"/>
      <c r="J130" s="34"/>
      <c r="K130" s="34"/>
      <c r="L130" s="34"/>
      <c r="M130" s="34"/>
    </row>
    <row r="131" spans="2:13" x14ac:dyDescent="0.25">
      <c r="B131" s="38"/>
      <c r="C131" s="39"/>
      <c r="D131">
        <f t="shared" si="4"/>
        <v>0</v>
      </c>
      <c r="E131" s="34"/>
      <c r="F131" s="34"/>
      <c r="G131" s="34"/>
      <c r="H131" s="34"/>
      <c r="I131" s="34"/>
      <c r="J131" s="34"/>
      <c r="K131" s="34"/>
      <c r="L131" s="34"/>
      <c r="M131" s="34"/>
    </row>
    <row r="132" spans="2:13" x14ac:dyDescent="0.25">
      <c r="B132" s="38"/>
      <c r="C132" s="39"/>
      <c r="D132">
        <f t="shared" si="4"/>
        <v>0</v>
      </c>
      <c r="E132" s="34"/>
      <c r="F132" s="34"/>
      <c r="G132" s="34"/>
      <c r="H132" s="34"/>
      <c r="I132" s="34"/>
      <c r="J132" s="34"/>
      <c r="K132" s="34"/>
      <c r="L132" s="34"/>
      <c r="M132" s="34"/>
    </row>
    <row r="133" spans="2:13" x14ac:dyDescent="0.25">
      <c r="B133" s="38"/>
      <c r="C133" s="39"/>
      <c r="D133">
        <f t="shared" si="4"/>
        <v>0</v>
      </c>
      <c r="E133" s="34"/>
      <c r="F133" s="34"/>
      <c r="G133" s="34"/>
      <c r="H133" s="34"/>
      <c r="I133" s="34"/>
      <c r="J133" s="34"/>
      <c r="K133" s="34"/>
      <c r="L133" s="34"/>
      <c r="M133" s="34"/>
    </row>
    <row r="134" spans="2:13" x14ac:dyDescent="0.25">
      <c r="B134" s="38"/>
      <c r="C134" s="39"/>
      <c r="D134">
        <f t="shared" si="4"/>
        <v>0</v>
      </c>
      <c r="E134" s="34"/>
      <c r="F134" s="34"/>
      <c r="G134" s="34"/>
      <c r="H134" s="34"/>
      <c r="I134" s="34"/>
      <c r="J134" s="34"/>
      <c r="K134" s="34"/>
      <c r="L134" s="34"/>
      <c r="M134" s="34"/>
    </row>
    <row r="135" spans="2:13" x14ac:dyDescent="0.25">
      <c r="B135" s="38"/>
      <c r="C135" s="39"/>
      <c r="D135">
        <f t="shared" si="4"/>
        <v>0</v>
      </c>
      <c r="E135" s="34"/>
      <c r="F135" s="34"/>
      <c r="G135" s="34"/>
      <c r="H135" s="34"/>
      <c r="I135" s="34"/>
      <c r="J135" s="34"/>
      <c r="K135" s="34"/>
      <c r="L135" s="34"/>
      <c r="M135" s="34"/>
    </row>
    <row r="136" spans="2:13" x14ac:dyDescent="0.25">
      <c r="B136" s="38"/>
      <c r="C136" s="39"/>
      <c r="D136">
        <f t="shared" si="4"/>
        <v>0</v>
      </c>
      <c r="E136" s="34"/>
      <c r="F136" s="34"/>
      <c r="G136" s="34"/>
      <c r="H136" s="34"/>
      <c r="I136" s="34"/>
      <c r="J136" s="34"/>
      <c r="K136" s="34"/>
      <c r="L136" s="34"/>
      <c r="M136" s="34"/>
    </row>
    <row r="137" spans="2:13" x14ac:dyDescent="0.25">
      <c r="B137" s="38"/>
      <c r="C137" s="39"/>
      <c r="D137">
        <f t="shared" si="4"/>
        <v>0</v>
      </c>
      <c r="E137" s="34"/>
      <c r="F137" s="34"/>
      <c r="G137" s="34"/>
      <c r="H137" s="34"/>
      <c r="I137" s="34"/>
      <c r="J137" s="34"/>
      <c r="K137" s="34"/>
      <c r="L137" s="34"/>
      <c r="M137" s="34"/>
    </row>
    <row r="138" spans="2:13" x14ac:dyDescent="0.25">
      <c r="B138" s="38"/>
      <c r="C138" s="39"/>
      <c r="D138">
        <f t="shared" si="4"/>
        <v>0</v>
      </c>
      <c r="E138" s="34"/>
      <c r="F138" s="34"/>
      <c r="G138" s="34"/>
      <c r="H138" s="34"/>
      <c r="I138" s="34"/>
      <c r="J138" s="34"/>
      <c r="K138" s="34"/>
      <c r="L138" s="34"/>
      <c r="M138" s="34"/>
    </row>
    <row r="139" spans="2:13" x14ac:dyDescent="0.25">
      <c r="B139" s="38"/>
      <c r="C139" s="39"/>
      <c r="D139">
        <f t="shared" si="4"/>
        <v>0</v>
      </c>
      <c r="E139" s="34"/>
      <c r="F139" s="34"/>
      <c r="G139" s="34"/>
      <c r="H139" s="34"/>
      <c r="I139" s="34"/>
      <c r="J139" s="34"/>
      <c r="K139" s="34"/>
      <c r="L139" s="34"/>
      <c r="M139" s="34"/>
    </row>
    <row r="140" spans="2:13" x14ac:dyDescent="0.25">
      <c r="B140" s="38"/>
      <c r="C140" s="39"/>
      <c r="D140">
        <f t="shared" si="4"/>
        <v>0</v>
      </c>
      <c r="E140" s="34"/>
      <c r="F140" s="34"/>
      <c r="G140" s="34"/>
      <c r="H140" s="34"/>
      <c r="I140" s="34"/>
      <c r="J140" s="34"/>
      <c r="K140" s="34"/>
      <c r="L140" s="34"/>
      <c r="M140" s="34"/>
    </row>
    <row r="141" spans="2:13" x14ac:dyDescent="0.25">
      <c r="B141" s="40"/>
      <c r="C141" s="36"/>
      <c r="D141">
        <f t="shared" si="4"/>
        <v>0</v>
      </c>
      <c r="E141" s="34"/>
      <c r="F141" s="34"/>
      <c r="G141" s="34"/>
      <c r="H141" s="34"/>
      <c r="I141" s="34"/>
      <c r="J141" s="34"/>
      <c r="K141" s="34"/>
      <c r="L141" s="34"/>
      <c r="M141" s="34"/>
    </row>
    <row r="142" spans="2:13" x14ac:dyDescent="0.25">
      <c r="B142" s="41"/>
      <c r="C142" s="39"/>
      <c r="D142">
        <f t="shared" si="4"/>
        <v>0</v>
      </c>
      <c r="E142" s="34"/>
      <c r="F142" s="34"/>
      <c r="G142" s="34"/>
      <c r="H142" s="34"/>
      <c r="I142" s="34"/>
      <c r="J142" s="34"/>
      <c r="K142" s="34"/>
      <c r="L142" s="34"/>
      <c r="M142" s="34"/>
    </row>
    <row r="143" spans="2:13" x14ac:dyDescent="0.25">
      <c r="B143" s="35"/>
      <c r="C143" s="36"/>
      <c r="D143">
        <f t="shared" si="4"/>
        <v>0</v>
      </c>
      <c r="E143" s="34"/>
      <c r="F143" s="34"/>
      <c r="G143" s="34"/>
      <c r="H143" s="34"/>
      <c r="I143" s="34"/>
      <c r="J143" s="34"/>
      <c r="K143" s="34"/>
      <c r="L143" s="34"/>
      <c r="M143" s="34"/>
    </row>
    <row r="144" spans="2:13" x14ac:dyDescent="0.25">
      <c r="B144" s="38"/>
      <c r="C144" s="39"/>
      <c r="D144">
        <f t="shared" ref="D144:D207" si="5">C144-SUM(E144:M144)</f>
        <v>0</v>
      </c>
      <c r="E144" s="34"/>
      <c r="F144" s="34"/>
      <c r="G144" s="34"/>
      <c r="H144" s="34"/>
      <c r="I144" s="34"/>
      <c r="J144" s="34"/>
      <c r="K144" s="34"/>
      <c r="L144" s="34"/>
      <c r="M144" s="34"/>
    </row>
    <row r="145" spans="2:13" x14ac:dyDescent="0.25">
      <c r="B145" s="38"/>
      <c r="C145" s="39"/>
      <c r="D145">
        <f t="shared" si="5"/>
        <v>0</v>
      </c>
      <c r="E145" s="34"/>
      <c r="F145" s="34"/>
      <c r="G145" s="34"/>
      <c r="H145" s="34"/>
      <c r="I145" s="34"/>
      <c r="J145" s="34"/>
      <c r="K145" s="34"/>
      <c r="L145" s="34"/>
      <c r="M145" s="34"/>
    </row>
    <row r="146" spans="2:13" x14ac:dyDescent="0.25">
      <c r="B146" s="38"/>
      <c r="C146" s="39"/>
      <c r="D146">
        <f t="shared" si="5"/>
        <v>0</v>
      </c>
      <c r="E146" s="34"/>
      <c r="F146" s="34"/>
      <c r="G146" s="34"/>
      <c r="H146" s="34"/>
      <c r="I146" s="34"/>
      <c r="J146" s="34"/>
      <c r="K146" s="34"/>
      <c r="L146" s="34"/>
      <c r="M146" s="34"/>
    </row>
    <row r="147" spans="2:13" x14ac:dyDescent="0.25">
      <c r="B147" s="38"/>
      <c r="C147" s="39"/>
      <c r="D147">
        <f t="shared" si="5"/>
        <v>0</v>
      </c>
      <c r="E147" s="34"/>
      <c r="F147" s="34"/>
      <c r="G147" s="34"/>
      <c r="H147" s="34"/>
      <c r="I147" s="34"/>
      <c r="J147" s="34"/>
      <c r="K147" s="34"/>
      <c r="L147" s="34"/>
      <c r="M147" s="34"/>
    </row>
    <row r="148" spans="2:13" x14ac:dyDescent="0.25">
      <c r="B148" s="38"/>
      <c r="C148" s="39"/>
      <c r="D148">
        <f t="shared" si="5"/>
        <v>0</v>
      </c>
      <c r="E148" s="34"/>
      <c r="F148" s="34"/>
      <c r="G148" s="34"/>
      <c r="H148" s="34"/>
      <c r="I148" s="34"/>
      <c r="J148" s="34"/>
      <c r="K148" s="34"/>
      <c r="L148" s="34"/>
      <c r="M148" s="34"/>
    </row>
    <row r="149" spans="2:13" x14ac:dyDescent="0.25">
      <c r="B149" s="40"/>
      <c r="C149" s="36"/>
      <c r="D149">
        <f t="shared" si="5"/>
        <v>0</v>
      </c>
      <c r="E149" s="34"/>
      <c r="F149" s="34"/>
      <c r="G149" s="34"/>
      <c r="H149" s="34"/>
      <c r="I149" s="34"/>
      <c r="J149" s="34"/>
      <c r="K149" s="34"/>
      <c r="L149" s="34"/>
      <c r="M149" s="34"/>
    </row>
    <row r="150" spans="2:13" x14ac:dyDescent="0.25">
      <c r="B150" s="41"/>
      <c r="C150" s="39"/>
      <c r="D150">
        <f t="shared" si="5"/>
        <v>0</v>
      </c>
      <c r="E150" s="34"/>
      <c r="F150" s="34"/>
      <c r="G150" s="34"/>
      <c r="H150" s="34"/>
      <c r="I150" s="34"/>
      <c r="J150" s="34"/>
      <c r="K150" s="34"/>
      <c r="L150" s="34"/>
      <c r="M150" s="34"/>
    </row>
    <row r="151" spans="2:13" x14ac:dyDescent="0.25">
      <c r="B151" s="35"/>
      <c r="C151" s="36"/>
      <c r="D151">
        <f t="shared" si="5"/>
        <v>0</v>
      </c>
      <c r="E151" s="34"/>
      <c r="F151" s="34"/>
      <c r="G151" s="34"/>
      <c r="H151" s="34"/>
      <c r="I151" s="34"/>
      <c r="J151" s="34"/>
      <c r="K151" s="34"/>
      <c r="L151" s="34"/>
      <c r="M151" s="34"/>
    </row>
    <row r="152" spans="2:13" x14ac:dyDescent="0.25">
      <c r="B152" s="38"/>
      <c r="C152" s="39"/>
      <c r="D152">
        <f t="shared" si="5"/>
        <v>0</v>
      </c>
      <c r="E152" s="34"/>
      <c r="F152" s="34"/>
      <c r="G152" s="34"/>
      <c r="H152" s="34"/>
      <c r="I152" s="34"/>
      <c r="J152" s="34"/>
      <c r="K152" s="34"/>
      <c r="L152" s="34"/>
      <c r="M152" s="34"/>
    </row>
    <row r="153" spans="2:13" x14ac:dyDescent="0.25">
      <c r="B153" s="38"/>
      <c r="C153" s="39"/>
      <c r="D153">
        <f t="shared" si="5"/>
        <v>0</v>
      </c>
      <c r="E153" s="34"/>
      <c r="F153" s="34"/>
      <c r="G153" s="34"/>
      <c r="H153" s="34"/>
      <c r="I153" s="34"/>
      <c r="J153" s="34"/>
      <c r="K153" s="34"/>
      <c r="L153" s="34"/>
      <c r="M153" s="34"/>
    </row>
    <row r="154" spans="2:13" x14ac:dyDescent="0.25">
      <c r="B154" s="38"/>
      <c r="C154" s="39"/>
      <c r="D154">
        <f t="shared" si="5"/>
        <v>0</v>
      </c>
      <c r="E154" s="34"/>
      <c r="F154" s="34"/>
      <c r="G154" s="34"/>
      <c r="H154" s="34"/>
      <c r="I154" s="34"/>
      <c r="J154" s="34"/>
      <c r="K154" s="34"/>
      <c r="L154" s="34"/>
      <c r="M154" s="34"/>
    </row>
    <row r="155" spans="2:13" x14ac:dyDescent="0.25">
      <c r="B155" s="38"/>
      <c r="C155" s="39"/>
      <c r="D155">
        <f t="shared" si="5"/>
        <v>0</v>
      </c>
      <c r="E155" s="34"/>
      <c r="F155" s="34"/>
      <c r="G155" s="34"/>
      <c r="H155" s="34"/>
      <c r="I155" s="34"/>
      <c r="J155" s="34"/>
      <c r="K155" s="34"/>
      <c r="L155" s="34"/>
      <c r="M155" s="34"/>
    </row>
    <row r="156" spans="2:13" x14ac:dyDescent="0.25">
      <c r="B156" s="38"/>
      <c r="C156" s="39"/>
      <c r="D156">
        <f t="shared" si="5"/>
        <v>0</v>
      </c>
      <c r="E156" s="34"/>
      <c r="F156" s="34"/>
      <c r="G156" s="34"/>
      <c r="H156" s="34"/>
      <c r="I156" s="34"/>
      <c r="J156" s="34"/>
      <c r="K156" s="34"/>
      <c r="L156" s="34"/>
      <c r="M156" s="34"/>
    </row>
    <row r="157" spans="2:13" x14ac:dyDescent="0.25">
      <c r="B157" s="38"/>
      <c r="C157" s="39"/>
      <c r="D157">
        <f t="shared" si="5"/>
        <v>0</v>
      </c>
      <c r="E157" s="34"/>
      <c r="F157" s="34"/>
      <c r="G157" s="34"/>
      <c r="H157" s="34"/>
      <c r="I157" s="34"/>
      <c r="J157" s="34"/>
      <c r="K157" s="34"/>
      <c r="L157" s="34"/>
      <c r="M157" s="34"/>
    </row>
    <row r="158" spans="2:13" x14ac:dyDescent="0.25">
      <c r="B158" s="38"/>
      <c r="C158" s="39"/>
      <c r="D158">
        <f t="shared" si="5"/>
        <v>0</v>
      </c>
      <c r="E158" s="34"/>
      <c r="F158" s="34"/>
      <c r="G158" s="34"/>
      <c r="H158" s="34"/>
      <c r="I158" s="34"/>
      <c r="J158" s="34"/>
      <c r="K158" s="34"/>
      <c r="L158" s="34"/>
      <c r="M158" s="34"/>
    </row>
    <row r="159" spans="2:13" x14ac:dyDescent="0.25">
      <c r="B159" s="38"/>
      <c r="C159" s="39"/>
      <c r="D159">
        <f t="shared" si="5"/>
        <v>0</v>
      </c>
      <c r="E159" s="34"/>
      <c r="F159" s="34"/>
      <c r="G159" s="34"/>
      <c r="H159" s="34"/>
      <c r="I159" s="34"/>
      <c r="J159" s="34"/>
      <c r="K159" s="34"/>
      <c r="L159" s="34"/>
      <c r="M159" s="34"/>
    </row>
    <row r="160" spans="2:13" x14ac:dyDescent="0.25">
      <c r="B160" s="38"/>
      <c r="C160" s="39"/>
      <c r="D160">
        <f t="shared" si="5"/>
        <v>0</v>
      </c>
      <c r="E160" s="34"/>
      <c r="F160" s="34"/>
      <c r="G160" s="34"/>
      <c r="H160" s="34"/>
      <c r="I160" s="34"/>
      <c r="J160" s="34"/>
      <c r="K160" s="34"/>
      <c r="L160" s="34"/>
      <c r="M160" s="34"/>
    </row>
    <row r="161" spans="2:13" x14ac:dyDescent="0.25">
      <c r="B161" s="38"/>
      <c r="C161" s="39"/>
      <c r="D161">
        <f t="shared" si="5"/>
        <v>0</v>
      </c>
      <c r="E161" s="34"/>
      <c r="F161" s="34"/>
      <c r="G161" s="34"/>
      <c r="H161" s="34"/>
      <c r="I161" s="34"/>
      <c r="J161" s="34"/>
      <c r="K161" s="34"/>
      <c r="L161" s="34"/>
      <c r="M161" s="34"/>
    </row>
    <row r="162" spans="2:13" x14ac:dyDescent="0.25">
      <c r="B162" s="38"/>
      <c r="C162" s="39"/>
      <c r="D162">
        <f t="shared" si="5"/>
        <v>0</v>
      </c>
      <c r="E162" s="34"/>
      <c r="F162" s="34"/>
      <c r="G162" s="34"/>
      <c r="H162" s="34"/>
      <c r="I162" s="34"/>
      <c r="J162" s="34"/>
      <c r="K162" s="34"/>
      <c r="L162" s="34"/>
      <c r="M162" s="34"/>
    </row>
    <row r="163" spans="2:13" x14ac:dyDescent="0.25">
      <c r="B163" s="40"/>
      <c r="C163" s="36"/>
      <c r="D163">
        <f t="shared" si="5"/>
        <v>0</v>
      </c>
      <c r="E163" s="34"/>
      <c r="F163" s="34"/>
      <c r="G163" s="34"/>
      <c r="H163" s="34"/>
      <c r="I163" s="34"/>
      <c r="J163" s="34"/>
      <c r="K163" s="34"/>
      <c r="L163" s="34"/>
      <c r="M163" s="34"/>
    </row>
    <row r="164" spans="2:13" x14ac:dyDescent="0.25">
      <c r="B164" s="41"/>
      <c r="C164" s="39"/>
      <c r="D164">
        <f t="shared" si="5"/>
        <v>0</v>
      </c>
      <c r="E164" s="34"/>
      <c r="F164" s="34"/>
      <c r="G164" s="34"/>
      <c r="H164" s="34"/>
      <c r="I164" s="34"/>
      <c r="J164" s="34"/>
      <c r="K164" s="34"/>
      <c r="L164" s="34"/>
      <c r="M164" s="34"/>
    </row>
    <row r="165" spans="2:13" x14ac:dyDescent="0.25">
      <c r="B165" s="35"/>
      <c r="C165" s="36"/>
      <c r="D165">
        <f t="shared" si="5"/>
        <v>0</v>
      </c>
      <c r="E165" s="34"/>
      <c r="F165" s="34"/>
      <c r="G165" s="34"/>
      <c r="H165" s="34"/>
      <c r="I165" s="34"/>
      <c r="J165" s="34"/>
      <c r="K165" s="34"/>
      <c r="L165" s="34"/>
      <c r="M165" s="34"/>
    </row>
    <row r="166" spans="2:13" x14ac:dyDescent="0.25">
      <c r="B166" s="38"/>
      <c r="C166" s="39"/>
      <c r="D166">
        <f t="shared" si="5"/>
        <v>0</v>
      </c>
      <c r="E166" s="34"/>
      <c r="F166" s="34"/>
      <c r="G166" s="34"/>
      <c r="H166" s="34"/>
      <c r="I166" s="34"/>
      <c r="J166" s="34"/>
      <c r="K166" s="34"/>
      <c r="L166" s="34"/>
      <c r="M166" s="34"/>
    </row>
    <row r="167" spans="2:13" x14ac:dyDescent="0.25">
      <c r="B167" s="38"/>
      <c r="C167" s="39"/>
      <c r="D167">
        <f t="shared" si="5"/>
        <v>0</v>
      </c>
      <c r="E167" s="34"/>
      <c r="F167" s="34"/>
      <c r="G167" s="34"/>
      <c r="H167" s="34"/>
      <c r="I167" s="34"/>
      <c r="J167" s="34"/>
      <c r="K167" s="34"/>
      <c r="L167" s="34"/>
      <c r="M167" s="34"/>
    </row>
    <row r="168" spans="2:13" x14ac:dyDescent="0.25">
      <c r="B168" s="38"/>
      <c r="C168" s="39"/>
      <c r="D168">
        <f t="shared" si="5"/>
        <v>0</v>
      </c>
      <c r="E168" s="34"/>
      <c r="F168" s="34"/>
      <c r="G168" s="34"/>
      <c r="H168" s="34"/>
      <c r="I168" s="34"/>
      <c r="J168" s="34"/>
      <c r="K168" s="34"/>
      <c r="L168" s="34"/>
      <c r="M168" s="34"/>
    </row>
    <row r="169" spans="2:13" x14ac:dyDescent="0.25">
      <c r="B169" s="38"/>
      <c r="C169" s="39"/>
      <c r="D169">
        <f t="shared" si="5"/>
        <v>0</v>
      </c>
      <c r="E169" s="34"/>
      <c r="F169" s="34"/>
      <c r="G169" s="34"/>
      <c r="H169" s="34"/>
      <c r="I169" s="34"/>
      <c r="J169" s="34"/>
      <c r="K169" s="34"/>
      <c r="L169" s="34"/>
      <c r="M169" s="34"/>
    </row>
    <row r="170" spans="2:13" x14ac:dyDescent="0.25">
      <c r="B170" s="38"/>
      <c r="C170" s="39"/>
      <c r="D170">
        <f t="shared" si="5"/>
        <v>0</v>
      </c>
      <c r="E170" s="34"/>
      <c r="F170" s="34"/>
      <c r="G170" s="34"/>
      <c r="H170" s="34"/>
      <c r="I170" s="34"/>
      <c r="J170" s="34"/>
      <c r="K170" s="34"/>
      <c r="L170" s="34"/>
      <c r="M170" s="34"/>
    </row>
    <row r="171" spans="2:13" x14ac:dyDescent="0.25">
      <c r="B171" s="38"/>
      <c r="C171" s="39"/>
      <c r="D171">
        <f t="shared" si="5"/>
        <v>0</v>
      </c>
      <c r="E171" s="34"/>
      <c r="F171" s="34"/>
      <c r="G171" s="34"/>
      <c r="H171" s="34"/>
      <c r="I171" s="34"/>
      <c r="J171" s="34"/>
      <c r="K171" s="34"/>
      <c r="L171" s="34"/>
      <c r="M171" s="34"/>
    </row>
    <row r="172" spans="2:13" x14ac:dyDescent="0.25">
      <c r="B172" s="38"/>
      <c r="C172" s="39"/>
      <c r="D172">
        <f t="shared" si="5"/>
        <v>0</v>
      </c>
      <c r="E172" s="34"/>
      <c r="F172" s="34"/>
      <c r="G172" s="34"/>
      <c r="H172" s="34"/>
      <c r="I172" s="34"/>
      <c r="J172" s="34"/>
      <c r="K172" s="34"/>
      <c r="L172" s="34"/>
      <c r="M172" s="34"/>
    </row>
    <row r="173" spans="2:13" x14ac:dyDescent="0.25">
      <c r="B173" s="38"/>
      <c r="C173" s="39"/>
      <c r="D173">
        <f t="shared" si="5"/>
        <v>0</v>
      </c>
      <c r="E173" s="34"/>
      <c r="F173" s="34"/>
      <c r="G173" s="34"/>
      <c r="H173" s="34"/>
      <c r="I173" s="34"/>
      <c r="J173" s="34"/>
      <c r="K173" s="34"/>
      <c r="L173" s="34"/>
      <c r="M173" s="34"/>
    </row>
    <row r="174" spans="2:13" x14ac:dyDescent="0.25">
      <c r="B174" s="38"/>
      <c r="C174" s="39"/>
      <c r="D174">
        <f t="shared" si="5"/>
        <v>0</v>
      </c>
      <c r="E174" s="34"/>
      <c r="F174" s="34"/>
      <c r="G174" s="34"/>
      <c r="H174" s="34"/>
      <c r="I174" s="34"/>
      <c r="J174" s="34"/>
      <c r="K174" s="34"/>
      <c r="L174" s="34"/>
      <c r="M174" s="34"/>
    </row>
    <row r="175" spans="2:13" x14ac:dyDescent="0.25">
      <c r="B175" s="40"/>
      <c r="C175" s="36"/>
      <c r="D175">
        <f t="shared" si="5"/>
        <v>0</v>
      </c>
      <c r="E175" s="34"/>
      <c r="F175" s="34"/>
      <c r="G175" s="34"/>
      <c r="H175" s="34"/>
      <c r="I175" s="34"/>
      <c r="J175" s="34"/>
      <c r="K175" s="34"/>
      <c r="L175" s="34"/>
      <c r="M175" s="34"/>
    </row>
    <row r="176" spans="2:13" x14ac:dyDescent="0.25">
      <c r="B176" s="41"/>
      <c r="C176" s="39"/>
      <c r="D176">
        <f t="shared" si="5"/>
        <v>0</v>
      </c>
      <c r="E176" s="34"/>
      <c r="F176" s="34"/>
      <c r="G176" s="34"/>
      <c r="H176" s="34"/>
      <c r="I176" s="34"/>
      <c r="J176" s="34"/>
      <c r="K176" s="34"/>
      <c r="L176" s="34"/>
      <c r="M176" s="34"/>
    </row>
    <row r="177" spans="2:13" x14ac:dyDescent="0.25">
      <c r="B177" s="35"/>
      <c r="C177" s="36"/>
      <c r="D177">
        <f t="shared" si="5"/>
        <v>0</v>
      </c>
      <c r="E177" s="34"/>
      <c r="F177" s="34"/>
      <c r="G177" s="34"/>
      <c r="H177" s="34"/>
      <c r="I177" s="34"/>
      <c r="J177" s="34"/>
      <c r="K177" s="34"/>
      <c r="L177" s="34"/>
      <c r="M177" s="34"/>
    </row>
    <row r="178" spans="2:13" x14ac:dyDescent="0.25">
      <c r="B178" s="38"/>
      <c r="C178" s="39"/>
      <c r="D178">
        <f t="shared" si="5"/>
        <v>0</v>
      </c>
      <c r="E178" s="34"/>
      <c r="F178" s="34"/>
      <c r="G178" s="34"/>
      <c r="H178" s="34"/>
      <c r="I178" s="34"/>
      <c r="J178" s="34"/>
      <c r="K178" s="34"/>
      <c r="L178" s="34"/>
      <c r="M178" s="34"/>
    </row>
    <row r="179" spans="2:13" x14ac:dyDescent="0.25">
      <c r="B179" s="40"/>
      <c r="C179" s="36"/>
      <c r="D179">
        <f t="shared" si="5"/>
        <v>0</v>
      </c>
      <c r="E179" s="34"/>
      <c r="F179" s="34"/>
      <c r="G179" s="34"/>
      <c r="H179" s="34"/>
      <c r="I179" s="34"/>
      <c r="J179" s="34"/>
      <c r="K179" s="34"/>
      <c r="L179" s="34"/>
      <c r="M179" s="34"/>
    </row>
    <row r="180" spans="2:13" x14ac:dyDescent="0.25">
      <c r="B180" s="41"/>
      <c r="C180" s="39"/>
      <c r="D180">
        <f t="shared" si="5"/>
        <v>0</v>
      </c>
      <c r="E180" s="34"/>
      <c r="F180" s="34"/>
      <c r="G180" s="34"/>
      <c r="H180" s="34"/>
      <c r="I180" s="34"/>
      <c r="J180" s="34"/>
      <c r="K180" s="34"/>
      <c r="L180" s="34"/>
      <c r="M180" s="34"/>
    </row>
    <row r="181" spans="2:13" x14ac:dyDescent="0.25">
      <c r="B181" s="35"/>
      <c r="C181" s="36"/>
      <c r="D181">
        <f t="shared" si="5"/>
        <v>0</v>
      </c>
      <c r="E181" s="34"/>
      <c r="F181" s="34"/>
      <c r="G181" s="34"/>
      <c r="H181" s="34"/>
      <c r="I181" s="34"/>
      <c r="J181" s="34"/>
      <c r="K181" s="34"/>
      <c r="L181" s="34"/>
      <c r="M181" s="34"/>
    </row>
    <row r="182" spans="2:13" x14ac:dyDescent="0.25">
      <c r="B182" s="38"/>
      <c r="C182" s="39"/>
      <c r="D182">
        <f t="shared" si="5"/>
        <v>0</v>
      </c>
      <c r="E182" s="34"/>
      <c r="F182" s="34"/>
      <c r="G182" s="34"/>
      <c r="H182" s="34"/>
      <c r="I182" s="34"/>
      <c r="J182" s="34"/>
      <c r="K182" s="34"/>
      <c r="L182" s="34"/>
      <c r="M182" s="34"/>
    </row>
    <row r="183" spans="2:13" x14ac:dyDescent="0.25">
      <c r="B183" s="38"/>
      <c r="C183" s="39"/>
      <c r="D183">
        <f t="shared" si="5"/>
        <v>0</v>
      </c>
      <c r="E183" s="34"/>
      <c r="F183" s="34"/>
      <c r="G183" s="34"/>
      <c r="H183" s="34"/>
      <c r="I183" s="34"/>
      <c r="J183" s="34"/>
      <c r="K183" s="34"/>
      <c r="L183" s="34"/>
      <c r="M183" s="34"/>
    </row>
    <row r="184" spans="2:13" x14ac:dyDescent="0.25">
      <c r="B184" s="38"/>
      <c r="C184" s="39"/>
      <c r="D184">
        <f t="shared" si="5"/>
        <v>0</v>
      </c>
      <c r="E184" s="34"/>
      <c r="F184" s="34"/>
      <c r="G184" s="34"/>
      <c r="H184" s="34"/>
      <c r="I184" s="34"/>
      <c r="J184" s="34"/>
      <c r="K184" s="34"/>
      <c r="L184" s="34"/>
      <c r="M184" s="34"/>
    </row>
    <row r="185" spans="2:13" x14ac:dyDescent="0.25">
      <c r="B185" s="40"/>
      <c r="C185" s="36"/>
      <c r="D185">
        <f t="shared" si="5"/>
        <v>0</v>
      </c>
      <c r="E185" s="34"/>
      <c r="F185" s="34"/>
      <c r="G185" s="34"/>
      <c r="H185" s="34"/>
      <c r="I185" s="34"/>
      <c r="J185" s="34"/>
      <c r="K185" s="34"/>
      <c r="L185" s="34"/>
      <c r="M185" s="34"/>
    </row>
    <row r="186" spans="2:13" x14ac:dyDescent="0.25">
      <c r="B186" s="41"/>
      <c r="C186" s="39"/>
      <c r="D186">
        <f t="shared" si="5"/>
        <v>0</v>
      </c>
      <c r="E186" s="34"/>
      <c r="F186" s="34"/>
      <c r="G186" s="34"/>
      <c r="H186" s="34"/>
      <c r="I186" s="34"/>
      <c r="J186" s="34"/>
      <c r="K186" s="34"/>
      <c r="L186" s="34"/>
      <c r="M186" s="34"/>
    </row>
    <row r="187" spans="2:13" x14ac:dyDescent="0.25">
      <c r="B187" s="35"/>
      <c r="C187" s="36"/>
      <c r="D187">
        <f t="shared" si="5"/>
        <v>0</v>
      </c>
      <c r="E187" s="34"/>
      <c r="F187" s="34"/>
      <c r="G187" s="34"/>
      <c r="H187" s="34"/>
      <c r="I187" s="34"/>
      <c r="J187" s="34"/>
      <c r="K187" s="34"/>
      <c r="L187" s="34"/>
      <c r="M187" s="34"/>
    </row>
    <row r="188" spans="2:13" x14ac:dyDescent="0.25">
      <c r="B188" s="38"/>
      <c r="C188" s="39"/>
      <c r="D188">
        <f t="shared" si="5"/>
        <v>0</v>
      </c>
      <c r="E188" s="34"/>
      <c r="F188" s="34"/>
      <c r="G188" s="34"/>
      <c r="H188" s="34"/>
      <c r="I188" s="34"/>
      <c r="J188" s="34"/>
      <c r="K188" s="34"/>
      <c r="L188" s="34"/>
      <c r="M188" s="34"/>
    </row>
    <row r="189" spans="2:13" x14ac:dyDescent="0.25">
      <c r="B189" s="38"/>
      <c r="C189" s="39"/>
      <c r="D189">
        <f t="shared" si="5"/>
        <v>0</v>
      </c>
      <c r="E189" s="34"/>
      <c r="F189" s="34"/>
      <c r="G189" s="34"/>
      <c r="H189" s="34"/>
      <c r="I189" s="34"/>
      <c r="J189" s="34"/>
      <c r="K189" s="34"/>
      <c r="L189" s="34"/>
      <c r="M189" s="34"/>
    </row>
    <row r="190" spans="2:13" x14ac:dyDescent="0.25">
      <c r="B190" s="38"/>
      <c r="C190" s="39"/>
      <c r="D190">
        <f t="shared" si="5"/>
        <v>0</v>
      </c>
      <c r="E190" s="34"/>
      <c r="F190" s="34"/>
      <c r="G190" s="34"/>
      <c r="H190" s="34"/>
      <c r="I190" s="34"/>
      <c r="J190" s="34"/>
      <c r="K190" s="34"/>
      <c r="L190" s="34"/>
      <c r="M190" s="34"/>
    </row>
    <row r="191" spans="2:13" x14ac:dyDescent="0.25">
      <c r="B191" s="38"/>
      <c r="C191" s="39"/>
      <c r="D191">
        <f t="shared" si="5"/>
        <v>0</v>
      </c>
      <c r="E191" s="34"/>
      <c r="F191" s="34"/>
      <c r="G191" s="34"/>
      <c r="H191" s="34"/>
      <c r="I191" s="34"/>
      <c r="J191" s="34"/>
      <c r="K191" s="42"/>
      <c r="L191" s="34"/>
      <c r="M191" s="34"/>
    </row>
    <row r="192" spans="2:13" x14ac:dyDescent="0.25">
      <c r="B192" s="40"/>
      <c r="C192" s="36"/>
      <c r="D192">
        <f t="shared" si="5"/>
        <v>0</v>
      </c>
      <c r="E192" s="34"/>
      <c r="F192" s="34"/>
      <c r="G192" s="34"/>
      <c r="H192" s="34"/>
      <c r="I192" s="34"/>
      <c r="J192" s="34"/>
      <c r="K192" s="34"/>
      <c r="L192" s="34"/>
      <c r="M192" s="34"/>
    </row>
    <row r="193" spans="2:13" x14ac:dyDescent="0.25">
      <c r="B193" s="41"/>
      <c r="C193" s="39"/>
      <c r="D193">
        <f t="shared" si="5"/>
        <v>0</v>
      </c>
      <c r="E193" s="34"/>
      <c r="F193" s="34"/>
      <c r="G193" s="34"/>
      <c r="H193" s="34"/>
      <c r="I193" s="34"/>
      <c r="J193" s="34"/>
      <c r="K193" s="34"/>
      <c r="L193" s="34"/>
      <c r="M193" s="34"/>
    </row>
    <row r="194" spans="2:13" x14ac:dyDescent="0.25">
      <c r="B194" s="35"/>
      <c r="C194" s="36"/>
      <c r="D194">
        <f t="shared" si="5"/>
        <v>0</v>
      </c>
      <c r="E194" s="34"/>
      <c r="F194" s="34"/>
      <c r="G194" s="34"/>
      <c r="H194" s="34"/>
      <c r="I194" s="34"/>
      <c r="J194" s="34"/>
      <c r="K194" s="34"/>
      <c r="L194" s="34"/>
      <c r="M194" s="34"/>
    </row>
    <row r="195" spans="2:13" x14ac:dyDescent="0.25">
      <c r="B195" s="38"/>
      <c r="C195" s="39"/>
      <c r="D195">
        <f t="shared" si="5"/>
        <v>0</v>
      </c>
      <c r="E195" s="34"/>
      <c r="F195" s="34"/>
      <c r="G195" s="34"/>
      <c r="H195" s="34"/>
      <c r="I195" s="34"/>
      <c r="J195" s="34"/>
      <c r="K195" s="34"/>
      <c r="L195" s="34"/>
      <c r="M195" s="34"/>
    </row>
    <row r="196" spans="2:13" x14ac:dyDescent="0.25">
      <c r="B196" s="40"/>
      <c r="C196" s="36"/>
      <c r="D196">
        <f t="shared" si="5"/>
        <v>0</v>
      </c>
      <c r="E196" s="34"/>
      <c r="F196" s="34"/>
      <c r="G196" s="34"/>
      <c r="H196" s="34"/>
      <c r="I196" s="34"/>
      <c r="J196" s="34"/>
      <c r="K196" s="34"/>
      <c r="L196" s="34"/>
      <c r="M196" s="34"/>
    </row>
    <row r="197" spans="2:13" x14ac:dyDescent="0.25">
      <c r="B197" s="41"/>
      <c r="C197" s="39"/>
      <c r="D197">
        <f t="shared" si="5"/>
        <v>0</v>
      </c>
      <c r="E197" s="34"/>
      <c r="F197" s="34"/>
      <c r="G197" s="34"/>
      <c r="H197" s="34"/>
      <c r="I197" s="34"/>
      <c r="J197" s="34"/>
      <c r="K197" s="34"/>
      <c r="L197" s="34"/>
      <c r="M197" s="34"/>
    </row>
    <row r="198" spans="2:13" x14ac:dyDescent="0.25">
      <c r="B198" s="35"/>
      <c r="C198" s="36"/>
      <c r="D198">
        <f t="shared" si="5"/>
        <v>0</v>
      </c>
      <c r="E198" s="34"/>
      <c r="F198" s="34"/>
      <c r="G198" s="34"/>
      <c r="H198" s="34"/>
      <c r="I198" s="34"/>
      <c r="J198" s="34"/>
      <c r="K198" s="34"/>
      <c r="L198" s="34"/>
      <c r="M198" s="34"/>
    </row>
    <row r="199" spans="2:13" x14ac:dyDescent="0.25">
      <c r="B199" s="38"/>
      <c r="C199" s="39"/>
      <c r="D199">
        <f t="shared" si="5"/>
        <v>0</v>
      </c>
      <c r="E199" s="34"/>
      <c r="F199" s="34"/>
      <c r="G199" s="34"/>
      <c r="H199" s="34"/>
      <c r="I199" s="34"/>
      <c r="J199" s="34"/>
      <c r="K199" s="34"/>
      <c r="L199" s="34"/>
      <c r="M199" s="34"/>
    </row>
    <row r="200" spans="2:13" x14ac:dyDescent="0.25">
      <c r="B200" s="38"/>
      <c r="C200" s="39"/>
      <c r="D200">
        <f t="shared" si="5"/>
        <v>0</v>
      </c>
      <c r="E200" s="34"/>
      <c r="F200" s="34"/>
      <c r="G200" s="34"/>
      <c r="H200" s="34"/>
      <c r="I200" s="34"/>
      <c r="J200" s="34"/>
      <c r="K200" s="34"/>
      <c r="L200" s="34"/>
      <c r="M200" s="34"/>
    </row>
    <row r="201" spans="2:13" x14ac:dyDescent="0.25">
      <c r="B201" s="38"/>
      <c r="C201" s="39"/>
      <c r="D201">
        <f t="shared" si="5"/>
        <v>0</v>
      </c>
      <c r="E201" s="34"/>
      <c r="F201" s="34"/>
      <c r="G201" s="34"/>
      <c r="H201" s="34"/>
      <c r="I201" s="34"/>
      <c r="J201" s="34"/>
      <c r="K201" s="34"/>
      <c r="L201" s="34"/>
      <c r="M201" s="34"/>
    </row>
    <row r="202" spans="2:13" x14ac:dyDescent="0.25">
      <c r="B202" s="38"/>
      <c r="C202" s="39"/>
      <c r="D202">
        <f t="shared" si="5"/>
        <v>0</v>
      </c>
      <c r="E202" s="34"/>
      <c r="F202" s="34"/>
      <c r="G202" s="34"/>
      <c r="H202" s="34"/>
      <c r="I202" s="34"/>
      <c r="J202" s="34"/>
      <c r="K202" s="34"/>
      <c r="L202" s="34"/>
      <c r="M202" s="34"/>
    </row>
    <row r="203" spans="2:13" x14ac:dyDescent="0.25">
      <c r="B203" s="38"/>
      <c r="C203" s="39"/>
      <c r="D203">
        <f t="shared" si="5"/>
        <v>0</v>
      </c>
      <c r="E203" s="34"/>
      <c r="F203" s="34"/>
      <c r="G203" s="34"/>
      <c r="H203" s="34"/>
      <c r="I203" s="34"/>
      <c r="J203" s="34"/>
      <c r="K203" s="34"/>
      <c r="L203" s="34"/>
      <c r="M203" s="34"/>
    </row>
    <row r="204" spans="2:13" x14ac:dyDescent="0.25">
      <c r="B204" s="40"/>
      <c r="C204" s="36"/>
      <c r="D204">
        <f t="shared" si="5"/>
        <v>0</v>
      </c>
      <c r="E204" s="34"/>
      <c r="F204" s="34"/>
      <c r="G204" s="34"/>
      <c r="H204" s="34"/>
      <c r="I204" s="34"/>
      <c r="J204" s="34"/>
      <c r="K204" s="34"/>
      <c r="L204" s="34"/>
      <c r="M204" s="34"/>
    </row>
    <row r="205" spans="2:13" x14ac:dyDescent="0.25">
      <c r="B205" s="41"/>
      <c r="C205" s="39"/>
      <c r="D205">
        <f t="shared" si="5"/>
        <v>0</v>
      </c>
      <c r="E205" s="34"/>
      <c r="F205" s="34"/>
      <c r="G205" s="34"/>
      <c r="H205" s="34"/>
      <c r="I205" s="34"/>
      <c r="J205" s="34"/>
      <c r="K205" s="34"/>
      <c r="L205" s="34"/>
      <c r="M205" s="34"/>
    </row>
    <row r="206" spans="2:13" x14ac:dyDescent="0.25">
      <c r="B206" s="35"/>
      <c r="C206" s="36"/>
      <c r="D206">
        <f t="shared" si="5"/>
        <v>0</v>
      </c>
      <c r="E206" s="34"/>
      <c r="F206" s="34"/>
      <c r="G206" s="34"/>
      <c r="H206" s="34"/>
      <c r="I206" s="34"/>
      <c r="J206" s="34"/>
      <c r="K206" s="34"/>
      <c r="L206" s="34"/>
      <c r="M206" s="34"/>
    </row>
    <row r="207" spans="2:13" x14ac:dyDescent="0.25">
      <c r="B207" s="38"/>
      <c r="C207" s="39"/>
      <c r="D207">
        <f t="shared" si="5"/>
        <v>0</v>
      </c>
      <c r="E207" s="34"/>
      <c r="F207" s="34"/>
      <c r="G207" s="34"/>
      <c r="H207" s="34"/>
      <c r="I207" s="34"/>
      <c r="J207" s="34"/>
      <c r="K207" s="34"/>
      <c r="L207" s="34"/>
      <c r="M207" s="34"/>
    </row>
    <row r="208" spans="2:13" x14ac:dyDescent="0.25">
      <c r="B208" s="38"/>
      <c r="C208" s="39"/>
      <c r="D208">
        <f t="shared" ref="D208:D251" si="6">C208-SUM(E208:M208)</f>
        <v>0</v>
      </c>
      <c r="E208" s="34"/>
      <c r="F208" s="34"/>
      <c r="G208" s="34"/>
      <c r="H208" s="34"/>
      <c r="I208" s="34"/>
      <c r="J208" s="34"/>
      <c r="K208" s="34"/>
      <c r="L208" s="34"/>
      <c r="M208" s="34"/>
    </row>
    <row r="209" spans="2:13" x14ac:dyDescent="0.25">
      <c r="B209" s="38"/>
      <c r="C209" s="39"/>
      <c r="D209">
        <f t="shared" si="6"/>
        <v>0</v>
      </c>
      <c r="E209" s="34"/>
      <c r="F209" s="34"/>
      <c r="G209" s="34"/>
      <c r="H209" s="34"/>
      <c r="I209" s="34"/>
      <c r="J209" s="34"/>
      <c r="K209" s="34"/>
      <c r="L209" s="34"/>
      <c r="M209" s="34"/>
    </row>
    <row r="210" spans="2:13" x14ac:dyDescent="0.25">
      <c r="B210" s="38"/>
      <c r="C210" s="39"/>
      <c r="D210">
        <f t="shared" si="6"/>
        <v>0</v>
      </c>
      <c r="E210" s="34"/>
      <c r="F210" s="34"/>
      <c r="G210" s="34"/>
      <c r="H210" s="34"/>
      <c r="I210" s="34"/>
      <c r="J210" s="34"/>
      <c r="K210" s="34"/>
      <c r="L210" s="34"/>
      <c r="M210" s="34"/>
    </row>
    <row r="211" spans="2:13" x14ac:dyDescent="0.25">
      <c r="B211" s="38"/>
      <c r="C211" s="39"/>
      <c r="D211">
        <f t="shared" si="6"/>
        <v>0</v>
      </c>
      <c r="E211" s="34"/>
      <c r="F211" s="34"/>
      <c r="G211" s="34"/>
      <c r="H211" s="34"/>
      <c r="I211" s="34"/>
      <c r="J211" s="34"/>
      <c r="K211" s="34"/>
      <c r="L211" s="34"/>
      <c r="M211" s="34"/>
    </row>
    <row r="212" spans="2:13" x14ac:dyDescent="0.25">
      <c r="B212" s="40"/>
      <c r="C212" s="36"/>
      <c r="D212">
        <f t="shared" si="6"/>
        <v>0</v>
      </c>
      <c r="E212" s="34"/>
      <c r="F212" s="34"/>
      <c r="G212" s="34"/>
      <c r="H212" s="34"/>
      <c r="I212" s="34"/>
      <c r="J212" s="34"/>
      <c r="K212" s="34"/>
      <c r="L212" s="34"/>
      <c r="M212" s="34"/>
    </row>
    <row r="213" spans="2:13" x14ac:dyDescent="0.25">
      <c r="B213" s="41"/>
      <c r="C213" s="39"/>
      <c r="D213">
        <f t="shared" si="6"/>
        <v>0</v>
      </c>
      <c r="E213" s="34"/>
      <c r="F213" s="34"/>
      <c r="G213" s="34"/>
      <c r="H213" s="34"/>
      <c r="I213" s="34"/>
      <c r="J213" s="34"/>
      <c r="K213" s="34"/>
      <c r="L213" s="34"/>
      <c r="M213" s="34"/>
    </row>
    <row r="214" spans="2:13" x14ac:dyDescent="0.25">
      <c r="B214" s="35"/>
      <c r="C214" s="36"/>
      <c r="D214">
        <f t="shared" si="6"/>
        <v>0</v>
      </c>
      <c r="E214" s="34"/>
      <c r="F214" s="34"/>
      <c r="G214" s="34"/>
      <c r="H214" s="34"/>
      <c r="I214" s="34"/>
      <c r="J214" s="34"/>
      <c r="K214" s="34"/>
      <c r="L214" s="34"/>
      <c r="M214" s="34"/>
    </row>
    <row r="215" spans="2:13" x14ac:dyDescent="0.25">
      <c r="B215" s="38"/>
      <c r="C215" s="39"/>
      <c r="D215">
        <f t="shared" si="6"/>
        <v>0</v>
      </c>
      <c r="E215" s="34"/>
      <c r="F215" s="34"/>
      <c r="G215" s="34"/>
      <c r="H215" s="34"/>
      <c r="I215" s="34"/>
      <c r="J215" s="34"/>
      <c r="K215" s="34"/>
      <c r="L215" s="34"/>
      <c r="M215" s="34"/>
    </row>
    <row r="216" spans="2:13" x14ac:dyDescent="0.25">
      <c r="B216" s="38"/>
      <c r="C216" s="39"/>
      <c r="D216">
        <f t="shared" si="6"/>
        <v>0</v>
      </c>
      <c r="E216" s="34"/>
      <c r="F216" s="34"/>
      <c r="G216" s="34"/>
      <c r="H216" s="34"/>
      <c r="I216" s="34"/>
      <c r="J216" s="34"/>
      <c r="K216" s="34"/>
      <c r="L216" s="34"/>
      <c r="M216" s="34"/>
    </row>
    <row r="217" spans="2:13" x14ac:dyDescent="0.25">
      <c r="B217" s="38"/>
      <c r="C217" s="39"/>
      <c r="D217">
        <f t="shared" si="6"/>
        <v>0</v>
      </c>
      <c r="E217" s="34"/>
      <c r="F217" s="34"/>
      <c r="G217" s="34"/>
      <c r="H217" s="34"/>
      <c r="I217" s="34"/>
      <c r="J217" s="34"/>
      <c r="K217" s="34"/>
      <c r="L217" s="34"/>
      <c r="M217" s="34"/>
    </row>
    <row r="218" spans="2:13" x14ac:dyDescent="0.25">
      <c r="B218" s="38"/>
      <c r="C218" s="39"/>
      <c r="D218">
        <f t="shared" si="6"/>
        <v>0</v>
      </c>
      <c r="E218" s="34"/>
      <c r="F218" s="34"/>
      <c r="G218" s="34"/>
      <c r="H218" s="34"/>
      <c r="I218" s="34"/>
      <c r="J218" s="34"/>
      <c r="K218" s="34"/>
      <c r="L218" s="34"/>
      <c r="M218" s="34"/>
    </row>
    <row r="219" spans="2:13" x14ac:dyDescent="0.25">
      <c r="B219" s="40"/>
      <c r="C219" s="36"/>
      <c r="D219">
        <f t="shared" si="6"/>
        <v>0</v>
      </c>
      <c r="E219" s="34"/>
      <c r="F219" s="34"/>
      <c r="G219" s="34"/>
      <c r="H219" s="34"/>
      <c r="I219" s="34"/>
      <c r="J219" s="34"/>
      <c r="K219" s="34"/>
      <c r="L219" s="34"/>
      <c r="M219" s="34"/>
    </row>
    <row r="220" spans="2:13" x14ac:dyDescent="0.25">
      <c r="B220" s="41"/>
      <c r="C220" s="39"/>
      <c r="D220">
        <f t="shared" si="6"/>
        <v>0</v>
      </c>
      <c r="E220" s="34"/>
      <c r="F220" s="34"/>
      <c r="G220" s="34"/>
      <c r="H220" s="34"/>
      <c r="I220" s="34"/>
      <c r="J220" s="34"/>
      <c r="K220" s="34"/>
      <c r="L220" s="34"/>
      <c r="M220" s="34"/>
    </row>
    <row r="221" spans="2:13" x14ac:dyDescent="0.25">
      <c r="B221" s="35"/>
      <c r="C221" s="36"/>
      <c r="D221">
        <f t="shared" si="6"/>
        <v>0</v>
      </c>
      <c r="E221" s="34"/>
      <c r="F221" s="34"/>
      <c r="G221" s="34"/>
      <c r="H221" s="34"/>
      <c r="I221" s="34"/>
      <c r="J221" s="34"/>
      <c r="K221" s="34"/>
      <c r="L221" s="34"/>
      <c r="M221" s="34"/>
    </row>
    <row r="222" spans="2:13" x14ac:dyDescent="0.25">
      <c r="B222" s="38"/>
      <c r="C222" s="39"/>
      <c r="D222">
        <f t="shared" si="6"/>
        <v>0</v>
      </c>
      <c r="E222" s="34"/>
      <c r="F222" s="34"/>
      <c r="G222" s="34"/>
      <c r="H222" s="34"/>
      <c r="I222" s="34"/>
      <c r="J222" s="34"/>
      <c r="K222" s="34"/>
      <c r="L222" s="34"/>
      <c r="M222" s="34"/>
    </row>
    <row r="223" spans="2:13" x14ac:dyDescent="0.25">
      <c r="B223" s="38"/>
      <c r="C223" s="39"/>
      <c r="D223">
        <f t="shared" si="6"/>
        <v>0</v>
      </c>
      <c r="E223" s="34"/>
      <c r="F223" s="34"/>
      <c r="G223" s="34"/>
      <c r="H223" s="34"/>
      <c r="I223" s="34"/>
      <c r="J223" s="34"/>
      <c r="K223" s="34"/>
      <c r="L223" s="34"/>
      <c r="M223" s="34"/>
    </row>
    <row r="224" spans="2:13" x14ac:dyDescent="0.25">
      <c r="B224" s="38"/>
      <c r="C224" s="39"/>
      <c r="D224">
        <f t="shared" si="6"/>
        <v>0</v>
      </c>
      <c r="E224" s="34"/>
      <c r="F224" s="34"/>
      <c r="G224" s="34"/>
      <c r="H224" s="34"/>
      <c r="I224" s="34"/>
      <c r="J224" s="34"/>
      <c r="K224" s="34"/>
      <c r="L224" s="34"/>
      <c r="M224" s="34"/>
    </row>
    <row r="225" spans="2:13" x14ac:dyDescent="0.25">
      <c r="B225" s="40"/>
      <c r="C225" s="36"/>
      <c r="D225">
        <f t="shared" si="6"/>
        <v>0</v>
      </c>
      <c r="E225" s="34"/>
      <c r="F225" s="34"/>
      <c r="G225" s="34"/>
      <c r="H225" s="34"/>
      <c r="I225" s="34"/>
      <c r="J225" s="34"/>
      <c r="K225" s="34"/>
      <c r="L225" s="34"/>
      <c r="M225" s="34"/>
    </row>
    <row r="226" spans="2:13" x14ac:dyDescent="0.25">
      <c r="B226" s="41"/>
      <c r="C226" s="39"/>
      <c r="D226">
        <f t="shared" si="6"/>
        <v>0</v>
      </c>
      <c r="E226" s="34"/>
      <c r="F226" s="34"/>
      <c r="G226" s="34"/>
      <c r="H226" s="34"/>
      <c r="I226" s="34"/>
      <c r="J226" s="34"/>
      <c r="K226" s="34"/>
      <c r="L226" s="34"/>
      <c r="M226" s="34"/>
    </row>
    <row r="227" spans="2:13" x14ac:dyDescent="0.25">
      <c r="B227" s="35"/>
      <c r="C227" s="36"/>
      <c r="D227">
        <f t="shared" si="6"/>
        <v>0</v>
      </c>
      <c r="E227" s="34"/>
      <c r="F227" s="34"/>
      <c r="G227" s="34"/>
      <c r="H227" s="34"/>
      <c r="I227" s="34"/>
      <c r="J227" s="34"/>
      <c r="K227" s="34"/>
      <c r="L227" s="34"/>
      <c r="M227" s="34"/>
    </row>
    <row r="228" spans="2:13" x14ac:dyDescent="0.25">
      <c r="B228" s="38"/>
      <c r="C228" s="39"/>
      <c r="D228">
        <f t="shared" si="6"/>
        <v>0</v>
      </c>
      <c r="E228" s="34"/>
      <c r="F228" s="34"/>
      <c r="G228" s="34"/>
      <c r="H228" s="34"/>
      <c r="I228" s="34"/>
      <c r="J228" s="34"/>
      <c r="K228" s="34"/>
      <c r="L228" s="34"/>
      <c r="M228" s="34"/>
    </row>
    <row r="229" spans="2:13" x14ac:dyDescent="0.25">
      <c r="B229" s="38"/>
      <c r="C229" s="39"/>
      <c r="D229">
        <f t="shared" si="6"/>
        <v>0</v>
      </c>
      <c r="E229" s="34"/>
      <c r="F229" s="34"/>
      <c r="G229" s="34"/>
      <c r="H229" s="34"/>
      <c r="I229" s="34"/>
      <c r="J229" s="34"/>
      <c r="K229" s="34"/>
      <c r="L229" s="34"/>
      <c r="M229" s="34"/>
    </row>
    <row r="230" spans="2:13" x14ac:dyDescent="0.25">
      <c r="B230" s="38"/>
      <c r="C230" s="39"/>
      <c r="D230">
        <f t="shared" si="6"/>
        <v>0</v>
      </c>
      <c r="E230" s="34"/>
      <c r="F230" s="34"/>
      <c r="G230" s="34"/>
      <c r="H230" s="34"/>
      <c r="I230" s="34"/>
      <c r="J230" s="34"/>
      <c r="K230" s="34"/>
      <c r="L230" s="34"/>
      <c r="M230" s="34"/>
    </row>
    <row r="231" spans="2:13" x14ac:dyDescent="0.25">
      <c r="B231" s="38"/>
      <c r="C231" s="39"/>
      <c r="D231">
        <f t="shared" si="6"/>
        <v>0</v>
      </c>
      <c r="E231" s="34"/>
      <c r="F231" s="34"/>
      <c r="G231" s="34"/>
      <c r="H231" s="34"/>
      <c r="I231" s="34"/>
      <c r="J231" s="34"/>
      <c r="K231" s="34"/>
      <c r="L231" s="34"/>
      <c r="M231" s="34"/>
    </row>
    <row r="232" spans="2:13" x14ac:dyDescent="0.25">
      <c r="B232" s="38"/>
      <c r="C232" s="39"/>
      <c r="D232">
        <f t="shared" si="6"/>
        <v>0</v>
      </c>
      <c r="E232" s="34"/>
      <c r="F232" s="34"/>
      <c r="G232" s="34"/>
      <c r="H232" s="34"/>
      <c r="I232" s="34"/>
      <c r="J232" s="34"/>
      <c r="K232" s="34"/>
      <c r="L232" s="34"/>
      <c r="M232" s="34"/>
    </row>
    <row r="233" spans="2:13" x14ac:dyDescent="0.25">
      <c r="B233" s="38"/>
      <c r="C233" s="39"/>
      <c r="D233">
        <f t="shared" si="6"/>
        <v>0</v>
      </c>
      <c r="E233" s="34"/>
      <c r="F233" s="34"/>
      <c r="G233" s="34"/>
      <c r="H233" s="34"/>
      <c r="I233" s="34"/>
      <c r="J233" s="34"/>
      <c r="K233" s="34"/>
      <c r="L233" s="34"/>
      <c r="M233" s="34"/>
    </row>
    <row r="234" spans="2:13" x14ac:dyDescent="0.25">
      <c r="B234" s="38"/>
      <c r="C234" s="39"/>
      <c r="D234">
        <f t="shared" si="6"/>
        <v>0</v>
      </c>
      <c r="E234" s="34"/>
      <c r="F234" s="34"/>
      <c r="G234" s="34"/>
      <c r="H234" s="34"/>
      <c r="I234" s="34"/>
      <c r="J234" s="34"/>
      <c r="K234" s="34"/>
      <c r="L234" s="34"/>
      <c r="M234" s="34"/>
    </row>
    <row r="235" spans="2:13" x14ac:dyDescent="0.25">
      <c r="B235" s="40"/>
      <c r="C235" s="36"/>
      <c r="D235">
        <f t="shared" si="6"/>
        <v>0</v>
      </c>
      <c r="E235" s="34"/>
      <c r="F235" s="34"/>
      <c r="G235" s="34"/>
      <c r="H235" s="34"/>
      <c r="I235" s="34"/>
      <c r="J235" s="34"/>
      <c r="K235" s="34"/>
      <c r="L235" s="34"/>
      <c r="M235" s="34"/>
    </row>
    <row r="236" spans="2:13" x14ac:dyDescent="0.25">
      <c r="B236" s="41"/>
      <c r="C236" s="39"/>
      <c r="D236">
        <f t="shared" si="6"/>
        <v>0</v>
      </c>
      <c r="E236" s="34"/>
      <c r="F236" s="34"/>
      <c r="G236" s="34"/>
      <c r="H236" s="34"/>
      <c r="I236" s="34"/>
      <c r="J236" s="34"/>
      <c r="K236" s="34"/>
      <c r="L236" s="34"/>
      <c r="M236" s="37"/>
    </row>
    <row r="237" spans="2:13" x14ac:dyDescent="0.25">
      <c r="B237" s="35"/>
      <c r="C237" s="36"/>
      <c r="D237">
        <f t="shared" si="6"/>
        <v>0</v>
      </c>
      <c r="E237" s="34"/>
      <c r="F237" s="34"/>
      <c r="G237" s="34"/>
      <c r="H237" s="34"/>
      <c r="I237" s="34"/>
      <c r="J237" s="34"/>
      <c r="K237" s="34"/>
      <c r="L237" s="34"/>
      <c r="M237" s="37"/>
    </row>
    <row r="238" spans="2:13" x14ac:dyDescent="0.25">
      <c r="B238" s="38"/>
      <c r="C238" s="39"/>
      <c r="D238">
        <f t="shared" si="6"/>
        <v>0</v>
      </c>
      <c r="E238" s="34"/>
      <c r="F238" s="34"/>
      <c r="G238" s="34"/>
      <c r="H238" s="34"/>
      <c r="I238" s="34"/>
      <c r="J238" s="34"/>
      <c r="K238" s="34"/>
      <c r="L238" s="34"/>
      <c r="M238" s="34"/>
    </row>
    <row r="239" spans="2:13" x14ac:dyDescent="0.25">
      <c r="B239" s="38"/>
      <c r="C239" s="39"/>
      <c r="D239">
        <f t="shared" si="6"/>
        <v>0</v>
      </c>
      <c r="E239" s="34"/>
      <c r="F239" s="34"/>
      <c r="G239" s="34"/>
      <c r="H239" s="34"/>
      <c r="I239" s="34"/>
      <c r="J239" s="34"/>
      <c r="K239" s="34"/>
      <c r="L239" s="34"/>
      <c r="M239" s="34"/>
    </row>
    <row r="240" spans="2:13" x14ac:dyDescent="0.25">
      <c r="B240" s="38"/>
      <c r="C240" s="39"/>
      <c r="D240">
        <f t="shared" si="6"/>
        <v>0</v>
      </c>
      <c r="E240" s="34"/>
      <c r="F240" s="34"/>
      <c r="G240" s="34"/>
      <c r="H240" s="34"/>
      <c r="I240" s="34"/>
      <c r="J240" s="34"/>
      <c r="K240" s="34"/>
      <c r="L240" s="34"/>
      <c r="M240" s="34"/>
    </row>
    <row r="241" spans="2:13" x14ac:dyDescent="0.25">
      <c r="B241" s="38"/>
      <c r="C241" s="39"/>
      <c r="D241">
        <f t="shared" si="6"/>
        <v>0</v>
      </c>
      <c r="E241" s="34"/>
      <c r="F241" s="34"/>
      <c r="G241" s="34"/>
      <c r="H241" s="34"/>
      <c r="I241" s="34"/>
      <c r="J241" s="34"/>
      <c r="K241" s="34"/>
      <c r="L241" s="34"/>
      <c r="M241" s="34"/>
    </row>
    <row r="242" spans="2:13" x14ac:dyDescent="0.25">
      <c r="B242" s="38"/>
      <c r="C242" s="39"/>
      <c r="D242">
        <f t="shared" si="6"/>
        <v>0</v>
      </c>
      <c r="E242" s="34"/>
      <c r="F242" s="34"/>
      <c r="G242" s="34"/>
      <c r="H242" s="34"/>
      <c r="I242" s="34"/>
      <c r="J242" s="34"/>
      <c r="K242" s="34"/>
      <c r="L242" s="34"/>
      <c r="M242" s="34"/>
    </row>
    <row r="243" spans="2:13" x14ac:dyDescent="0.25">
      <c r="B243" s="40"/>
      <c r="C243" s="36"/>
      <c r="D243">
        <f t="shared" si="6"/>
        <v>0</v>
      </c>
      <c r="E243" s="34"/>
      <c r="F243" s="34"/>
      <c r="G243" s="34"/>
      <c r="H243" s="34"/>
      <c r="I243" s="34"/>
      <c r="J243" s="34"/>
      <c r="K243" s="34"/>
      <c r="L243" s="34"/>
      <c r="M243" s="34"/>
    </row>
    <row r="244" spans="2:13" x14ac:dyDescent="0.25">
      <c r="B244" s="41"/>
      <c r="C244" s="39"/>
      <c r="D244">
        <f t="shared" si="6"/>
        <v>0</v>
      </c>
      <c r="E244" s="34"/>
      <c r="F244" s="34"/>
      <c r="G244" s="34"/>
      <c r="H244" s="34"/>
      <c r="I244" s="34"/>
      <c r="J244" s="34"/>
      <c r="K244" s="34"/>
      <c r="L244" s="34"/>
      <c r="M244" s="34"/>
    </row>
    <row r="245" spans="2:13" x14ac:dyDescent="0.25">
      <c r="B245" s="35"/>
      <c r="C245" s="36"/>
      <c r="D245">
        <f t="shared" si="6"/>
        <v>0</v>
      </c>
      <c r="E245" s="34"/>
      <c r="F245" s="34"/>
      <c r="G245" s="34"/>
      <c r="H245" s="34"/>
      <c r="I245" s="34"/>
      <c r="J245" s="34"/>
      <c r="K245" s="34"/>
      <c r="L245" s="34"/>
      <c r="M245" s="34"/>
    </row>
    <row r="246" spans="2:13" x14ac:dyDescent="0.25">
      <c r="B246" s="38"/>
      <c r="C246" s="39"/>
      <c r="D246">
        <f t="shared" si="6"/>
        <v>0</v>
      </c>
      <c r="E246" s="34"/>
      <c r="F246" s="34"/>
      <c r="G246" s="34"/>
      <c r="H246" s="34"/>
      <c r="I246" s="34"/>
      <c r="J246" s="34"/>
      <c r="K246" s="34"/>
      <c r="L246" s="34"/>
      <c r="M246" s="34"/>
    </row>
    <row r="247" spans="2:13" x14ac:dyDescent="0.25">
      <c r="B247" s="40"/>
      <c r="C247" s="36"/>
      <c r="D247">
        <f t="shared" si="6"/>
        <v>0</v>
      </c>
      <c r="E247" s="34"/>
      <c r="F247" s="34"/>
      <c r="G247" s="34"/>
      <c r="H247" s="34"/>
      <c r="I247" s="34"/>
      <c r="J247" s="34"/>
      <c r="K247" s="34"/>
      <c r="L247" s="34"/>
      <c r="M247" s="34"/>
    </row>
    <row r="248" spans="2:13" x14ac:dyDescent="0.25">
      <c r="B248" s="41"/>
      <c r="C248" s="39"/>
      <c r="D248">
        <f t="shared" si="6"/>
        <v>0</v>
      </c>
      <c r="E248" s="34"/>
      <c r="F248" s="34"/>
      <c r="G248" s="34"/>
      <c r="H248" s="34"/>
      <c r="I248" s="34"/>
      <c r="J248" s="34"/>
      <c r="K248" s="34"/>
      <c r="L248" s="34"/>
      <c r="M248" s="34"/>
    </row>
    <row r="249" spans="2:13" x14ac:dyDescent="0.25">
      <c r="B249" s="35"/>
      <c r="C249" s="36"/>
      <c r="D249">
        <f t="shared" si="6"/>
        <v>0</v>
      </c>
      <c r="E249" s="34"/>
      <c r="F249" s="34"/>
      <c r="G249" s="34"/>
      <c r="H249" s="34"/>
      <c r="I249" s="34"/>
      <c r="J249" s="34"/>
      <c r="K249" s="34"/>
      <c r="L249" s="34"/>
      <c r="M249" s="34"/>
    </row>
    <row r="250" spans="2:13" x14ac:dyDescent="0.25">
      <c r="B250" s="38"/>
      <c r="C250" s="39"/>
      <c r="D250">
        <f t="shared" si="6"/>
        <v>0</v>
      </c>
      <c r="E250" s="34"/>
      <c r="F250" s="34"/>
      <c r="G250" s="34"/>
      <c r="H250" s="34"/>
      <c r="I250" s="34"/>
      <c r="J250" s="34"/>
      <c r="K250" s="34"/>
      <c r="L250" s="34"/>
      <c r="M250" s="34"/>
    </row>
    <row r="251" spans="2:13" x14ac:dyDescent="0.25">
      <c r="B251" s="38"/>
      <c r="C251" s="39"/>
      <c r="D251">
        <f t="shared" si="6"/>
        <v>0</v>
      </c>
      <c r="E251" s="34"/>
      <c r="F251" s="34"/>
      <c r="G251" s="34"/>
      <c r="H251" s="34"/>
      <c r="I251" s="34"/>
      <c r="J251" s="34"/>
      <c r="K251" s="34"/>
      <c r="L251" s="34"/>
      <c r="M251" s="34"/>
    </row>
    <row r="252" spans="2:13" x14ac:dyDescent="0.25">
      <c r="B252" s="38"/>
      <c r="C252" s="39"/>
      <c r="D252" s="37"/>
      <c r="E252" s="34"/>
      <c r="F252" s="34"/>
      <c r="G252" s="34"/>
      <c r="H252" s="34"/>
      <c r="I252" s="34"/>
      <c r="J252" s="34"/>
      <c r="K252" s="34"/>
      <c r="L252" s="34"/>
      <c r="M252" s="34"/>
    </row>
    <row r="253" spans="2:13" x14ac:dyDescent="0.25">
      <c r="B253" s="38"/>
      <c r="C253" s="39"/>
      <c r="D253" s="37"/>
      <c r="E253" s="34"/>
      <c r="F253" s="34"/>
      <c r="G253" s="34"/>
      <c r="H253" s="34"/>
      <c r="I253" s="34"/>
      <c r="J253" s="34"/>
      <c r="K253" s="34"/>
      <c r="L253" s="34"/>
      <c r="M253" s="34"/>
    </row>
    <row r="254" spans="2:13" x14ac:dyDescent="0.25">
      <c r="B254" s="38"/>
      <c r="C254" s="39"/>
      <c r="D254" s="37"/>
      <c r="E254" s="34"/>
      <c r="F254" s="34"/>
      <c r="G254" s="34"/>
      <c r="H254" s="34"/>
      <c r="I254" s="34"/>
      <c r="J254" s="34"/>
      <c r="K254" s="34"/>
      <c r="L254" s="34"/>
      <c r="M254" s="34"/>
    </row>
    <row r="255" spans="2:13" x14ac:dyDescent="0.25">
      <c r="B255" s="38"/>
      <c r="C255" s="39"/>
      <c r="D255" s="37"/>
      <c r="E255" s="34"/>
      <c r="F255" s="34"/>
      <c r="G255" s="34"/>
      <c r="H255" s="34"/>
      <c r="I255" s="34"/>
      <c r="J255" s="34"/>
      <c r="K255" s="34"/>
      <c r="L255" s="34"/>
      <c r="M255" s="34"/>
    </row>
    <row r="256" spans="2:13" x14ac:dyDescent="0.25">
      <c r="B256" s="40"/>
      <c r="C256" s="36"/>
      <c r="D256" s="37"/>
      <c r="E256" s="34"/>
      <c r="F256" s="34"/>
      <c r="G256" s="34"/>
      <c r="H256" s="34"/>
      <c r="I256" s="34"/>
      <c r="J256" s="34"/>
      <c r="K256" s="34"/>
      <c r="L256" s="34"/>
      <c r="M256" s="34"/>
    </row>
    <row r="257" spans="2:13" x14ac:dyDescent="0.25">
      <c r="B257" s="41"/>
      <c r="C257" s="39"/>
      <c r="D257" s="37"/>
      <c r="E257" s="34"/>
      <c r="F257" s="34"/>
      <c r="G257" s="34"/>
      <c r="H257" s="34"/>
      <c r="I257" s="34"/>
      <c r="J257" s="34"/>
      <c r="K257" s="34"/>
      <c r="L257" s="34"/>
      <c r="M257" s="34"/>
    </row>
    <row r="258" spans="2:13" x14ac:dyDescent="0.25">
      <c r="B258" s="35"/>
      <c r="C258" s="36"/>
      <c r="D258" s="37"/>
      <c r="E258" s="34"/>
      <c r="F258" s="34"/>
      <c r="G258" s="34"/>
      <c r="H258" s="34"/>
      <c r="I258" s="34"/>
      <c r="J258" s="34"/>
      <c r="K258" s="34"/>
      <c r="L258" s="34"/>
      <c r="M258" s="34"/>
    </row>
    <row r="259" spans="2:13" x14ac:dyDescent="0.25">
      <c r="B259" s="38"/>
      <c r="C259" s="39"/>
      <c r="D259" s="37"/>
      <c r="E259" s="34"/>
      <c r="F259" s="34"/>
      <c r="G259" s="34"/>
      <c r="H259" s="34"/>
      <c r="I259" s="34"/>
      <c r="J259" s="34"/>
      <c r="K259" s="34"/>
      <c r="L259" s="34"/>
      <c r="M259" s="34"/>
    </row>
    <row r="260" spans="2:13" x14ac:dyDescent="0.25">
      <c r="B260" s="38"/>
      <c r="C260" s="39"/>
      <c r="D260" s="37"/>
      <c r="E260" s="34"/>
      <c r="F260" s="34"/>
      <c r="G260" s="34"/>
      <c r="H260" s="34"/>
      <c r="I260" s="34"/>
      <c r="J260" s="34"/>
      <c r="K260" s="34"/>
      <c r="L260" s="34"/>
      <c r="M260" s="34"/>
    </row>
    <row r="261" spans="2:13" x14ac:dyDescent="0.25">
      <c r="B261" s="38"/>
      <c r="C261" s="39"/>
      <c r="D261" s="37"/>
      <c r="E261" s="34"/>
      <c r="F261" s="34"/>
      <c r="G261" s="34"/>
      <c r="H261" s="34"/>
      <c r="I261" s="34"/>
      <c r="J261" s="34"/>
      <c r="K261" s="34"/>
      <c r="L261" s="34"/>
      <c r="M261" s="34"/>
    </row>
    <row r="262" spans="2:13" x14ac:dyDescent="0.25">
      <c r="B262" s="38"/>
      <c r="C262" s="39"/>
      <c r="D262" s="37"/>
      <c r="E262" s="34"/>
      <c r="F262" s="34"/>
      <c r="G262" s="34"/>
      <c r="H262" s="34"/>
      <c r="I262" s="34"/>
      <c r="J262" s="34"/>
      <c r="K262" s="34"/>
      <c r="L262" s="34"/>
      <c r="M262" s="34"/>
    </row>
    <row r="263" spans="2:13" x14ac:dyDescent="0.25">
      <c r="B263" s="38"/>
      <c r="C263" s="39"/>
      <c r="D263" s="37"/>
      <c r="E263" s="34"/>
      <c r="F263" s="34"/>
      <c r="G263" s="34"/>
      <c r="H263" s="34"/>
      <c r="I263" s="34"/>
      <c r="J263" s="34"/>
      <c r="K263" s="34"/>
      <c r="L263" s="34"/>
      <c r="M263" s="34"/>
    </row>
    <row r="264" spans="2:13" x14ac:dyDescent="0.25">
      <c r="B264" s="38"/>
      <c r="C264" s="39"/>
      <c r="D264" s="37"/>
      <c r="E264" s="34"/>
      <c r="F264" s="34"/>
      <c r="G264" s="34"/>
      <c r="H264" s="34"/>
      <c r="I264" s="34"/>
      <c r="J264" s="34"/>
      <c r="K264" s="34"/>
      <c r="L264" s="34"/>
      <c r="M264" s="34"/>
    </row>
    <row r="265" spans="2:13" x14ac:dyDescent="0.25">
      <c r="B265" s="38"/>
      <c r="C265" s="39"/>
      <c r="D265" s="37"/>
      <c r="E265" s="34"/>
      <c r="F265" s="34"/>
      <c r="G265" s="34"/>
      <c r="H265" s="34"/>
      <c r="I265" s="34"/>
      <c r="J265" s="34"/>
      <c r="K265" s="34"/>
      <c r="L265" s="34"/>
      <c r="M265" s="34"/>
    </row>
    <row r="266" spans="2:13" x14ac:dyDescent="0.25">
      <c r="B266" s="38"/>
      <c r="C266" s="39"/>
      <c r="D266" s="37"/>
      <c r="E266" s="34"/>
      <c r="F266" s="34"/>
      <c r="G266" s="34"/>
      <c r="H266" s="34"/>
      <c r="I266" s="34"/>
      <c r="J266" s="34"/>
      <c r="K266" s="34"/>
      <c r="L266" s="34"/>
      <c r="M266" s="34"/>
    </row>
    <row r="267" spans="2:13" x14ac:dyDescent="0.25">
      <c r="B267" s="38"/>
      <c r="C267" s="39"/>
      <c r="D267" s="37"/>
      <c r="E267" s="34"/>
      <c r="F267" s="34"/>
      <c r="G267" s="34"/>
      <c r="H267" s="34"/>
      <c r="I267" s="34"/>
      <c r="J267" s="34"/>
      <c r="K267" s="34"/>
      <c r="L267" s="34"/>
      <c r="M267" s="34"/>
    </row>
    <row r="268" spans="2:13" x14ac:dyDescent="0.25">
      <c r="B268" s="38"/>
      <c r="C268" s="39"/>
      <c r="D268" s="37"/>
      <c r="E268" s="34"/>
      <c r="F268" s="34"/>
      <c r="G268" s="34"/>
      <c r="H268" s="34"/>
      <c r="I268" s="34"/>
      <c r="J268" s="34"/>
      <c r="K268" s="34"/>
      <c r="L268" s="34"/>
      <c r="M268" s="34"/>
    </row>
    <row r="269" spans="2:13" x14ac:dyDescent="0.25">
      <c r="B269" s="38"/>
      <c r="C269" s="39"/>
      <c r="D269" s="37"/>
      <c r="E269" s="34"/>
      <c r="F269" s="34"/>
      <c r="G269" s="34"/>
      <c r="H269" s="34"/>
      <c r="I269" s="34"/>
      <c r="J269" s="34"/>
      <c r="K269" s="34"/>
      <c r="L269" s="34"/>
      <c r="M269" s="34"/>
    </row>
    <row r="270" spans="2:13" x14ac:dyDescent="0.25">
      <c r="B270" s="38"/>
      <c r="C270" s="39"/>
      <c r="D270" s="37"/>
      <c r="E270" s="34"/>
      <c r="F270" s="34"/>
      <c r="G270" s="34"/>
      <c r="H270" s="34"/>
      <c r="I270" s="34"/>
      <c r="J270" s="34"/>
      <c r="K270" s="34"/>
      <c r="L270" s="34"/>
      <c r="M270" s="34"/>
    </row>
    <row r="271" spans="2:13" x14ac:dyDescent="0.25">
      <c r="B271" s="38"/>
      <c r="C271" s="39"/>
      <c r="D271" s="37"/>
      <c r="E271" s="34"/>
      <c r="F271" s="34"/>
      <c r="G271" s="34"/>
      <c r="H271" s="34"/>
      <c r="I271" s="34"/>
      <c r="J271" s="34"/>
      <c r="K271" s="34"/>
      <c r="L271" s="34"/>
      <c r="M271" s="34"/>
    </row>
    <row r="272" spans="2:13" x14ac:dyDescent="0.25">
      <c r="B272" s="38"/>
      <c r="C272" s="39"/>
      <c r="D272" s="37"/>
      <c r="E272" s="34"/>
      <c r="F272" s="34"/>
      <c r="G272" s="34"/>
      <c r="H272" s="34"/>
      <c r="I272" s="34"/>
      <c r="J272" s="34"/>
      <c r="K272" s="34"/>
      <c r="L272" s="34"/>
      <c r="M272" s="34"/>
    </row>
    <row r="273" spans="2:13" x14ac:dyDescent="0.25">
      <c r="B273" s="38"/>
      <c r="C273" s="39"/>
      <c r="D273" s="37"/>
      <c r="E273" s="34"/>
      <c r="F273" s="34"/>
      <c r="G273" s="34"/>
      <c r="H273" s="34"/>
      <c r="I273" s="34"/>
      <c r="J273" s="34"/>
      <c r="K273" s="34"/>
      <c r="L273" s="34"/>
      <c r="M273" s="34"/>
    </row>
    <row r="274" spans="2:13" x14ac:dyDescent="0.25">
      <c r="B274" s="38"/>
      <c r="C274" s="39"/>
      <c r="D274" s="37"/>
      <c r="E274" s="34"/>
      <c r="F274" s="34"/>
      <c r="G274" s="34"/>
      <c r="H274" s="34"/>
      <c r="I274" s="34"/>
      <c r="J274" s="34"/>
      <c r="K274" s="34"/>
      <c r="L274" s="34"/>
      <c r="M274" s="34"/>
    </row>
    <row r="275" spans="2:13" x14ac:dyDescent="0.25">
      <c r="B275" s="38"/>
      <c r="C275" s="39"/>
      <c r="D275" s="37"/>
      <c r="E275" s="34"/>
      <c r="F275" s="34"/>
      <c r="G275" s="34"/>
      <c r="H275" s="34"/>
      <c r="I275" s="34"/>
      <c r="J275" s="34"/>
      <c r="K275" s="34"/>
      <c r="L275" s="34"/>
      <c r="M275" s="34"/>
    </row>
    <row r="276" spans="2:13" x14ac:dyDescent="0.25">
      <c r="B276" s="40"/>
      <c r="C276" s="36"/>
      <c r="D276" s="37"/>
      <c r="E276" s="34"/>
      <c r="F276" s="34"/>
      <c r="G276" s="34"/>
      <c r="H276" s="34"/>
      <c r="I276" s="34"/>
      <c r="J276" s="34"/>
      <c r="K276" s="34"/>
      <c r="L276" s="34"/>
      <c r="M276" s="34"/>
    </row>
    <row r="277" spans="2:13" x14ac:dyDescent="0.25">
      <c r="B277" s="41"/>
      <c r="C277" s="39"/>
      <c r="D277" s="37"/>
      <c r="E277" s="34"/>
      <c r="F277" s="34"/>
      <c r="G277" s="34"/>
      <c r="H277" s="34"/>
      <c r="I277" s="34"/>
      <c r="J277" s="34"/>
      <c r="K277" s="34"/>
      <c r="L277" s="34"/>
      <c r="M277" s="34"/>
    </row>
    <row r="278" spans="2:13" x14ac:dyDescent="0.25">
      <c r="B278" s="35"/>
      <c r="C278" s="36"/>
      <c r="D278" s="37"/>
      <c r="E278" s="34"/>
      <c r="F278" s="34"/>
      <c r="G278" s="34"/>
      <c r="H278" s="34"/>
      <c r="I278" s="34"/>
      <c r="J278" s="34"/>
      <c r="K278" s="34"/>
      <c r="L278" s="34"/>
      <c r="M278" s="34"/>
    </row>
    <row r="279" spans="2:13" x14ac:dyDescent="0.25">
      <c r="B279" s="38"/>
      <c r="C279" s="39"/>
      <c r="D279" s="37"/>
      <c r="E279" s="34"/>
      <c r="F279" s="34"/>
      <c r="G279" s="34"/>
      <c r="H279" s="34"/>
      <c r="I279" s="34"/>
      <c r="J279" s="34"/>
      <c r="K279" s="34"/>
      <c r="L279" s="34"/>
      <c r="M279" s="34"/>
    </row>
    <row r="280" spans="2:13" x14ac:dyDescent="0.25">
      <c r="B280" s="38"/>
      <c r="C280" s="39"/>
      <c r="D280" s="37"/>
      <c r="E280" s="34"/>
      <c r="F280" s="34"/>
      <c r="G280" s="34"/>
      <c r="H280" s="34"/>
      <c r="I280" s="34"/>
      <c r="J280" s="34"/>
      <c r="K280" s="34"/>
      <c r="L280" s="34"/>
      <c r="M280" s="34"/>
    </row>
    <row r="281" spans="2:13" x14ac:dyDescent="0.25">
      <c r="B281" s="38"/>
      <c r="C281" s="39"/>
      <c r="D281" s="37"/>
      <c r="E281" s="34"/>
      <c r="F281" s="34"/>
      <c r="G281" s="34"/>
      <c r="H281" s="34"/>
      <c r="I281" s="34"/>
      <c r="J281" s="34"/>
      <c r="K281" s="34"/>
      <c r="L281" s="34"/>
      <c r="M281" s="34"/>
    </row>
    <row r="282" spans="2:13" x14ac:dyDescent="0.25">
      <c r="B282" s="38"/>
      <c r="C282" s="39"/>
      <c r="D282" s="37"/>
      <c r="E282" s="34"/>
      <c r="F282" s="34"/>
      <c r="G282" s="34"/>
      <c r="H282" s="34"/>
      <c r="I282" s="34"/>
      <c r="J282" s="34"/>
      <c r="K282" s="34"/>
      <c r="L282" s="34"/>
      <c r="M282" s="34"/>
    </row>
    <row r="283" spans="2:13" x14ac:dyDescent="0.25">
      <c r="B283" s="38"/>
      <c r="C283" s="39"/>
      <c r="D283" s="37"/>
      <c r="E283" s="34"/>
      <c r="F283" s="34"/>
      <c r="G283" s="34"/>
      <c r="H283" s="34"/>
      <c r="I283" s="34"/>
      <c r="J283" s="34"/>
      <c r="K283" s="34"/>
      <c r="L283" s="34"/>
      <c r="M283" s="34"/>
    </row>
    <row r="284" spans="2:13" x14ac:dyDescent="0.25">
      <c r="B284" s="38"/>
      <c r="C284" s="39"/>
      <c r="D284" s="37"/>
      <c r="E284" s="34"/>
      <c r="F284" s="34"/>
      <c r="G284" s="34"/>
      <c r="H284" s="34"/>
      <c r="I284" s="34"/>
      <c r="J284" s="34"/>
      <c r="K284" s="34"/>
      <c r="L284" s="34"/>
      <c r="M284" s="34"/>
    </row>
    <row r="285" spans="2:13" x14ac:dyDescent="0.25">
      <c r="B285" s="38"/>
      <c r="C285" s="39"/>
      <c r="D285" s="37"/>
      <c r="E285" s="34"/>
      <c r="F285" s="34"/>
      <c r="G285" s="34"/>
      <c r="H285" s="34"/>
      <c r="I285" s="34"/>
      <c r="J285" s="34"/>
      <c r="K285" s="34"/>
      <c r="L285" s="34"/>
      <c r="M285" s="34"/>
    </row>
    <row r="286" spans="2:13" x14ac:dyDescent="0.25">
      <c r="B286" s="38"/>
      <c r="C286" s="39"/>
      <c r="D286" s="37"/>
      <c r="E286" s="34"/>
      <c r="F286" s="34"/>
      <c r="G286" s="34"/>
      <c r="H286" s="34"/>
      <c r="I286" s="34"/>
      <c r="J286" s="34"/>
      <c r="K286" s="34"/>
      <c r="L286" s="34"/>
      <c r="M286" s="34"/>
    </row>
    <row r="287" spans="2:13" x14ac:dyDescent="0.25">
      <c r="B287" s="38"/>
      <c r="C287" s="39"/>
      <c r="D287" s="37"/>
      <c r="E287" s="34"/>
      <c r="F287" s="34"/>
      <c r="G287" s="34"/>
      <c r="H287" s="34"/>
      <c r="I287" s="34"/>
      <c r="J287" s="34"/>
      <c r="K287" s="34"/>
      <c r="L287" s="34"/>
      <c r="M287" s="34"/>
    </row>
    <row r="288" spans="2:13" x14ac:dyDescent="0.25">
      <c r="B288" s="38"/>
      <c r="C288" s="39"/>
      <c r="D288" s="37"/>
      <c r="E288" s="34"/>
      <c r="F288" s="34"/>
      <c r="G288" s="34"/>
      <c r="H288" s="34"/>
      <c r="I288" s="34"/>
      <c r="J288" s="34"/>
      <c r="K288" s="34"/>
      <c r="L288" s="34"/>
      <c r="M288" s="34"/>
    </row>
    <row r="289" spans="2:13" x14ac:dyDescent="0.25">
      <c r="B289" s="38"/>
      <c r="C289" s="39"/>
      <c r="D289" s="37"/>
      <c r="E289" s="34"/>
      <c r="F289" s="34"/>
      <c r="G289" s="34"/>
      <c r="H289" s="34"/>
      <c r="I289" s="34"/>
      <c r="J289" s="34"/>
      <c r="K289" s="34"/>
      <c r="L289" s="34"/>
      <c r="M289" s="37"/>
    </row>
    <row r="290" spans="2:13" x14ac:dyDescent="0.25">
      <c r="B290" s="38"/>
      <c r="C290" s="39"/>
      <c r="D290" s="37"/>
      <c r="E290" s="34"/>
      <c r="F290" s="34"/>
      <c r="G290" s="34"/>
      <c r="H290" s="34"/>
      <c r="I290" s="34"/>
      <c r="J290" s="34"/>
      <c r="K290" s="34"/>
      <c r="L290" s="34"/>
      <c r="M290" s="34"/>
    </row>
    <row r="291" spans="2:13" x14ac:dyDescent="0.25">
      <c r="B291" s="38"/>
      <c r="C291" s="39"/>
      <c r="D291" s="37"/>
      <c r="E291" s="34"/>
      <c r="F291" s="34"/>
      <c r="G291" s="34"/>
      <c r="H291" s="34"/>
      <c r="I291" s="34"/>
      <c r="J291" s="34"/>
      <c r="K291" s="34"/>
      <c r="L291" s="34"/>
      <c r="M291" s="34"/>
    </row>
    <row r="292" spans="2:13" x14ac:dyDescent="0.25">
      <c r="B292" s="38"/>
      <c r="C292" s="39"/>
      <c r="D292" s="37"/>
      <c r="E292" s="34"/>
      <c r="F292" s="34"/>
      <c r="G292" s="34"/>
      <c r="H292" s="34"/>
      <c r="I292" s="34"/>
      <c r="J292" s="34"/>
      <c r="K292" s="34"/>
      <c r="L292" s="34"/>
      <c r="M292" s="34"/>
    </row>
    <row r="293" spans="2:13" x14ac:dyDescent="0.25">
      <c r="B293" s="38"/>
      <c r="C293" s="39"/>
      <c r="D293" s="37"/>
      <c r="E293" s="34"/>
      <c r="F293" s="34"/>
      <c r="G293" s="34"/>
      <c r="H293" s="34"/>
      <c r="I293" s="34"/>
      <c r="J293" s="34"/>
      <c r="K293" s="34"/>
      <c r="L293" s="34"/>
      <c r="M293" s="34"/>
    </row>
    <row r="294" spans="2:13" x14ac:dyDescent="0.25">
      <c r="B294" s="38"/>
      <c r="C294" s="39"/>
      <c r="D294" s="37"/>
      <c r="E294" s="34"/>
      <c r="F294" s="34"/>
      <c r="G294" s="34"/>
      <c r="H294" s="34"/>
      <c r="I294" s="34"/>
      <c r="J294" s="34"/>
      <c r="K294" s="34"/>
      <c r="L294" s="34"/>
      <c r="M294" s="34"/>
    </row>
    <row r="295" spans="2:13" x14ac:dyDescent="0.25">
      <c r="B295" s="40"/>
      <c r="C295" s="36"/>
      <c r="D295" s="37"/>
      <c r="E295" s="34"/>
      <c r="F295" s="34"/>
      <c r="G295" s="34"/>
      <c r="H295" s="34"/>
      <c r="I295" s="34"/>
      <c r="J295" s="34"/>
      <c r="K295" s="34"/>
      <c r="L295" s="34"/>
      <c r="M295" s="34"/>
    </row>
    <row r="296" spans="2:13" x14ac:dyDescent="0.25">
      <c r="B296" s="41"/>
      <c r="C296" s="39"/>
      <c r="D296" s="37"/>
      <c r="E296" s="34"/>
      <c r="F296" s="34"/>
      <c r="G296" s="34"/>
      <c r="H296" s="34"/>
      <c r="I296" s="34"/>
      <c r="J296" s="34"/>
      <c r="K296" s="34"/>
      <c r="L296" s="34"/>
      <c r="M296" s="34"/>
    </row>
    <row r="297" spans="2:13" x14ac:dyDescent="0.25">
      <c r="B297" s="35"/>
      <c r="C297" s="36"/>
      <c r="D297" s="37"/>
      <c r="E297" s="34"/>
      <c r="F297" s="34"/>
      <c r="G297" s="34"/>
      <c r="H297" s="34"/>
      <c r="I297" s="34"/>
      <c r="J297" s="34"/>
      <c r="K297" s="34"/>
      <c r="L297" s="34"/>
      <c r="M297" s="34"/>
    </row>
    <row r="298" spans="2:13" x14ac:dyDescent="0.25">
      <c r="B298" s="38"/>
      <c r="C298" s="39"/>
      <c r="D298" s="37"/>
      <c r="E298" s="34"/>
      <c r="F298" s="34"/>
      <c r="G298" s="34"/>
      <c r="H298" s="34"/>
      <c r="I298" s="34"/>
      <c r="J298" s="34"/>
      <c r="K298" s="34"/>
      <c r="L298" s="34"/>
      <c r="M298" s="34"/>
    </row>
    <row r="299" spans="2:13" x14ac:dyDescent="0.25">
      <c r="B299" s="38"/>
      <c r="C299" s="39"/>
      <c r="D299" s="37"/>
      <c r="E299" s="34"/>
      <c r="F299" s="34"/>
      <c r="G299" s="34"/>
      <c r="H299" s="34"/>
      <c r="I299" s="34"/>
      <c r="J299" s="34"/>
      <c r="K299" s="34"/>
      <c r="L299" s="34"/>
      <c r="M299" s="34"/>
    </row>
    <row r="300" spans="2:13" x14ac:dyDescent="0.25">
      <c r="B300" s="40"/>
      <c r="C300" s="36"/>
      <c r="D300" s="37"/>
      <c r="E300" s="34"/>
      <c r="F300" s="34"/>
      <c r="G300" s="34"/>
      <c r="H300" s="34"/>
      <c r="I300" s="34"/>
      <c r="J300" s="34"/>
      <c r="K300" s="34"/>
      <c r="L300" s="34"/>
      <c r="M300" s="34"/>
    </row>
    <row r="301" spans="2:13" x14ac:dyDescent="0.25">
      <c r="B301" s="41"/>
      <c r="C301" s="39"/>
      <c r="D301" s="37"/>
      <c r="E301" s="34"/>
      <c r="F301" s="34"/>
      <c r="G301" s="34"/>
      <c r="H301" s="34"/>
      <c r="I301" s="34"/>
      <c r="J301" s="34"/>
      <c r="K301" s="34"/>
      <c r="L301" s="34"/>
      <c r="M301" s="34"/>
    </row>
    <row r="302" spans="2:13" x14ac:dyDescent="0.25">
      <c r="B302" s="35"/>
      <c r="C302" s="36"/>
      <c r="D302" s="37"/>
      <c r="E302" s="34"/>
      <c r="F302" s="34"/>
      <c r="G302" s="34"/>
      <c r="H302" s="34"/>
      <c r="I302" s="34"/>
      <c r="J302" s="34"/>
      <c r="K302" s="34"/>
      <c r="L302" s="34"/>
      <c r="M302" s="34"/>
    </row>
    <row r="303" spans="2:13" x14ac:dyDescent="0.25">
      <c r="B303" s="38"/>
      <c r="C303" s="39"/>
      <c r="D303" s="37"/>
      <c r="E303" s="34"/>
      <c r="F303" s="34"/>
      <c r="G303" s="34"/>
      <c r="H303" s="34"/>
      <c r="I303" s="34"/>
      <c r="J303" s="34"/>
      <c r="K303" s="34"/>
      <c r="L303" s="34"/>
      <c r="M303" s="34"/>
    </row>
    <row r="304" spans="2:13" x14ac:dyDescent="0.25">
      <c r="B304" s="38"/>
      <c r="C304" s="39"/>
      <c r="D304" s="37"/>
      <c r="E304" s="34"/>
      <c r="F304" s="34"/>
      <c r="G304" s="34"/>
      <c r="H304" s="34"/>
      <c r="I304" s="34"/>
      <c r="J304" s="34"/>
      <c r="K304" s="34"/>
      <c r="L304" s="34"/>
      <c r="M304" s="34"/>
    </row>
    <row r="305" spans="2:13" x14ac:dyDescent="0.25">
      <c r="B305" s="38"/>
      <c r="C305" s="39"/>
      <c r="D305" s="37"/>
      <c r="E305" s="34"/>
      <c r="F305" s="34"/>
      <c r="G305" s="34"/>
      <c r="H305" s="34"/>
      <c r="I305" s="34"/>
      <c r="J305" s="34"/>
      <c r="K305" s="34"/>
      <c r="L305" s="34"/>
      <c r="M305" s="34"/>
    </row>
    <row r="306" spans="2:13" x14ac:dyDescent="0.25">
      <c r="B306" s="38"/>
      <c r="C306" s="39"/>
      <c r="D306" s="37"/>
      <c r="E306" s="34"/>
      <c r="F306" s="34"/>
      <c r="G306" s="34"/>
      <c r="H306" s="34"/>
      <c r="I306" s="34"/>
      <c r="J306" s="34"/>
      <c r="K306" s="34"/>
      <c r="L306" s="34"/>
      <c r="M306" s="34"/>
    </row>
    <row r="307" spans="2:13" x14ac:dyDescent="0.25">
      <c r="B307" s="38"/>
      <c r="C307" s="39"/>
      <c r="D307" s="37"/>
      <c r="E307" s="34"/>
      <c r="F307" s="34"/>
      <c r="G307" s="34"/>
      <c r="H307" s="34"/>
      <c r="I307" s="34"/>
      <c r="J307" s="34"/>
      <c r="K307" s="34"/>
      <c r="L307" s="34"/>
      <c r="M307" s="34"/>
    </row>
    <row r="308" spans="2:13" x14ac:dyDescent="0.25">
      <c r="B308" s="40"/>
      <c r="C308" s="36"/>
      <c r="D308" s="37"/>
      <c r="E308" s="34"/>
      <c r="F308" s="34"/>
      <c r="G308" s="34"/>
      <c r="H308" s="34"/>
      <c r="I308" s="34"/>
      <c r="J308" s="34"/>
      <c r="K308" s="34"/>
      <c r="L308" s="34"/>
      <c r="M308" s="34"/>
    </row>
    <row r="309" spans="2:13" x14ac:dyDescent="0.25">
      <c r="B309" s="41"/>
      <c r="C309" s="39"/>
      <c r="D309" s="37"/>
      <c r="E309" s="34"/>
      <c r="F309" s="34"/>
      <c r="G309" s="34"/>
      <c r="H309" s="34"/>
      <c r="I309" s="34"/>
      <c r="J309" s="34"/>
      <c r="K309" s="34"/>
      <c r="L309" s="34"/>
      <c r="M309" s="34"/>
    </row>
    <row r="310" spans="2:13" x14ac:dyDescent="0.25">
      <c r="B310" s="35"/>
      <c r="C310" s="36"/>
      <c r="D310" s="37"/>
      <c r="E310" s="34"/>
      <c r="F310" s="34"/>
      <c r="G310" s="34"/>
      <c r="H310" s="34"/>
      <c r="I310" s="34"/>
      <c r="J310" s="34"/>
      <c r="K310" s="34"/>
      <c r="L310" s="34"/>
      <c r="M310" s="34"/>
    </row>
    <row r="311" spans="2:13" x14ac:dyDescent="0.25">
      <c r="B311" s="38"/>
      <c r="C311" s="39"/>
      <c r="D311" s="37"/>
      <c r="E311" s="34"/>
      <c r="F311" s="34"/>
      <c r="G311" s="34"/>
      <c r="H311" s="34"/>
      <c r="I311" s="34"/>
      <c r="J311" s="34"/>
      <c r="K311" s="34"/>
      <c r="L311" s="34"/>
      <c r="M311" s="34"/>
    </row>
    <row r="312" spans="2:13" x14ac:dyDescent="0.25">
      <c r="B312" s="38"/>
      <c r="C312" s="39"/>
      <c r="D312" s="37"/>
      <c r="E312" s="34"/>
      <c r="F312" s="34"/>
      <c r="G312" s="34"/>
      <c r="H312" s="34"/>
      <c r="I312" s="34"/>
      <c r="J312" s="34"/>
      <c r="K312" s="34"/>
      <c r="L312" s="34"/>
      <c r="M312" s="34"/>
    </row>
    <row r="313" spans="2:13" x14ac:dyDescent="0.25">
      <c r="B313" s="38"/>
      <c r="C313" s="39"/>
      <c r="D313" s="37"/>
      <c r="E313" s="34"/>
      <c r="F313" s="34"/>
      <c r="G313" s="34"/>
      <c r="H313" s="34"/>
      <c r="I313" s="34"/>
      <c r="J313" s="34"/>
      <c r="K313" s="34"/>
      <c r="L313" s="34"/>
      <c r="M313" s="34"/>
    </row>
    <row r="314" spans="2:13" x14ac:dyDescent="0.25">
      <c r="B314" s="38"/>
      <c r="C314" s="39"/>
      <c r="D314" s="37"/>
      <c r="E314" s="34"/>
      <c r="F314" s="34"/>
      <c r="G314" s="34"/>
      <c r="H314" s="34"/>
      <c r="I314" s="34"/>
      <c r="J314" s="34"/>
      <c r="K314" s="34"/>
      <c r="L314" s="34"/>
      <c r="M314" s="34"/>
    </row>
    <row r="315" spans="2:13" x14ac:dyDescent="0.25">
      <c r="B315" s="38"/>
      <c r="C315" s="39"/>
      <c r="D315" s="37"/>
      <c r="E315" s="34"/>
      <c r="F315" s="34"/>
      <c r="G315" s="34"/>
      <c r="H315" s="34"/>
      <c r="I315" s="34"/>
      <c r="J315" s="34"/>
      <c r="K315" s="34"/>
      <c r="L315" s="34"/>
      <c r="M315" s="34"/>
    </row>
    <row r="316" spans="2:13" x14ac:dyDescent="0.25">
      <c r="B316" s="38"/>
      <c r="C316" s="39"/>
      <c r="D316" s="37"/>
      <c r="E316" s="34"/>
      <c r="F316" s="34"/>
      <c r="G316" s="34"/>
      <c r="H316" s="34"/>
      <c r="I316" s="34"/>
      <c r="J316" s="34"/>
      <c r="K316" s="34"/>
      <c r="L316" s="34"/>
      <c r="M316" s="34"/>
    </row>
    <row r="317" spans="2:13" x14ac:dyDescent="0.25">
      <c r="B317" s="38"/>
      <c r="C317" s="39"/>
      <c r="D317" s="37"/>
      <c r="E317" s="34"/>
      <c r="F317" s="34"/>
      <c r="G317" s="34"/>
      <c r="H317" s="34"/>
      <c r="I317" s="34"/>
      <c r="J317" s="34"/>
      <c r="K317" s="34"/>
      <c r="L317" s="34"/>
      <c r="M317" s="34"/>
    </row>
    <row r="318" spans="2:13" x14ac:dyDescent="0.25">
      <c r="B318" s="38"/>
      <c r="C318" s="39"/>
      <c r="D318" s="37"/>
      <c r="E318" s="34"/>
      <c r="F318" s="34"/>
      <c r="G318" s="34"/>
      <c r="H318" s="34"/>
      <c r="I318" s="34"/>
      <c r="J318" s="34"/>
      <c r="K318" s="34"/>
      <c r="L318" s="34"/>
      <c r="M318" s="34"/>
    </row>
    <row r="319" spans="2:13" x14ac:dyDescent="0.25">
      <c r="B319" s="38"/>
      <c r="C319" s="39"/>
      <c r="D319" s="37"/>
      <c r="E319" s="34"/>
      <c r="F319" s="34"/>
      <c r="G319" s="34"/>
      <c r="H319" s="34"/>
      <c r="I319" s="34"/>
      <c r="J319" s="34"/>
      <c r="K319" s="34"/>
      <c r="L319" s="34"/>
      <c r="M319" s="34"/>
    </row>
    <row r="320" spans="2:13" x14ac:dyDescent="0.25">
      <c r="B320" s="38"/>
      <c r="C320" s="39"/>
      <c r="D320" s="37"/>
      <c r="E320" s="34"/>
      <c r="F320" s="34"/>
      <c r="G320" s="34"/>
      <c r="H320" s="34"/>
      <c r="I320" s="34"/>
      <c r="J320" s="34"/>
      <c r="K320" s="34"/>
      <c r="L320" s="34"/>
      <c r="M320" s="34"/>
    </row>
    <row r="321" spans="2:13" x14ac:dyDescent="0.25">
      <c r="B321" s="38"/>
      <c r="C321" s="39"/>
      <c r="D321" s="37"/>
      <c r="E321" s="34"/>
      <c r="F321" s="34"/>
      <c r="G321" s="34"/>
      <c r="H321" s="34"/>
      <c r="I321" s="34"/>
      <c r="J321" s="34"/>
      <c r="K321" s="34"/>
      <c r="L321" s="34"/>
      <c r="M321" s="34"/>
    </row>
    <row r="322" spans="2:13" x14ac:dyDescent="0.25">
      <c r="B322" s="38"/>
      <c r="C322" s="39"/>
      <c r="D322" s="37"/>
      <c r="E322" s="34"/>
      <c r="F322" s="34"/>
      <c r="G322" s="34"/>
      <c r="H322" s="34"/>
      <c r="I322" s="34"/>
      <c r="J322" s="34"/>
      <c r="K322" s="34"/>
      <c r="L322" s="34"/>
      <c r="M322" s="34"/>
    </row>
    <row r="323" spans="2:13" x14ac:dyDescent="0.25">
      <c r="B323" s="38"/>
      <c r="C323" s="39"/>
      <c r="D323" s="37"/>
      <c r="E323" s="34"/>
      <c r="F323" s="34"/>
      <c r="G323" s="34"/>
      <c r="H323" s="34"/>
      <c r="I323" s="34"/>
      <c r="J323" s="34"/>
      <c r="K323" s="34"/>
      <c r="L323" s="34"/>
      <c r="M323" s="34"/>
    </row>
    <row r="324" spans="2:13" x14ac:dyDescent="0.25">
      <c r="B324" s="38"/>
      <c r="C324" s="39"/>
      <c r="D324" s="37"/>
      <c r="E324" s="34"/>
      <c r="F324" s="34"/>
      <c r="G324" s="34"/>
      <c r="H324" s="34"/>
      <c r="I324" s="34"/>
      <c r="J324" s="34"/>
      <c r="K324" s="34"/>
      <c r="L324" s="34"/>
      <c r="M324" s="34"/>
    </row>
    <row r="325" spans="2:13" x14ac:dyDescent="0.25">
      <c r="B325" s="38"/>
      <c r="C325" s="39"/>
      <c r="D325" s="37"/>
      <c r="E325" s="34"/>
      <c r="F325" s="34"/>
      <c r="G325" s="34"/>
      <c r="H325" s="34"/>
      <c r="I325" s="34"/>
      <c r="J325" s="34"/>
      <c r="K325" s="34"/>
      <c r="L325" s="34"/>
      <c r="M325" s="34"/>
    </row>
    <row r="326" spans="2:13" x14ac:dyDescent="0.25">
      <c r="B326" s="38"/>
      <c r="C326" s="39"/>
      <c r="D326" s="37"/>
      <c r="E326" s="34"/>
      <c r="F326" s="34"/>
      <c r="G326" s="34"/>
      <c r="H326" s="34"/>
      <c r="I326" s="34"/>
      <c r="J326" s="34"/>
      <c r="K326" s="34"/>
      <c r="L326" s="34"/>
      <c r="M326" s="34"/>
    </row>
    <row r="327" spans="2:13" x14ac:dyDescent="0.25">
      <c r="B327" s="38"/>
      <c r="C327" s="39"/>
      <c r="D327" s="37"/>
      <c r="E327" s="34"/>
      <c r="F327" s="34"/>
      <c r="G327" s="34"/>
      <c r="H327" s="34"/>
      <c r="I327" s="34"/>
      <c r="J327" s="34"/>
      <c r="K327" s="34"/>
      <c r="L327" s="34"/>
      <c r="M327" s="34"/>
    </row>
    <row r="328" spans="2:13" x14ac:dyDescent="0.25">
      <c r="B328" s="38"/>
      <c r="C328" s="39"/>
      <c r="D328" s="37"/>
      <c r="E328" s="34"/>
      <c r="F328" s="34"/>
      <c r="G328" s="34"/>
      <c r="H328" s="34"/>
      <c r="I328" s="34"/>
      <c r="J328" s="34"/>
      <c r="K328" s="34"/>
      <c r="L328" s="34"/>
      <c r="M328" s="34"/>
    </row>
    <row r="329" spans="2:13" x14ac:dyDescent="0.25">
      <c r="B329" s="38"/>
      <c r="C329" s="39"/>
      <c r="D329" s="37"/>
      <c r="E329" s="34"/>
      <c r="F329" s="34"/>
      <c r="G329" s="34"/>
      <c r="H329" s="34"/>
      <c r="I329" s="34"/>
      <c r="J329" s="34"/>
      <c r="K329" s="34"/>
      <c r="L329" s="34"/>
      <c r="M329" s="34"/>
    </row>
    <row r="330" spans="2:13" x14ac:dyDescent="0.25">
      <c r="B330" s="38"/>
      <c r="C330" s="39"/>
      <c r="D330" s="37"/>
      <c r="E330" s="34"/>
      <c r="F330" s="34"/>
      <c r="G330" s="34"/>
      <c r="H330" s="34"/>
      <c r="I330" s="34"/>
      <c r="J330" s="34"/>
      <c r="K330" s="34"/>
      <c r="L330" s="34"/>
      <c r="M330" s="34"/>
    </row>
    <row r="331" spans="2:13" x14ac:dyDescent="0.25">
      <c r="B331" s="38"/>
      <c r="C331" s="39"/>
      <c r="D331" s="37"/>
      <c r="E331" s="34"/>
      <c r="F331" s="34"/>
      <c r="G331" s="34"/>
      <c r="H331" s="34"/>
      <c r="I331" s="34"/>
      <c r="J331" s="34"/>
      <c r="K331" s="34"/>
      <c r="L331" s="34"/>
      <c r="M331" s="34"/>
    </row>
    <row r="332" spans="2:13" x14ac:dyDescent="0.25">
      <c r="B332" s="38"/>
      <c r="C332" s="39"/>
      <c r="D332" s="37"/>
      <c r="E332" s="34"/>
      <c r="F332" s="34"/>
      <c r="G332" s="34"/>
      <c r="H332" s="34"/>
      <c r="I332" s="34"/>
      <c r="J332" s="34"/>
      <c r="K332" s="34"/>
      <c r="L332" s="34"/>
      <c r="M332" s="34"/>
    </row>
    <row r="333" spans="2:13" x14ac:dyDescent="0.25">
      <c r="B333" s="38"/>
      <c r="C333" s="39"/>
      <c r="D333" s="37"/>
      <c r="E333" s="34"/>
      <c r="F333" s="34"/>
      <c r="G333" s="34"/>
      <c r="H333" s="34"/>
      <c r="I333" s="34"/>
      <c r="J333" s="34"/>
      <c r="K333" s="34"/>
      <c r="L333" s="34"/>
      <c r="M333" s="34"/>
    </row>
    <row r="334" spans="2:13" x14ac:dyDescent="0.25">
      <c r="B334" s="38"/>
      <c r="C334" s="39"/>
      <c r="D334" s="37"/>
      <c r="E334" s="34"/>
      <c r="F334" s="34"/>
      <c r="G334" s="34"/>
      <c r="H334" s="34"/>
      <c r="I334" s="34"/>
      <c r="J334" s="34"/>
      <c r="K334" s="34"/>
      <c r="L334" s="34"/>
      <c r="M334" s="34"/>
    </row>
    <row r="335" spans="2:13" x14ac:dyDescent="0.25">
      <c r="B335" s="38"/>
      <c r="C335" s="39"/>
      <c r="D335" s="37"/>
      <c r="E335" s="34"/>
      <c r="F335" s="34"/>
      <c r="G335" s="34"/>
      <c r="H335" s="34"/>
      <c r="I335" s="34"/>
      <c r="J335" s="34"/>
      <c r="K335" s="34"/>
      <c r="L335" s="34"/>
      <c r="M335" s="34"/>
    </row>
    <row r="336" spans="2:13" x14ac:dyDescent="0.25">
      <c r="B336" s="38"/>
      <c r="C336" s="39"/>
      <c r="D336" s="37"/>
      <c r="E336" s="34"/>
      <c r="F336" s="34"/>
      <c r="G336" s="34"/>
      <c r="H336" s="34"/>
      <c r="I336" s="34"/>
      <c r="J336" s="34"/>
      <c r="K336" s="34"/>
      <c r="L336" s="34"/>
      <c r="M336" s="34"/>
    </row>
    <row r="337" spans="2:13" x14ac:dyDescent="0.25">
      <c r="B337" s="38"/>
      <c r="C337" s="39"/>
      <c r="D337" s="37"/>
      <c r="E337" s="34"/>
      <c r="F337" s="34"/>
      <c r="G337" s="34"/>
      <c r="H337" s="34"/>
      <c r="I337" s="34"/>
      <c r="J337" s="34"/>
      <c r="K337" s="34"/>
      <c r="L337" s="34"/>
      <c r="M337" s="34"/>
    </row>
    <row r="338" spans="2:13" x14ac:dyDescent="0.25">
      <c r="B338" s="38"/>
      <c r="C338" s="39"/>
      <c r="D338" s="37"/>
      <c r="E338" s="34"/>
      <c r="F338" s="34"/>
      <c r="G338" s="34"/>
      <c r="H338" s="34"/>
      <c r="I338" s="34"/>
      <c r="J338" s="34"/>
      <c r="K338" s="34"/>
      <c r="L338" s="34"/>
      <c r="M338" s="34"/>
    </row>
    <row r="339" spans="2:13" x14ac:dyDescent="0.25">
      <c r="B339" s="38"/>
      <c r="C339" s="39"/>
      <c r="D339" s="37"/>
      <c r="E339" s="34"/>
      <c r="F339" s="34"/>
      <c r="G339" s="34"/>
      <c r="H339" s="34"/>
      <c r="I339" s="34"/>
      <c r="J339" s="34"/>
      <c r="K339" s="34"/>
      <c r="L339" s="34"/>
      <c r="M339" s="34"/>
    </row>
    <row r="340" spans="2:13" x14ac:dyDescent="0.25">
      <c r="B340" s="38"/>
      <c r="C340" s="39"/>
      <c r="D340" s="37"/>
      <c r="E340" s="34"/>
      <c r="F340" s="34"/>
      <c r="G340" s="34"/>
      <c r="H340" s="34"/>
      <c r="I340" s="34"/>
      <c r="J340" s="34"/>
      <c r="K340" s="34"/>
      <c r="L340" s="34"/>
      <c r="M340" s="34"/>
    </row>
    <row r="341" spans="2:13" x14ac:dyDescent="0.25">
      <c r="B341" s="38"/>
      <c r="C341" s="39"/>
      <c r="D341" s="37"/>
      <c r="E341" s="34"/>
      <c r="F341" s="34"/>
      <c r="G341" s="34"/>
      <c r="H341" s="34"/>
      <c r="I341" s="34"/>
      <c r="J341" s="34"/>
      <c r="K341" s="34"/>
      <c r="L341" s="34"/>
      <c r="M341" s="34"/>
    </row>
    <row r="342" spans="2:13" x14ac:dyDescent="0.25">
      <c r="B342" s="38"/>
      <c r="C342" s="39"/>
      <c r="D342" s="37"/>
      <c r="E342" s="34"/>
      <c r="F342" s="34"/>
      <c r="G342" s="34"/>
      <c r="H342" s="34"/>
      <c r="I342" s="34"/>
      <c r="J342" s="34"/>
      <c r="K342" s="34"/>
      <c r="L342" s="34"/>
      <c r="M342" s="34"/>
    </row>
    <row r="343" spans="2:13" x14ac:dyDescent="0.25">
      <c r="B343" s="38"/>
      <c r="C343" s="39"/>
      <c r="D343" s="37"/>
      <c r="E343" s="34"/>
      <c r="F343" s="34"/>
      <c r="G343" s="34"/>
      <c r="H343" s="34"/>
      <c r="I343" s="34"/>
      <c r="J343" s="34"/>
      <c r="K343" s="34"/>
      <c r="L343" s="34"/>
      <c r="M343" s="34"/>
    </row>
    <row r="344" spans="2:13" x14ac:dyDescent="0.25">
      <c r="B344" s="38"/>
      <c r="C344" s="39"/>
      <c r="D344" s="37"/>
      <c r="E344" s="34"/>
      <c r="F344" s="34"/>
      <c r="G344" s="34"/>
      <c r="H344" s="34"/>
      <c r="I344" s="34"/>
      <c r="J344" s="34"/>
      <c r="K344" s="34"/>
      <c r="L344" s="34"/>
      <c r="M344" s="34"/>
    </row>
    <row r="345" spans="2:13" x14ac:dyDescent="0.25">
      <c r="B345" s="38"/>
      <c r="C345" s="39"/>
      <c r="D345" s="37"/>
      <c r="E345" s="34"/>
      <c r="F345" s="34"/>
      <c r="G345" s="34"/>
      <c r="H345" s="34"/>
      <c r="I345" s="34"/>
      <c r="J345" s="34"/>
      <c r="K345" s="34"/>
      <c r="L345" s="34"/>
      <c r="M345" s="34"/>
    </row>
    <row r="346" spans="2:13" x14ac:dyDescent="0.25">
      <c r="B346" s="38"/>
      <c r="C346" s="39"/>
      <c r="D346" s="37"/>
      <c r="E346" s="34"/>
      <c r="F346" s="34"/>
      <c r="G346" s="34"/>
      <c r="H346" s="34"/>
      <c r="I346" s="34"/>
      <c r="J346" s="34"/>
      <c r="K346" s="34"/>
      <c r="L346" s="34"/>
      <c r="M346" s="34"/>
    </row>
    <row r="347" spans="2:13" x14ac:dyDescent="0.25">
      <c r="B347" s="38"/>
      <c r="C347" s="39"/>
      <c r="D347" s="37"/>
      <c r="E347" s="34"/>
      <c r="F347" s="34"/>
      <c r="G347" s="34"/>
      <c r="H347" s="34"/>
      <c r="I347" s="34"/>
      <c r="J347" s="34"/>
      <c r="K347" s="34"/>
      <c r="L347" s="34"/>
      <c r="M347" s="34"/>
    </row>
    <row r="348" spans="2:13" x14ac:dyDescent="0.25">
      <c r="B348" s="38"/>
      <c r="C348" s="39"/>
      <c r="D348" s="37"/>
      <c r="E348" s="34"/>
      <c r="F348" s="34"/>
      <c r="G348" s="34"/>
      <c r="H348" s="34"/>
      <c r="I348" s="34"/>
      <c r="J348" s="34"/>
      <c r="K348" s="34"/>
      <c r="L348" s="34"/>
      <c r="M348" s="34"/>
    </row>
    <row r="349" spans="2:13" x14ac:dyDescent="0.25">
      <c r="B349" s="38"/>
      <c r="C349" s="39"/>
      <c r="D349" s="37"/>
      <c r="E349" s="34"/>
      <c r="F349" s="34"/>
      <c r="G349" s="34"/>
      <c r="H349" s="34"/>
      <c r="I349" s="34"/>
      <c r="J349" s="34"/>
      <c r="K349" s="34"/>
      <c r="L349" s="34"/>
      <c r="M349" s="34"/>
    </row>
    <row r="350" spans="2:13" x14ac:dyDescent="0.25">
      <c r="B350" s="38"/>
      <c r="C350" s="39"/>
      <c r="D350" s="37"/>
      <c r="E350" s="34"/>
      <c r="F350" s="34"/>
      <c r="G350" s="34"/>
      <c r="H350" s="34"/>
      <c r="I350" s="34"/>
      <c r="J350" s="34"/>
      <c r="K350" s="34"/>
      <c r="L350" s="34"/>
      <c r="M350" s="34"/>
    </row>
    <row r="351" spans="2:13" x14ac:dyDescent="0.25">
      <c r="B351" s="38"/>
      <c r="C351" s="39"/>
      <c r="D351" s="37"/>
      <c r="E351" s="34"/>
      <c r="F351" s="34"/>
      <c r="G351" s="34"/>
      <c r="H351" s="34"/>
      <c r="I351" s="34"/>
      <c r="J351" s="34"/>
      <c r="K351" s="34"/>
      <c r="L351" s="34"/>
      <c r="M351" s="34"/>
    </row>
    <row r="352" spans="2:13" x14ac:dyDescent="0.25">
      <c r="B352" s="38"/>
      <c r="C352" s="39"/>
      <c r="D352" s="37"/>
      <c r="E352" s="34"/>
      <c r="F352" s="34"/>
      <c r="G352" s="34"/>
      <c r="H352" s="34"/>
      <c r="I352" s="34"/>
      <c r="J352" s="34"/>
      <c r="K352" s="34"/>
      <c r="L352" s="34"/>
      <c r="M352" s="34"/>
    </row>
    <row r="353" spans="2:13" x14ac:dyDescent="0.25">
      <c r="B353" s="38"/>
      <c r="C353" s="39"/>
      <c r="D353" s="37"/>
      <c r="E353" s="34"/>
      <c r="F353" s="34"/>
      <c r="G353" s="34"/>
      <c r="H353" s="34"/>
      <c r="I353" s="34"/>
      <c r="J353" s="34"/>
      <c r="K353" s="34"/>
      <c r="L353" s="34"/>
      <c r="M353" s="34"/>
    </row>
    <row r="354" spans="2:13" x14ac:dyDescent="0.25">
      <c r="B354" s="38"/>
      <c r="C354" s="39"/>
      <c r="D354" s="37"/>
      <c r="E354" s="34"/>
      <c r="F354" s="34"/>
      <c r="G354" s="34"/>
      <c r="H354" s="34"/>
      <c r="I354" s="34"/>
      <c r="J354" s="34"/>
      <c r="K354" s="34"/>
      <c r="L354" s="34"/>
      <c r="M354" s="34"/>
    </row>
    <row r="355" spans="2:13" x14ac:dyDescent="0.25">
      <c r="B355" s="40"/>
      <c r="C355" s="36"/>
      <c r="D355" s="37"/>
      <c r="E355" s="34"/>
      <c r="F355" s="34"/>
      <c r="G355" s="34"/>
      <c r="H355" s="34"/>
      <c r="I355" s="34"/>
      <c r="J355" s="34"/>
      <c r="K355" s="34"/>
      <c r="L355" s="34"/>
      <c r="M355" s="34"/>
    </row>
    <row r="356" spans="2:13" x14ac:dyDescent="0.25">
      <c r="B356" s="41"/>
      <c r="C356" s="39"/>
      <c r="D356" s="37"/>
      <c r="E356" s="34"/>
      <c r="F356" s="34"/>
      <c r="G356" s="34"/>
      <c r="H356" s="34"/>
      <c r="I356" s="34"/>
      <c r="J356" s="34"/>
      <c r="K356" s="34"/>
      <c r="L356" s="34"/>
      <c r="M356" s="34"/>
    </row>
    <row r="357" spans="2:13" x14ac:dyDescent="0.25">
      <c r="B357" s="35"/>
      <c r="C357" s="36"/>
      <c r="D357" s="37"/>
      <c r="E357" s="34"/>
      <c r="F357" s="34"/>
      <c r="G357" s="34"/>
      <c r="H357" s="34"/>
      <c r="I357" s="34"/>
      <c r="J357" s="34"/>
      <c r="K357" s="34"/>
      <c r="L357" s="34"/>
      <c r="M357" s="34"/>
    </row>
    <row r="358" spans="2:13" x14ac:dyDescent="0.25">
      <c r="B358" s="38"/>
      <c r="C358" s="39"/>
      <c r="D358" s="37"/>
      <c r="E358" s="34"/>
      <c r="F358" s="34"/>
      <c r="G358" s="34"/>
      <c r="H358" s="34"/>
      <c r="I358" s="34"/>
      <c r="J358" s="34"/>
      <c r="K358" s="34"/>
      <c r="L358" s="34"/>
      <c r="M358" s="34"/>
    </row>
    <row r="359" spans="2:13" x14ac:dyDescent="0.25">
      <c r="B359" s="38"/>
      <c r="C359" s="39"/>
      <c r="D359" s="37"/>
      <c r="E359" s="34"/>
      <c r="F359" s="34"/>
      <c r="G359" s="34"/>
      <c r="H359" s="34"/>
      <c r="I359" s="34"/>
      <c r="J359" s="34"/>
      <c r="K359" s="34"/>
      <c r="L359" s="34"/>
      <c r="M359" s="34"/>
    </row>
    <row r="360" spans="2:13" x14ac:dyDescent="0.25">
      <c r="B360" s="38"/>
      <c r="C360" s="39"/>
      <c r="D360" s="37"/>
      <c r="E360" s="34"/>
      <c r="F360" s="34"/>
      <c r="G360" s="34"/>
      <c r="H360" s="34"/>
      <c r="I360" s="34"/>
      <c r="J360" s="34"/>
      <c r="K360" s="34"/>
      <c r="L360" s="34"/>
      <c r="M360" s="34"/>
    </row>
    <row r="361" spans="2:13" x14ac:dyDescent="0.25">
      <c r="B361" s="38"/>
      <c r="C361" s="39"/>
      <c r="D361" s="37"/>
      <c r="E361" s="34"/>
      <c r="F361" s="34"/>
      <c r="G361" s="34"/>
      <c r="H361" s="34"/>
      <c r="I361" s="34"/>
      <c r="J361" s="34"/>
      <c r="K361" s="34"/>
      <c r="L361" s="34"/>
      <c r="M361" s="34"/>
    </row>
    <row r="362" spans="2:13" x14ac:dyDescent="0.25">
      <c r="B362" s="38"/>
      <c r="C362" s="39"/>
      <c r="D362" s="37"/>
      <c r="E362" s="34"/>
      <c r="F362" s="34"/>
      <c r="G362" s="34"/>
      <c r="H362" s="34"/>
      <c r="I362" s="34"/>
      <c r="J362" s="34"/>
      <c r="K362" s="34"/>
      <c r="L362" s="34"/>
      <c r="M362" s="34"/>
    </row>
    <row r="363" spans="2:13" x14ac:dyDescent="0.25">
      <c r="B363" s="40"/>
      <c r="C363" s="36"/>
      <c r="D363" s="37"/>
      <c r="E363" s="34"/>
      <c r="F363" s="34"/>
      <c r="G363" s="34"/>
      <c r="H363" s="34"/>
      <c r="I363" s="34"/>
      <c r="J363" s="34"/>
      <c r="K363" s="34"/>
      <c r="L363" s="34"/>
      <c r="M363" s="34"/>
    </row>
    <row r="364" spans="2:13" x14ac:dyDescent="0.25">
      <c r="B364" s="41"/>
      <c r="C364" s="39"/>
      <c r="D364" s="37"/>
      <c r="E364" s="34"/>
      <c r="F364" s="34"/>
      <c r="G364" s="34"/>
      <c r="H364" s="34"/>
      <c r="I364" s="34"/>
      <c r="J364" s="34"/>
      <c r="K364" s="34"/>
      <c r="L364" s="34"/>
      <c r="M364" s="34"/>
    </row>
    <row r="365" spans="2:13" x14ac:dyDescent="0.25">
      <c r="B365" s="35"/>
      <c r="C365" s="36"/>
      <c r="D365" s="37"/>
      <c r="E365" s="34"/>
      <c r="F365" s="34"/>
      <c r="G365" s="34"/>
      <c r="H365" s="34"/>
      <c r="I365" s="34"/>
      <c r="J365" s="34"/>
      <c r="K365" s="34"/>
      <c r="L365" s="34"/>
      <c r="M365" s="34"/>
    </row>
    <row r="366" spans="2:13" x14ac:dyDescent="0.25">
      <c r="B366" s="38"/>
      <c r="C366" s="39"/>
      <c r="D366" s="37"/>
      <c r="E366" s="34"/>
      <c r="F366" s="34"/>
      <c r="G366" s="34"/>
      <c r="H366" s="34"/>
      <c r="I366" s="34"/>
      <c r="J366" s="34"/>
      <c r="K366" s="34"/>
      <c r="L366" s="34"/>
      <c r="M366" s="34"/>
    </row>
    <row r="367" spans="2:13" x14ac:dyDescent="0.25">
      <c r="B367" s="38"/>
      <c r="C367" s="39"/>
      <c r="D367" s="37"/>
      <c r="E367" s="34"/>
      <c r="F367" s="34"/>
      <c r="G367" s="34"/>
      <c r="H367" s="34"/>
      <c r="I367" s="34"/>
      <c r="J367" s="34"/>
      <c r="K367" s="34"/>
      <c r="L367" s="34"/>
      <c r="M367" s="34"/>
    </row>
    <row r="368" spans="2:13" x14ac:dyDescent="0.25">
      <c r="B368" s="38"/>
      <c r="C368" s="39"/>
      <c r="D368" s="37"/>
      <c r="E368" s="34"/>
      <c r="F368" s="34"/>
      <c r="G368" s="34"/>
      <c r="H368" s="34"/>
      <c r="I368" s="34"/>
      <c r="J368" s="34"/>
      <c r="K368" s="34"/>
      <c r="L368" s="34"/>
      <c r="M368" s="34"/>
    </row>
    <row r="369" spans="2:13" x14ac:dyDescent="0.25">
      <c r="B369" s="38"/>
      <c r="C369" s="39"/>
      <c r="D369" s="37"/>
      <c r="E369" s="34"/>
      <c r="F369" s="34"/>
      <c r="G369" s="34"/>
      <c r="H369" s="34"/>
      <c r="I369" s="34"/>
      <c r="J369" s="34"/>
      <c r="K369" s="34"/>
      <c r="L369" s="34"/>
      <c r="M369" s="34"/>
    </row>
    <row r="370" spans="2:13" x14ac:dyDescent="0.25">
      <c r="B370" s="38"/>
      <c r="C370" s="39"/>
      <c r="D370" s="37"/>
      <c r="E370" s="34"/>
      <c r="F370" s="34"/>
      <c r="G370" s="34"/>
      <c r="H370" s="34"/>
      <c r="I370" s="34"/>
      <c r="J370" s="34"/>
      <c r="K370" s="34"/>
      <c r="L370" s="34"/>
      <c r="M370" s="34"/>
    </row>
    <row r="371" spans="2:13" x14ac:dyDescent="0.25">
      <c r="B371" s="38"/>
      <c r="C371" s="39"/>
      <c r="D371" s="37"/>
      <c r="E371" s="34"/>
      <c r="F371" s="34"/>
      <c r="G371" s="34"/>
      <c r="H371" s="34"/>
      <c r="I371" s="34"/>
      <c r="J371" s="34"/>
      <c r="K371" s="34"/>
      <c r="L371" s="34"/>
      <c r="M371" s="34"/>
    </row>
    <row r="372" spans="2:13" x14ac:dyDescent="0.25">
      <c r="B372" s="40"/>
      <c r="C372" s="36"/>
      <c r="D372" s="37"/>
      <c r="E372" s="34"/>
      <c r="F372" s="34"/>
      <c r="G372" s="34"/>
      <c r="H372" s="34"/>
      <c r="I372" s="34"/>
      <c r="J372" s="34"/>
      <c r="K372" s="34"/>
      <c r="L372" s="34"/>
      <c r="M372" s="34"/>
    </row>
    <row r="373" spans="2:13" x14ac:dyDescent="0.25">
      <c r="B373" s="41"/>
      <c r="C373" s="39"/>
      <c r="D373" s="37"/>
      <c r="E373" s="34"/>
      <c r="F373" s="34"/>
      <c r="G373" s="34"/>
      <c r="H373" s="34"/>
      <c r="I373" s="34"/>
      <c r="J373" s="34"/>
      <c r="K373" s="34"/>
      <c r="L373" s="34"/>
      <c r="M373" s="34"/>
    </row>
    <row r="374" spans="2:13" x14ac:dyDescent="0.25">
      <c r="B374" s="35"/>
      <c r="C374" s="36"/>
      <c r="D374" s="37"/>
      <c r="E374" s="34"/>
      <c r="F374" s="34"/>
      <c r="G374" s="34"/>
      <c r="H374" s="34"/>
      <c r="I374" s="34"/>
      <c r="J374" s="34"/>
      <c r="K374" s="34"/>
      <c r="L374" s="34"/>
      <c r="M374" s="34"/>
    </row>
    <row r="375" spans="2:13" x14ac:dyDescent="0.25">
      <c r="B375" s="38"/>
      <c r="C375" s="39"/>
      <c r="D375" s="37"/>
      <c r="E375" s="34"/>
      <c r="F375" s="34"/>
      <c r="G375" s="34"/>
      <c r="H375" s="34"/>
      <c r="I375" s="34"/>
      <c r="J375" s="34"/>
      <c r="K375" s="34"/>
      <c r="L375" s="34"/>
      <c r="M375" s="34"/>
    </row>
    <row r="376" spans="2:13" x14ac:dyDescent="0.25">
      <c r="B376" s="38"/>
      <c r="C376" s="39"/>
      <c r="D376" s="37"/>
      <c r="E376" s="34"/>
      <c r="F376" s="34"/>
      <c r="G376" s="34"/>
      <c r="H376" s="34"/>
      <c r="I376" s="34"/>
      <c r="J376" s="34"/>
      <c r="K376" s="34"/>
      <c r="L376" s="34"/>
      <c r="M376" s="34"/>
    </row>
    <row r="377" spans="2:13" x14ac:dyDescent="0.25">
      <c r="B377" s="40"/>
      <c r="C377" s="36"/>
      <c r="D377" s="37"/>
      <c r="E377" s="34"/>
      <c r="F377" s="34"/>
      <c r="G377" s="34"/>
      <c r="H377" s="34"/>
      <c r="I377" s="34"/>
      <c r="J377" s="34"/>
      <c r="K377" s="34"/>
      <c r="L377" s="34"/>
      <c r="M377" s="34"/>
    </row>
    <row r="378" spans="2:13" x14ac:dyDescent="0.25">
      <c r="B378" s="41"/>
      <c r="C378" s="39"/>
      <c r="D378" s="37"/>
      <c r="E378" s="34"/>
      <c r="F378" s="34"/>
      <c r="G378" s="34"/>
      <c r="H378" s="34"/>
      <c r="I378" s="34"/>
      <c r="J378" s="34"/>
      <c r="K378" s="34"/>
      <c r="L378" s="34"/>
      <c r="M378" s="34"/>
    </row>
    <row r="379" spans="2:13" x14ac:dyDescent="0.25">
      <c r="B379" s="35"/>
      <c r="C379" s="36"/>
      <c r="D379" s="37"/>
      <c r="E379" s="34"/>
      <c r="F379" s="34"/>
      <c r="G379" s="34"/>
      <c r="H379" s="34"/>
      <c r="I379" s="34"/>
      <c r="J379" s="34"/>
      <c r="K379" s="34"/>
      <c r="L379" s="34"/>
      <c r="M379" s="34"/>
    </row>
    <row r="380" spans="2:13" x14ac:dyDescent="0.25">
      <c r="B380" s="38"/>
      <c r="C380" s="39"/>
      <c r="D380" s="37"/>
      <c r="E380" s="34"/>
      <c r="F380" s="34"/>
      <c r="G380" s="34"/>
      <c r="H380" s="34"/>
      <c r="I380" s="34"/>
      <c r="J380" s="34"/>
      <c r="K380" s="34"/>
      <c r="L380" s="34"/>
      <c r="M380" s="34"/>
    </row>
    <row r="381" spans="2:13" x14ac:dyDescent="0.25">
      <c r="B381" s="38"/>
      <c r="C381" s="39"/>
      <c r="D381" s="37"/>
      <c r="E381" s="34"/>
      <c r="F381" s="34"/>
      <c r="G381" s="34"/>
      <c r="H381" s="34"/>
      <c r="I381" s="34"/>
      <c r="J381" s="34"/>
      <c r="K381" s="34"/>
      <c r="L381" s="34"/>
      <c r="M381" s="34"/>
    </row>
    <row r="382" spans="2:13" x14ac:dyDescent="0.25">
      <c r="B382" s="38"/>
      <c r="C382" s="39"/>
      <c r="D382" s="37"/>
      <c r="E382" s="34"/>
      <c r="F382" s="34"/>
      <c r="G382" s="34"/>
      <c r="H382" s="34"/>
      <c r="I382" s="34"/>
      <c r="J382" s="34"/>
      <c r="K382" s="34"/>
      <c r="L382" s="34"/>
      <c r="M382" s="34"/>
    </row>
    <row r="383" spans="2:13" x14ac:dyDescent="0.25">
      <c r="B383" s="38"/>
      <c r="C383" s="39"/>
      <c r="D383" s="37"/>
      <c r="E383" s="34"/>
      <c r="F383" s="34"/>
      <c r="G383" s="34"/>
      <c r="H383" s="34"/>
      <c r="I383" s="34"/>
      <c r="J383" s="34"/>
      <c r="K383" s="34"/>
      <c r="L383" s="34"/>
      <c r="M383" s="34"/>
    </row>
    <row r="384" spans="2:13" x14ac:dyDescent="0.25">
      <c r="B384" s="38"/>
      <c r="C384" s="39"/>
      <c r="D384" s="37"/>
      <c r="E384" s="34"/>
      <c r="F384" s="34"/>
      <c r="G384" s="34"/>
      <c r="H384" s="34"/>
      <c r="I384" s="34"/>
      <c r="J384" s="34"/>
      <c r="K384" s="34"/>
      <c r="L384" s="34"/>
      <c r="M384" s="34"/>
    </row>
    <row r="385" spans="2:13" x14ac:dyDescent="0.25">
      <c r="B385" s="38"/>
      <c r="C385" s="39"/>
      <c r="D385" s="37"/>
      <c r="E385" s="34"/>
      <c r="F385" s="34"/>
      <c r="G385" s="34"/>
      <c r="H385" s="34"/>
      <c r="I385" s="34"/>
      <c r="J385" s="34"/>
      <c r="K385" s="34"/>
      <c r="L385" s="34"/>
      <c r="M385" s="34"/>
    </row>
    <row r="386" spans="2:13" x14ac:dyDescent="0.25">
      <c r="B386" s="38"/>
      <c r="C386" s="39"/>
      <c r="D386" s="37"/>
      <c r="E386" s="34"/>
      <c r="F386" s="34"/>
      <c r="G386" s="34"/>
      <c r="H386" s="34"/>
      <c r="I386" s="34"/>
      <c r="J386" s="34"/>
      <c r="K386" s="34"/>
      <c r="L386" s="34"/>
      <c r="M386" s="34"/>
    </row>
    <row r="387" spans="2:13" x14ac:dyDescent="0.25">
      <c r="B387" s="38"/>
      <c r="C387" s="39"/>
      <c r="D387" s="37"/>
      <c r="E387" s="34"/>
      <c r="F387" s="34"/>
      <c r="G387" s="34"/>
      <c r="H387" s="34"/>
      <c r="I387" s="34"/>
      <c r="J387" s="34"/>
      <c r="K387" s="34"/>
      <c r="L387" s="34"/>
      <c r="M387" s="34"/>
    </row>
    <row r="388" spans="2:13" x14ac:dyDescent="0.25">
      <c r="B388" s="38"/>
      <c r="C388" s="39"/>
      <c r="D388" s="37"/>
      <c r="E388" s="34"/>
      <c r="F388" s="34"/>
      <c r="G388" s="34"/>
      <c r="H388" s="34"/>
      <c r="I388" s="34"/>
      <c r="J388" s="34"/>
      <c r="K388" s="34"/>
      <c r="L388" s="34"/>
      <c r="M388" s="34"/>
    </row>
    <row r="389" spans="2:13" x14ac:dyDescent="0.25">
      <c r="B389" s="38"/>
      <c r="C389" s="39"/>
      <c r="D389" s="37"/>
      <c r="E389" s="34"/>
      <c r="F389" s="34"/>
      <c r="G389" s="34"/>
      <c r="H389" s="34"/>
      <c r="I389" s="34"/>
      <c r="J389" s="34"/>
      <c r="K389" s="34"/>
      <c r="L389" s="34"/>
      <c r="M389" s="34"/>
    </row>
    <row r="390" spans="2:13" x14ac:dyDescent="0.25">
      <c r="B390" s="38"/>
      <c r="C390" s="39"/>
      <c r="D390" s="37"/>
      <c r="E390" s="34"/>
      <c r="F390" s="34"/>
      <c r="G390" s="34"/>
      <c r="H390" s="34"/>
      <c r="I390" s="34"/>
      <c r="J390" s="34"/>
      <c r="K390" s="34"/>
      <c r="L390" s="34"/>
      <c r="M390" s="34"/>
    </row>
    <row r="391" spans="2:13" x14ac:dyDescent="0.25">
      <c r="B391" s="38"/>
      <c r="C391" s="39"/>
      <c r="D391" s="37"/>
      <c r="E391" s="34"/>
      <c r="F391" s="34"/>
      <c r="G391" s="34"/>
      <c r="H391" s="34"/>
      <c r="I391" s="34"/>
      <c r="J391" s="34"/>
      <c r="K391" s="34"/>
      <c r="L391" s="34"/>
      <c r="M391" s="34"/>
    </row>
    <row r="392" spans="2:13" x14ac:dyDescent="0.25">
      <c r="B392" s="38"/>
      <c r="C392" s="39"/>
      <c r="D392" s="37"/>
      <c r="E392" s="34"/>
      <c r="F392" s="34"/>
      <c r="G392" s="34"/>
      <c r="H392" s="34"/>
      <c r="I392" s="34"/>
      <c r="J392" s="34"/>
      <c r="K392" s="34"/>
      <c r="L392" s="34"/>
      <c r="M392" s="34"/>
    </row>
    <row r="393" spans="2:13" x14ac:dyDescent="0.25">
      <c r="B393" s="38"/>
      <c r="C393" s="39"/>
      <c r="D393" s="37"/>
      <c r="E393" s="34"/>
      <c r="F393" s="34"/>
      <c r="G393" s="34"/>
      <c r="H393" s="34"/>
      <c r="I393" s="34"/>
      <c r="J393" s="34"/>
      <c r="K393" s="34"/>
      <c r="L393" s="34"/>
      <c r="M393" s="34"/>
    </row>
    <row r="394" spans="2:13" x14ac:dyDescent="0.25">
      <c r="B394" s="40"/>
      <c r="C394" s="36"/>
      <c r="D394" s="37"/>
      <c r="E394" s="34"/>
      <c r="F394" s="34"/>
      <c r="G394" s="34"/>
      <c r="H394" s="34"/>
      <c r="I394" s="34"/>
      <c r="J394" s="34"/>
      <c r="K394" s="34"/>
      <c r="L394" s="34"/>
      <c r="M394" s="34"/>
    </row>
    <row r="395" spans="2:13" x14ac:dyDescent="0.25">
      <c r="B395" s="41"/>
      <c r="C395" s="39"/>
      <c r="D395" s="37"/>
      <c r="E395" s="34"/>
      <c r="F395" s="34"/>
      <c r="G395" s="34"/>
      <c r="H395" s="34"/>
      <c r="I395" s="34"/>
      <c r="J395" s="34"/>
      <c r="K395" s="34"/>
      <c r="L395" s="34"/>
      <c r="M395" s="34"/>
    </row>
    <row r="396" spans="2:13" x14ac:dyDescent="0.25">
      <c r="B396" s="35"/>
      <c r="C396" s="36"/>
      <c r="D396" s="37"/>
      <c r="E396" s="34"/>
      <c r="F396" s="34"/>
      <c r="G396" s="34"/>
      <c r="H396" s="34"/>
      <c r="I396" s="34"/>
      <c r="J396" s="34"/>
      <c r="K396" s="34"/>
      <c r="L396" s="34"/>
      <c r="M396" s="34"/>
    </row>
    <row r="397" spans="2:13" x14ac:dyDescent="0.25">
      <c r="B397" s="38"/>
      <c r="C397" s="39"/>
      <c r="D397" s="37"/>
      <c r="E397" s="34"/>
      <c r="F397" s="34"/>
      <c r="G397" s="34"/>
      <c r="H397" s="34"/>
      <c r="I397" s="34"/>
      <c r="J397" s="34"/>
      <c r="K397" s="34"/>
      <c r="L397" s="34"/>
      <c r="M397" s="34"/>
    </row>
    <row r="398" spans="2:13" x14ac:dyDescent="0.25">
      <c r="B398" s="38"/>
      <c r="C398" s="39"/>
      <c r="D398" s="37"/>
      <c r="E398" s="34"/>
      <c r="F398" s="34"/>
      <c r="G398" s="34"/>
      <c r="H398" s="34"/>
      <c r="I398" s="34"/>
      <c r="J398" s="34"/>
      <c r="K398" s="34"/>
      <c r="L398" s="34"/>
      <c r="M398" s="34"/>
    </row>
    <row r="399" spans="2:13" x14ac:dyDescent="0.25">
      <c r="B399" s="38"/>
      <c r="C399" s="39"/>
      <c r="D399" s="37"/>
      <c r="E399" s="34"/>
      <c r="F399" s="34"/>
      <c r="G399" s="34"/>
      <c r="H399" s="34"/>
      <c r="I399" s="34"/>
      <c r="J399" s="34"/>
      <c r="K399" s="34"/>
      <c r="L399" s="34"/>
      <c r="M399" s="34"/>
    </row>
    <row r="400" spans="2:13" x14ac:dyDescent="0.25">
      <c r="B400" s="38"/>
      <c r="C400" s="39"/>
      <c r="D400" s="37"/>
      <c r="E400" s="34"/>
      <c r="F400" s="34"/>
      <c r="G400" s="34"/>
      <c r="H400" s="34"/>
      <c r="I400" s="34"/>
      <c r="J400" s="34"/>
      <c r="K400" s="34"/>
      <c r="L400" s="34"/>
      <c r="M400" s="34"/>
    </row>
    <row r="401" spans="2:13" x14ac:dyDescent="0.25">
      <c r="B401" s="38"/>
      <c r="C401" s="39"/>
      <c r="D401" s="37"/>
      <c r="E401" s="34"/>
      <c r="F401" s="34"/>
      <c r="G401" s="34"/>
      <c r="H401" s="34"/>
      <c r="I401" s="34"/>
      <c r="J401" s="34"/>
      <c r="K401" s="34"/>
      <c r="L401" s="34"/>
      <c r="M401" s="34"/>
    </row>
    <row r="402" spans="2:13" x14ac:dyDescent="0.25">
      <c r="B402" s="38"/>
      <c r="C402" s="39"/>
      <c r="D402" s="37"/>
      <c r="E402" s="34"/>
      <c r="F402" s="34"/>
      <c r="G402" s="34"/>
      <c r="H402" s="34"/>
      <c r="I402" s="34"/>
      <c r="J402" s="34"/>
      <c r="K402" s="34"/>
      <c r="L402" s="34"/>
      <c r="M402" s="34"/>
    </row>
    <row r="403" spans="2:13" x14ac:dyDescent="0.25">
      <c r="B403" s="38"/>
      <c r="C403" s="39"/>
      <c r="D403" s="37"/>
      <c r="E403" s="34"/>
      <c r="F403" s="34"/>
      <c r="G403" s="34"/>
      <c r="H403" s="34"/>
      <c r="I403" s="34"/>
      <c r="J403" s="34"/>
      <c r="K403" s="34"/>
      <c r="L403" s="34"/>
      <c r="M403" s="34"/>
    </row>
    <row r="404" spans="2:13" x14ac:dyDescent="0.25">
      <c r="B404" s="38"/>
      <c r="C404" s="39"/>
      <c r="D404" s="37"/>
      <c r="E404" s="34"/>
      <c r="F404" s="34"/>
      <c r="G404" s="34"/>
      <c r="H404" s="34"/>
      <c r="I404" s="34"/>
      <c r="J404" s="34"/>
      <c r="K404" s="34"/>
      <c r="L404" s="34"/>
      <c r="M404" s="34"/>
    </row>
    <row r="405" spans="2:13" x14ac:dyDescent="0.25">
      <c r="B405" s="38"/>
      <c r="C405" s="39"/>
      <c r="D405" s="37"/>
      <c r="E405" s="34"/>
      <c r="F405" s="34"/>
      <c r="G405" s="34"/>
      <c r="H405" s="34"/>
      <c r="I405" s="34"/>
      <c r="J405" s="34"/>
      <c r="K405" s="34"/>
      <c r="L405" s="34"/>
      <c r="M405" s="34"/>
    </row>
    <row r="406" spans="2:13" x14ac:dyDescent="0.25">
      <c r="B406" s="38"/>
      <c r="C406" s="39"/>
      <c r="D406" s="37"/>
      <c r="E406" s="34"/>
      <c r="F406" s="34"/>
      <c r="G406" s="34"/>
      <c r="H406" s="34"/>
      <c r="I406" s="34"/>
      <c r="J406" s="34"/>
      <c r="K406" s="34"/>
      <c r="L406" s="34"/>
      <c r="M406" s="34"/>
    </row>
    <row r="407" spans="2:13" x14ac:dyDescent="0.25">
      <c r="B407" s="38"/>
      <c r="C407" s="39"/>
      <c r="D407" s="37"/>
      <c r="E407" s="34"/>
      <c r="F407" s="34"/>
      <c r="G407" s="34"/>
      <c r="H407" s="34"/>
      <c r="I407" s="34"/>
      <c r="J407" s="34"/>
      <c r="K407" s="34"/>
      <c r="L407" s="34"/>
      <c r="M407" s="34"/>
    </row>
    <row r="408" spans="2:13" x14ac:dyDescent="0.25">
      <c r="B408" s="38"/>
      <c r="C408" s="39"/>
      <c r="D408" s="37"/>
      <c r="E408" s="34"/>
      <c r="F408" s="34"/>
      <c r="G408" s="34"/>
      <c r="H408" s="34"/>
      <c r="I408" s="34"/>
      <c r="J408" s="34"/>
      <c r="K408" s="34"/>
      <c r="L408" s="34"/>
      <c r="M408" s="34"/>
    </row>
    <row r="409" spans="2:13" x14ac:dyDescent="0.25">
      <c r="B409" s="38"/>
      <c r="C409" s="39"/>
      <c r="D409" s="37"/>
      <c r="E409" s="34"/>
      <c r="F409" s="34"/>
      <c r="G409" s="34"/>
      <c r="H409" s="34"/>
      <c r="I409" s="34"/>
      <c r="J409" s="34"/>
      <c r="K409" s="34"/>
      <c r="L409" s="34"/>
      <c r="M409" s="34"/>
    </row>
    <row r="410" spans="2:13" x14ac:dyDescent="0.25">
      <c r="B410" s="38"/>
      <c r="C410" s="39"/>
      <c r="D410" s="37"/>
      <c r="E410" s="34"/>
      <c r="F410" s="34"/>
      <c r="G410" s="34"/>
      <c r="H410" s="34"/>
      <c r="I410" s="34"/>
      <c r="J410" s="34"/>
      <c r="K410" s="34"/>
      <c r="L410" s="34"/>
      <c r="M410" s="34"/>
    </row>
    <row r="411" spans="2:13" x14ac:dyDescent="0.25">
      <c r="B411" s="38"/>
      <c r="C411" s="39"/>
      <c r="D411" s="37"/>
      <c r="E411" s="34"/>
      <c r="F411" s="34"/>
      <c r="G411" s="34"/>
      <c r="H411" s="34"/>
      <c r="I411" s="34"/>
      <c r="J411" s="34"/>
      <c r="K411" s="34"/>
      <c r="L411" s="34"/>
      <c r="M411" s="34"/>
    </row>
    <row r="412" spans="2:13" x14ac:dyDescent="0.25">
      <c r="B412" s="38"/>
      <c r="C412" s="39"/>
      <c r="D412" s="37"/>
      <c r="E412" s="34"/>
      <c r="F412" s="34"/>
      <c r="G412" s="34"/>
      <c r="H412" s="34"/>
      <c r="I412" s="34"/>
      <c r="J412" s="34"/>
      <c r="K412" s="34"/>
      <c r="L412" s="34"/>
      <c r="M412" s="34"/>
    </row>
    <row r="413" spans="2:13" x14ac:dyDescent="0.25">
      <c r="B413" s="38"/>
      <c r="C413" s="39"/>
      <c r="D413" s="37"/>
      <c r="E413" s="34"/>
      <c r="F413" s="34"/>
      <c r="G413" s="34"/>
      <c r="H413" s="34"/>
      <c r="I413" s="34"/>
      <c r="J413" s="34"/>
      <c r="K413" s="34"/>
      <c r="L413" s="34"/>
      <c r="M413" s="34"/>
    </row>
    <row r="414" spans="2:13" x14ac:dyDescent="0.25">
      <c r="B414" s="38"/>
      <c r="C414" s="39"/>
      <c r="D414" s="37"/>
      <c r="E414" s="34"/>
      <c r="F414" s="34"/>
      <c r="G414" s="34"/>
      <c r="H414" s="34"/>
      <c r="I414" s="34"/>
      <c r="J414" s="34"/>
      <c r="K414" s="34"/>
      <c r="L414" s="34"/>
      <c r="M414" s="34"/>
    </row>
    <row r="415" spans="2:13" x14ac:dyDescent="0.25">
      <c r="B415" s="38"/>
      <c r="C415" s="39"/>
      <c r="D415" s="37"/>
      <c r="E415" s="34"/>
      <c r="F415" s="34"/>
      <c r="G415" s="34"/>
      <c r="H415" s="34"/>
      <c r="I415" s="34"/>
      <c r="J415" s="34"/>
      <c r="K415" s="34"/>
      <c r="L415" s="34"/>
      <c r="M415" s="34"/>
    </row>
    <row r="416" spans="2:13" x14ac:dyDescent="0.25">
      <c r="B416" s="38"/>
      <c r="C416" s="39"/>
      <c r="D416" s="37"/>
      <c r="E416" s="34"/>
      <c r="F416" s="34"/>
      <c r="G416" s="34"/>
      <c r="H416" s="34"/>
      <c r="I416" s="34"/>
      <c r="J416" s="34"/>
      <c r="K416" s="34"/>
      <c r="L416" s="34"/>
      <c r="M416" s="34"/>
    </row>
    <row r="417" spans="2:13" x14ac:dyDescent="0.25">
      <c r="B417" s="38"/>
      <c r="C417" s="39"/>
      <c r="D417" s="37"/>
      <c r="E417" s="34"/>
      <c r="F417" s="34"/>
      <c r="G417" s="34"/>
      <c r="H417" s="34"/>
      <c r="I417" s="34"/>
      <c r="J417" s="34"/>
      <c r="K417" s="34"/>
      <c r="L417" s="34"/>
      <c r="M417" s="34"/>
    </row>
    <row r="418" spans="2:13" x14ac:dyDescent="0.25">
      <c r="B418" s="38"/>
      <c r="C418" s="39"/>
      <c r="D418" s="37"/>
      <c r="E418" s="34"/>
      <c r="F418" s="34"/>
      <c r="G418" s="34"/>
      <c r="H418" s="34"/>
      <c r="I418" s="34"/>
      <c r="J418" s="34"/>
      <c r="K418" s="34"/>
      <c r="L418" s="34"/>
      <c r="M418" s="34"/>
    </row>
    <row r="419" spans="2:13" x14ac:dyDescent="0.25">
      <c r="B419" s="38"/>
      <c r="C419" s="39"/>
      <c r="D419" s="37"/>
      <c r="E419" s="34"/>
      <c r="F419" s="34"/>
      <c r="G419" s="34"/>
      <c r="H419" s="34"/>
      <c r="I419" s="34"/>
      <c r="J419" s="34"/>
      <c r="K419" s="34"/>
      <c r="L419" s="34"/>
      <c r="M419" s="34"/>
    </row>
    <row r="420" spans="2:13" x14ac:dyDescent="0.25">
      <c r="B420" s="40"/>
      <c r="C420" s="36"/>
      <c r="D420" s="37"/>
      <c r="E420" s="34"/>
      <c r="F420" s="34"/>
      <c r="G420" s="34"/>
      <c r="H420" s="34"/>
      <c r="I420" s="34"/>
      <c r="J420" s="34"/>
      <c r="K420" s="34"/>
      <c r="L420" s="34"/>
      <c r="M420" s="34"/>
    </row>
    <row r="421" spans="2:13" x14ac:dyDescent="0.25">
      <c r="B421" s="41"/>
      <c r="C421" s="39"/>
      <c r="D421" s="37"/>
      <c r="E421" s="34"/>
      <c r="F421" s="34"/>
      <c r="G421" s="34"/>
      <c r="H421" s="34"/>
      <c r="I421" s="34"/>
      <c r="J421" s="34"/>
      <c r="K421" s="34"/>
      <c r="L421" s="34"/>
      <c r="M421" s="34"/>
    </row>
    <row r="422" spans="2:13" x14ac:dyDescent="0.25">
      <c r="B422" s="35"/>
      <c r="C422" s="36"/>
      <c r="D422" s="37"/>
      <c r="E422" s="34"/>
      <c r="F422" s="34"/>
      <c r="G422" s="34"/>
      <c r="H422" s="34"/>
      <c r="I422" s="34"/>
      <c r="J422" s="34"/>
      <c r="K422" s="34"/>
      <c r="L422" s="34"/>
      <c r="M422" s="34"/>
    </row>
    <row r="423" spans="2:13" x14ac:dyDescent="0.25">
      <c r="B423" s="38"/>
      <c r="C423" s="39"/>
      <c r="D423" s="37"/>
      <c r="E423" s="34"/>
      <c r="F423" s="34"/>
      <c r="G423" s="34"/>
      <c r="H423" s="34"/>
      <c r="I423" s="34"/>
      <c r="J423" s="34"/>
      <c r="K423" s="34"/>
      <c r="L423" s="34"/>
      <c r="M423" s="34"/>
    </row>
    <row r="424" spans="2:13" x14ac:dyDescent="0.25">
      <c r="B424" s="38"/>
      <c r="C424" s="39"/>
      <c r="D424" s="37"/>
      <c r="E424" s="34"/>
      <c r="F424" s="34"/>
      <c r="G424" s="34"/>
      <c r="H424" s="34"/>
      <c r="I424" s="34"/>
      <c r="J424" s="34"/>
      <c r="K424" s="34"/>
      <c r="L424" s="34"/>
      <c r="M424" s="34"/>
    </row>
    <row r="425" spans="2:13" x14ac:dyDescent="0.25">
      <c r="B425" s="40"/>
      <c r="C425" s="36"/>
      <c r="D425" s="37"/>
      <c r="E425" s="34"/>
      <c r="F425" s="34"/>
      <c r="G425" s="34"/>
      <c r="H425" s="34"/>
      <c r="I425" s="34"/>
      <c r="J425" s="34"/>
      <c r="K425" s="34"/>
      <c r="L425" s="34"/>
      <c r="M425" s="34"/>
    </row>
    <row r="426" spans="2:13" x14ac:dyDescent="0.25">
      <c r="B426" s="41"/>
      <c r="C426" s="39"/>
      <c r="D426" s="37"/>
      <c r="E426" s="34"/>
      <c r="F426" s="34"/>
      <c r="G426" s="34"/>
      <c r="H426" s="34"/>
      <c r="I426" s="34"/>
      <c r="J426" s="34"/>
      <c r="K426" s="34"/>
      <c r="L426" s="34"/>
      <c r="M426" s="34"/>
    </row>
    <row r="427" spans="2:13" x14ac:dyDescent="0.25">
      <c r="B427" s="35"/>
      <c r="C427" s="36"/>
      <c r="D427" s="37"/>
      <c r="E427" s="34"/>
      <c r="F427" s="34"/>
      <c r="G427" s="34"/>
      <c r="H427" s="34"/>
      <c r="I427" s="34"/>
      <c r="J427" s="34"/>
      <c r="K427" s="34"/>
      <c r="L427" s="34"/>
      <c r="M427" s="34"/>
    </row>
    <row r="428" spans="2:13" x14ac:dyDescent="0.25">
      <c r="B428" s="38"/>
      <c r="C428" s="39"/>
      <c r="D428" s="37"/>
      <c r="E428" s="34"/>
      <c r="F428" s="34"/>
      <c r="G428" s="34"/>
      <c r="H428" s="34"/>
      <c r="I428" s="34"/>
      <c r="J428" s="34"/>
      <c r="K428" s="34"/>
      <c r="L428" s="34"/>
      <c r="M428" s="34"/>
    </row>
    <row r="429" spans="2:13" x14ac:dyDescent="0.25">
      <c r="B429" s="38"/>
      <c r="C429" s="39"/>
      <c r="D429" s="37"/>
      <c r="E429" s="34"/>
      <c r="F429" s="34"/>
      <c r="G429" s="34"/>
      <c r="H429" s="34"/>
      <c r="I429" s="34"/>
      <c r="J429" s="34"/>
      <c r="K429" s="34"/>
      <c r="L429" s="34"/>
      <c r="M429" s="34"/>
    </row>
    <row r="430" spans="2:13" x14ac:dyDescent="0.25">
      <c r="B430" s="38"/>
      <c r="C430" s="39"/>
      <c r="D430" s="37"/>
      <c r="E430" s="34"/>
      <c r="F430" s="34"/>
      <c r="G430" s="34"/>
      <c r="H430" s="34"/>
      <c r="I430" s="34"/>
      <c r="J430" s="34"/>
      <c r="K430" s="34"/>
      <c r="L430" s="34"/>
      <c r="M430" s="34"/>
    </row>
    <row r="431" spans="2:13" x14ac:dyDescent="0.25">
      <c r="B431" s="38"/>
      <c r="C431" s="39"/>
      <c r="D431" s="37"/>
      <c r="E431" s="34"/>
      <c r="F431" s="34"/>
      <c r="G431" s="34"/>
      <c r="H431" s="34"/>
      <c r="I431" s="34"/>
      <c r="J431" s="34"/>
      <c r="K431" s="34"/>
      <c r="L431" s="34"/>
      <c r="M431" s="34"/>
    </row>
    <row r="432" spans="2:13" x14ac:dyDescent="0.25">
      <c r="B432" s="38"/>
      <c r="C432" s="39"/>
      <c r="D432" s="37"/>
      <c r="E432" s="34"/>
      <c r="F432" s="34"/>
      <c r="G432" s="34"/>
      <c r="H432" s="34"/>
      <c r="I432" s="34"/>
      <c r="J432" s="34"/>
      <c r="K432" s="34"/>
      <c r="L432" s="34"/>
      <c r="M432" s="34"/>
    </row>
    <row r="433" spans="2:13" x14ac:dyDescent="0.25">
      <c r="B433" s="40"/>
      <c r="C433" s="36"/>
      <c r="D433" s="37"/>
      <c r="E433" s="34"/>
      <c r="F433" s="34"/>
      <c r="G433" s="34"/>
      <c r="H433" s="34"/>
      <c r="I433" s="34"/>
      <c r="J433" s="34"/>
      <c r="K433" s="34"/>
      <c r="L433" s="34"/>
      <c r="M433" s="34"/>
    </row>
    <row r="434" spans="2:13" x14ac:dyDescent="0.25">
      <c r="B434" s="41"/>
      <c r="C434" s="39"/>
      <c r="D434" s="37"/>
      <c r="E434" s="34"/>
      <c r="F434" s="34"/>
      <c r="G434" s="34"/>
      <c r="H434" s="34"/>
      <c r="I434" s="34"/>
      <c r="J434" s="34"/>
      <c r="K434" s="34"/>
      <c r="L434" s="34"/>
      <c r="M434" s="34"/>
    </row>
    <row r="435" spans="2:13" x14ac:dyDescent="0.25">
      <c r="B435" s="35"/>
      <c r="C435" s="36"/>
      <c r="D435" s="37"/>
      <c r="E435" s="34"/>
      <c r="F435" s="34"/>
      <c r="G435" s="34"/>
      <c r="H435" s="34"/>
      <c r="I435" s="34"/>
      <c r="J435" s="34"/>
      <c r="K435" s="34"/>
      <c r="L435" s="34"/>
      <c r="M435" s="34"/>
    </row>
    <row r="436" spans="2:13" x14ac:dyDescent="0.25">
      <c r="B436" s="38"/>
      <c r="C436" s="39"/>
      <c r="D436" s="37"/>
      <c r="E436" s="34"/>
      <c r="F436" s="34"/>
      <c r="G436" s="34"/>
      <c r="H436" s="34"/>
      <c r="I436" s="34"/>
      <c r="J436" s="34"/>
      <c r="K436" s="34"/>
      <c r="L436" s="34"/>
      <c r="M436" s="34"/>
    </row>
    <row r="437" spans="2:13" x14ac:dyDescent="0.25">
      <c r="B437" s="38"/>
      <c r="C437" s="39"/>
      <c r="D437" s="37"/>
      <c r="E437" s="34"/>
      <c r="F437" s="34"/>
      <c r="G437" s="34"/>
      <c r="H437" s="34"/>
      <c r="I437" s="34"/>
      <c r="J437" s="34"/>
      <c r="K437" s="34"/>
      <c r="L437" s="34"/>
      <c r="M437" s="34"/>
    </row>
    <row r="438" spans="2:13" x14ac:dyDescent="0.25">
      <c r="B438" s="38"/>
      <c r="C438" s="39"/>
      <c r="D438" s="37"/>
      <c r="E438" s="34"/>
      <c r="F438" s="34"/>
      <c r="G438" s="34"/>
      <c r="H438" s="34"/>
      <c r="I438" s="34"/>
      <c r="J438" s="34"/>
      <c r="K438" s="34"/>
      <c r="L438" s="34"/>
      <c r="M438" s="34"/>
    </row>
    <row r="439" spans="2:13" x14ac:dyDescent="0.25">
      <c r="B439" s="38"/>
      <c r="C439" s="39"/>
      <c r="D439" s="37"/>
      <c r="E439" s="34"/>
      <c r="F439" s="34"/>
      <c r="G439" s="34"/>
      <c r="H439" s="34"/>
      <c r="I439" s="34"/>
      <c r="J439" s="34"/>
      <c r="K439" s="34"/>
      <c r="L439" s="34"/>
      <c r="M439" s="34"/>
    </row>
    <row r="440" spans="2:13" x14ac:dyDescent="0.25">
      <c r="B440" s="38"/>
      <c r="C440" s="39"/>
      <c r="D440" s="37"/>
      <c r="E440" s="34"/>
      <c r="F440" s="34"/>
      <c r="G440" s="34"/>
      <c r="H440" s="34"/>
      <c r="I440" s="34"/>
      <c r="J440" s="34"/>
      <c r="K440" s="34"/>
      <c r="L440" s="34"/>
      <c r="M440" s="34"/>
    </row>
    <row r="441" spans="2:13" x14ac:dyDescent="0.25">
      <c r="B441" s="38"/>
      <c r="C441" s="39"/>
      <c r="D441" s="37"/>
      <c r="E441" s="34"/>
      <c r="F441" s="34"/>
      <c r="G441" s="34"/>
      <c r="H441" s="34"/>
      <c r="I441" s="34"/>
      <c r="J441" s="34"/>
      <c r="K441" s="34"/>
      <c r="L441" s="34"/>
      <c r="M441" s="34"/>
    </row>
    <row r="442" spans="2:13" x14ac:dyDescent="0.25">
      <c r="B442" s="38"/>
      <c r="C442" s="39"/>
      <c r="D442" s="37"/>
      <c r="E442" s="34"/>
      <c r="F442" s="34"/>
      <c r="G442" s="34"/>
      <c r="H442" s="34"/>
      <c r="I442" s="34"/>
      <c r="J442" s="34"/>
      <c r="K442" s="34"/>
      <c r="L442" s="34"/>
      <c r="M442" s="34"/>
    </row>
    <row r="443" spans="2:13" x14ac:dyDescent="0.25">
      <c r="B443" s="38"/>
      <c r="C443" s="39"/>
      <c r="D443" s="37"/>
      <c r="E443" s="34"/>
      <c r="F443" s="34"/>
      <c r="G443" s="34"/>
      <c r="H443" s="34"/>
      <c r="I443" s="34"/>
      <c r="J443" s="34"/>
      <c r="K443" s="34"/>
      <c r="L443" s="34"/>
      <c r="M443" s="34"/>
    </row>
    <row r="444" spans="2:13" x14ac:dyDescent="0.25">
      <c r="B444" s="38"/>
      <c r="C444" s="39"/>
      <c r="D444" s="37"/>
      <c r="E444" s="34"/>
      <c r="F444" s="34"/>
      <c r="G444" s="34"/>
      <c r="H444" s="34"/>
      <c r="I444" s="34"/>
      <c r="J444" s="34"/>
      <c r="K444" s="34"/>
      <c r="L444" s="34"/>
      <c r="M444" s="34"/>
    </row>
    <row r="445" spans="2:13" x14ac:dyDescent="0.25">
      <c r="B445" s="38"/>
      <c r="C445" s="39"/>
      <c r="D445" s="37"/>
      <c r="E445" s="34"/>
      <c r="F445" s="34"/>
      <c r="G445" s="34"/>
      <c r="H445" s="34"/>
      <c r="I445" s="34"/>
      <c r="J445" s="34"/>
      <c r="K445" s="34"/>
      <c r="L445" s="34"/>
      <c r="M445" s="34"/>
    </row>
    <row r="446" spans="2:13" x14ac:dyDescent="0.25">
      <c r="B446" s="38"/>
      <c r="C446" s="39"/>
      <c r="D446" s="37"/>
      <c r="E446" s="34"/>
      <c r="F446" s="34"/>
      <c r="G446" s="34"/>
      <c r="H446" s="34"/>
      <c r="I446" s="34"/>
      <c r="J446" s="34"/>
      <c r="K446" s="34"/>
      <c r="L446" s="34"/>
      <c r="M446" s="34"/>
    </row>
    <row r="447" spans="2:13" x14ac:dyDescent="0.25">
      <c r="B447" s="38"/>
      <c r="C447" s="39"/>
      <c r="D447" s="37"/>
      <c r="E447" s="34"/>
      <c r="F447" s="34"/>
      <c r="G447" s="34"/>
      <c r="H447" s="34"/>
      <c r="I447" s="34"/>
      <c r="J447" s="34"/>
      <c r="K447" s="34"/>
      <c r="L447" s="34"/>
      <c r="M447" s="34"/>
    </row>
    <row r="448" spans="2:13" x14ac:dyDescent="0.25">
      <c r="B448" s="40"/>
      <c r="C448" s="36"/>
      <c r="D448" s="37"/>
      <c r="E448" s="34"/>
      <c r="F448" s="34"/>
      <c r="G448" s="34"/>
      <c r="H448" s="34"/>
      <c r="I448" s="34"/>
      <c r="J448" s="34"/>
      <c r="K448" s="34"/>
      <c r="L448" s="34"/>
      <c r="M448" s="34"/>
    </row>
    <row r="449" spans="2:13" x14ac:dyDescent="0.25">
      <c r="B449" s="41"/>
      <c r="C449" s="39"/>
      <c r="D449" s="37"/>
      <c r="E449" s="34"/>
      <c r="F449" s="34"/>
      <c r="G449" s="34"/>
      <c r="H449" s="34"/>
      <c r="I449" s="34"/>
      <c r="J449" s="34"/>
      <c r="K449" s="34"/>
      <c r="L449" s="34"/>
      <c r="M449" s="34"/>
    </row>
    <row r="450" spans="2:13" x14ac:dyDescent="0.25">
      <c r="B450" s="35"/>
      <c r="C450" s="36"/>
      <c r="D450" s="37"/>
      <c r="E450" s="34"/>
      <c r="F450" s="34"/>
      <c r="G450" s="34"/>
      <c r="H450" s="34"/>
      <c r="I450" s="34"/>
      <c r="J450" s="34"/>
      <c r="K450" s="34"/>
      <c r="L450" s="34"/>
      <c r="M450" s="34"/>
    </row>
    <row r="451" spans="2:13" x14ac:dyDescent="0.25">
      <c r="B451" s="38"/>
      <c r="C451" s="39"/>
      <c r="D451" s="37"/>
      <c r="E451" s="34"/>
      <c r="F451" s="34"/>
      <c r="G451" s="34"/>
      <c r="H451" s="34"/>
      <c r="I451" s="34"/>
      <c r="J451" s="34"/>
      <c r="K451" s="34"/>
      <c r="L451" s="34"/>
      <c r="M451" s="34"/>
    </row>
    <row r="452" spans="2:13" x14ac:dyDescent="0.25">
      <c r="B452" s="40"/>
      <c r="C452" s="36"/>
      <c r="D452" s="37"/>
      <c r="E452" s="34"/>
      <c r="F452" s="34"/>
      <c r="G452" s="34"/>
      <c r="H452" s="34"/>
      <c r="I452" s="34"/>
      <c r="J452" s="34"/>
      <c r="K452" s="34"/>
      <c r="L452" s="34"/>
      <c r="M452" s="34"/>
    </row>
    <row r="453" spans="2:13" x14ac:dyDescent="0.25">
      <c r="B453" s="41"/>
      <c r="C453" s="39"/>
      <c r="D453" s="37"/>
      <c r="E453" s="34"/>
      <c r="F453" s="34"/>
      <c r="G453" s="34"/>
      <c r="H453" s="34"/>
      <c r="I453" s="34"/>
      <c r="J453" s="34"/>
      <c r="K453" s="34"/>
      <c r="L453" s="34"/>
      <c r="M453" s="34"/>
    </row>
    <row r="454" spans="2:13" x14ac:dyDescent="0.25">
      <c r="B454" s="35"/>
      <c r="C454" s="36"/>
      <c r="D454" s="37"/>
      <c r="E454" s="34"/>
      <c r="F454" s="34"/>
      <c r="G454" s="34"/>
      <c r="H454" s="34"/>
      <c r="I454" s="34"/>
      <c r="J454" s="34"/>
      <c r="K454" s="34"/>
      <c r="L454" s="34"/>
      <c r="M454" s="34"/>
    </row>
    <row r="455" spans="2:13" x14ac:dyDescent="0.25">
      <c r="B455" s="38"/>
      <c r="C455" s="39"/>
      <c r="D455" s="37"/>
      <c r="E455" s="34"/>
      <c r="F455" s="34"/>
      <c r="G455" s="34"/>
      <c r="H455" s="34"/>
      <c r="I455" s="34"/>
      <c r="J455" s="34"/>
      <c r="K455" s="34"/>
      <c r="L455" s="34"/>
      <c r="M455" s="34"/>
    </row>
    <row r="456" spans="2:13" x14ac:dyDescent="0.25">
      <c r="B456" s="40"/>
      <c r="C456" s="36"/>
      <c r="D456" s="37"/>
      <c r="E456" s="34"/>
      <c r="F456" s="34"/>
      <c r="G456" s="34"/>
      <c r="H456" s="34"/>
      <c r="I456" s="34"/>
      <c r="J456" s="34"/>
      <c r="K456" s="34"/>
      <c r="L456" s="34"/>
      <c r="M456" s="34"/>
    </row>
    <row r="457" spans="2:13" x14ac:dyDescent="0.25">
      <c r="B457" s="41"/>
      <c r="C457" s="39"/>
      <c r="D457" s="37"/>
      <c r="E457" s="34"/>
      <c r="F457" s="34"/>
      <c r="G457" s="34"/>
      <c r="H457" s="34"/>
      <c r="I457" s="34"/>
      <c r="J457" s="34"/>
      <c r="K457" s="34"/>
      <c r="L457" s="34"/>
      <c r="M457" s="34"/>
    </row>
    <row r="458" spans="2:13" x14ac:dyDescent="0.25">
      <c r="B458" s="35"/>
      <c r="C458" s="36"/>
      <c r="D458" s="37"/>
      <c r="E458" s="34"/>
      <c r="F458" s="34"/>
      <c r="G458" s="34"/>
      <c r="H458" s="34"/>
      <c r="I458" s="34"/>
      <c r="J458" s="34"/>
      <c r="K458" s="34"/>
      <c r="L458" s="34"/>
      <c r="M458" s="34"/>
    </row>
    <row r="459" spans="2:13" x14ac:dyDescent="0.25">
      <c r="B459" s="38"/>
      <c r="C459" s="39"/>
      <c r="D459" s="37"/>
      <c r="E459" s="34"/>
      <c r="F459" s="34"/>
      <c r="G459" s="34"/>
      <c r="H459" s="34"/>
      <c r="I459" s="34"/>
      <c r="J459" s="34"/>
      <c r="K459" s="34"/>
      <c r="L459" s="34"/>
      <c r="M459" s="34"/>
    </row>
    <row r="460" spans="2:13" x14ac:dyDescent="0.25">
      <c r="B460" s="40"/>
      <c r="C460" s="36"/>
      <c r="D460" s="37"/>
      <c r="E460" s="34"/>
      <c r="F460" s="34"/>
      <c r="G460" s="34"/>
      <c r="H460" s="34"/>
      <c r="I460" s="34"/>
      <c r="J460" s="34"/>
      <c r="K460" s="34"/>
      <c r="L460" s="34"/>
      <c r="M460" s="34"/>
    </row>
    <row r="461" spans="2:13" x14ac:dyDescent="0.25">
      <c r="B461" s="41"/>
      <c r="C461" s="39"/>
      <c r="D461" s="37"/>
      <c r="E461" s="34"/>
      <c r="F461" s="34"/>
      <c r="G461" s="34"/>
      <c r="H461" s="34"/>
      <c r="I461" s="34"/>
      <c r="J461" s="34"/>
      <c r="K461" s="34"/>
      <c r="L461" s="34"/>
      <c r="M461" s="34"/>
    </row>
    <row r="462" spans="2:13" x14ac:dyDescent="0.25">
      <c r="B462" s="35"/>
      <c r="C462" s="36"/>
      <c r="D462" s="37"/>
      <c r="E462" s="34"/>
      <c r="F462" s="34"/>
      <c r="G462" s="34"/>
      <c r="H462" s="34"/>
      <c r="I462" s="34"/>
      <c r="J462" s="34"/>
      <c r="K462" s="34"/>
      <c r="L462" s="34"/>
      <c r="M462" s="34"/>
    </row>
    <row r="463" spans="2:13" x14ac:dyDescent="0.25">
      <c r="B463" s="38"/>
      <c r="C463" s="39"/>
      <c r="D463" s="37"/>
      <c r="E463" s="34"/>
      <c r="F463" s="34"/>
      <c r="G463" s="34"/>
      <c r="H463" s="34"/>
      <c r="I463" s="34"/>
      <c r="J463" s="34"/>
      <c r="K463" s="34"/>
      <c r="L463" s="34"/>
      <c r="M463" s="34"/>
    </row>
    <row r="464" spans="2:13" x14ac:dyDescent="0.25">
      <c r="B464" s="38"/>
      <c r="C464" s="39"/>
      <c r="D464" s="37"/>
      <c r="E464" s="34"/>
      <c r="F464" s="34"/>
      <c r="G464" s="34"/>
      <c r="H464" s="34"/>
      <c r="I464" s="34"/>
      <c r="J464" s="34"/>
      <c r="K464" s="34"/>
      <c r="L464" s="34"/>
      <c r="M464" s="34"/>
    </row>
    <row r="465" spans="2:13" x14ac:dyDescent="0.25">
      <c r="B465" s="38"/>
      <c r="C465" s="39"/>
      <c r="D465" s="37"/>
      <c r="E465" s="34"/>
      <c r="F465" s="34"/>
      <c r="G465" s="34"/>
      <c r="H465" s="34"/>
      <c r="I465" s="34"/>
      <c r="J465" s="34"/>
      <c r="K465" s="34"/>
      <c r="L465" s="34"/>
      <c r="M465" s="34"/>
    </row>
    <row r="466" spans="2:13" x14ac:dyDescent="0.25">
      <c r="B466" s="40"/>
      <c r="C466" s="36"/>
      <c r="D466" s="37"/>
      <c r="E466" s="34"/>
      <c r="F466" s="34"/>
      <c r="G466" s="34"/>
      <c r="H466" s="34"/>
      <c r="I466" s="34"/>
      <c r="J466" s="34"/>
      <c r="K466" s="34"/>
      <c r="L466" s="34"/>
      <c r="M466" s="34"/>
    </row>
    <row r="467" spans="2:13" x14ac:dyDescent="0.25">
      <c r="B467" s="41"/>
      <c r="C467" s="39"/>
      <c r="D467" s="37"/>
      <c r="E467" s="34"/>
      <c r="F467" s="34"/>
      <c r="G467" s="34"/>
      <c r="H467" s="34"/>
      <c r="I467" s="34"/>
      <c r="J467" s="34"/>
      <c r="K467" s="34"/>
      <c r="L467" s="34"/>
      <c r="M467" s="34"/>
    </row>
    <row r="468" spans="2:13" x14ac:dyDescent="0.25">
      <c r="B468" s="35"/>
      <c r="C468" s="36"/>
      <c r="D468" s="37"/>
      <c r="E468" s="34"/>
      <c r="F468" s="34"/>
      <c r="G468" s="34"/>
      <c r="H468" s="34"/>
      <c r="I468" s="34"/>
      <c r="J468" s="34"/>
      <c r="K468" s="34"/>
      <c r="L468" s="34"/>
      <c r="M468" s="34"/>
    </row>
    <row r="469" spans="2:13" x14ac:dyDescent="0.25">
      <c r="B469" s="38"/>
      <c r="C469" s="39"/>
      <c r="D469" s="37"/>
      <c r="E469" s="34"/>
      <c r="F469" s="34"/>
      <c r="G469" s="34"/>
      <c r="H469" s="34"/>
      <c r="I469" s="34"/>
      <c r="J469" s="34"/>
      <c r="K469" s="34"/>
      <c r="L469" s="34"/>
      <c r="M469" s="34"/>
    </row>
    <row r="470" spans="2:13" x14ac:dyDescent="0.25">
      <c r="B470" s="40"/>
      <c r="C470" s="36"/>
      <c r="D470" s="37"/>
      <c r="E470" s="34"/>
      <c r="F470" s="34"/>
      <c r="G470" s="34"/>
      <c r="H470" s="34"/>
      <c r="I470" s="34"/>
      <c r="J470" s="34"/>
      <c r="K470" s="34"/>
      <c r="L470" s="34"/>
      <c r="M470" s="34"/>
    </row>
    <row r="471" spans="2:13" x14ac:dyDescent="0.25">
      <c r="B471" s="41"/>
      <c r="C471" s="39"/>
      <c r="D471" s="37"/>
      <c r="E471" s="34"/>
      <c r="F471" s="34"/>
      <c r="G471" s="34"/>
      <c r="H471" s="34"/>
      <c r="I471" s="34"/>
      <c r="J471" s="34"/>
      <c r="K471" s="34"/>
      <c r="L471" s="34"/>
      <c r="M471" s="34"/>
    </row>
    <row r="472" spans="2:13" x14ac:dyDescent="0.25">
      <c r="B472" s="35"/>
      <c r="C472" s="36"/>
      <c r="D472" s="37"/>
      <c r="E472" s="34"/>
      <c r="F472" s="34"/>
      <c r="G472" s="34"/>
      <c r="H472" s="34"/>
      <c r="I472" s="34"/>
      <c r="J472" s="34"/>
      <c r="K472" s="34"/>
      <c r="L472" s="34"/>
      <c r="M472" s="34"/>
    </row>
    <row r="473" spans="2:13" x14ac:dyDescent="0.25">
      <c r="B473" s="38"/>
      <c r="C473" s="39"/>
      <c r="D473" s="37"/>
      <c r="E473" s="34"/>
      <c r="F473" s="34"/>
      <c r="G473" s="34"/>
      <c r="H473" s="34"/>
      <c r="I473" s="34"/>
      <c r="J473" s="34"/>
      <c r="K473" s="34"/>
      <c r="L473" s="34"/>
      <c r="M473" s="34"/>
    </row>
    <row r="474" spans="2:13" x14ac:dyDescent="0.25">
      <c r="B474" s="38"/>
      <c r="C474" s="39"/>
      <c r="D474" s="37"/>
      <c r="E474" s="34"/>
      <c r="F474" s="34"/>
      <c r="G474" s="34"/>
      <c r="H474" s="34"/>
      <c r="I474" s="34"/>
      <c r="J474" s="34"/>
      <c r="K474" s="34"/>
      <c r="L474" s="34"/>
      <c r="M474" s="34"/>
    </row>
    <row r="475" spans="2:13" x14ac:dyDescent="0.25">
      <c r="B475" s="40"/>
      <c r="C475" s="36"/>
      <c r="D475" s="37"/>
      <c r="E475" s="34"/>
      <c r="F475" s="34"/>
      <c r="G475" s="34"/>
      <c r="H475" s="34"/>
      <c r="I475" s="34"/>
      <c r="J475" s="34"/>
      <c r="K475" s="34"/>
      <c r="L475" s="34"/>
      <c r="M475" s="34"/>
    </row>
    <row r="476" spans="2:13" x14ac:dyDescent="0.25">
      <c r="B476" s="41"/>
      <c r="C476" s="39"/>
      <c r="D476" s="37"/>
      <c r="E476" s="34"/>
      <c r="F476" s="34"/>
      <c r="G476" s="34"/>
      <c r="H476" s="34"/>
      <c r="I476" s="34"/>
      <c r="J476" s="34"/>
      <c r="K476" s="34"/>
      <c r="L476" s="34"/>
      <c r="M476" s="34"/>
    </row>
    <row r="477" spans="2:13" x14ac:dyDescent="0.25">
      <c r="B477" s="35"/>
      <c r="C477" s="36"/>
      <c r="D477" s="37"/>
      <c r="E477" s="34"/>
      <c r="F477" s="34"/>
      <c r="G477" s="34"/>
      <c r="H477" s="34"/>
      <c r="I477" s="34"/>
      <c r="J477" s="34"/>
      <c r="K477" s="34"/>
      <c r="L477" s="34"/>
      <c r="M477" s="34"/>
    </row>
    <row r="478" spans="2:13" x14ac:dyDescent="0.25">
      <c r="B478" s="38"/>
      <c r="C478" s="39"/>
      <c r="D478" s="37"/>
      <c r="E478" s="34"/>
      <c r="F478" s="34"/>
      <c r="G478" s="34"/>
      <c r="H478" s="34"/>
      <c r="I478" s="34"/>
      <c r="J478" s="34"/>
      <c r="K478" s="34"/>
      <c r="L478" s="34"/>
      <c r="M478" s="34"/>
    </row>
    <row r="479" spans="2:13" x14ac:dyDescent="0.25">
      <c r="B479" s="40"/>
      <c r="C479" s="36"/>
      <c r="D479" s="37"/>
      <c r="E479" s="34"/>
      <c r="F479" s="34"/>
      <c r="G479" s="34"/>
      <c r="H479" s="34"/>
      <c r="I479" s="34"/>
      <c r="J479" s="34"/>
      <c r="K479" s="34"/>
      <c r="L479" s="34"/>
      <c r="M479" s="34"/>
    </row>
    <row r="480" spans="2:13" x14ac:dyDescent="0.25">
      <c r="B480" s="41"/>
      <c r="C480" s="39"/>
      <c r="D480" s="37"/>
      <c r="E480" s="34"/>
      <c r="F480" s="34"/>
      <c r="G480" s="34"/>
      <c r="H480" s="34"/>
      <c r="I480" s="34"/>
      <c r="J480" s="34"/>
      <c r="K480" s="34"/>
      <c r="L480" s="34"/>
      <c r="M480" s="34"/>
    </row>
    <row r="481" spans="2:13" x14ac:dyDescent="0.25">
      <c r="B481" s="35"/>
      <c r="C481" s="36"/>
      <c r="D481" s="37"/>
      <c r="E481" s="34"/>
      <c r="F481" s="34"/>
      <c r="G481" s="34"/>
      <c r="H481" s="34"/>
      <c r="I481" s="34"/>
      <c r="J481" s="34"/>
      <c r="K481" s="34"/>
      <c r="L481" s="34"/>
      <c r="M481" s="34"/>
    </row>
    <row r="482" spans="2:13" x14ac:dyDescent="0.25">
      <c r="B482" s="38"/>
      <c r="C482" s="39"/>
      <c r="D482" s="37"/>
      <c r="E482" s="34"/>
      <c r="F482" s="34"/>
      <c r="G482" s="34"/>
      <c r="H482" s="34"/>
      <c r="I482" s="34"/>
      <c r="J482" s="34"/>
      <c r="K482" s="34"/>
      <c r="L482" s="34"/>
      <c r="M482" s="34"/>
    </row>
    <row r="483" spans="2:13" x14ac:dyDescent="0.25">
      <c r="B483" s="38"/>
      <c r="C483" s="39"/>
      <c r="D483" s="37"/>
      <c r="E483" s="34"/>
      <c r="F483" s="34"/>
      <c r="G483" s="34"/>
      <c r="H483" s="34"/>
      <c r="I483" s="34"/>
      <c r="J483" s="34"/>
      <c r="K483" s="34"/>
      <c r="L483" s="34"/>
      <c r="M483" s="34"/>
    </row>
    <row r="484" spans="2:13" x14ac:dyDescent="0.25">
      <c r="B484" s="38"/>
      <c r="C484" s="39"/>
      <c r="D484" s="37"/>
      <c r="E484" s="34"/>
      <c r="F484" s="34"/>
      <c r="G484" s="34"/>
      <c r="H484" s="34"/>
      <c r="I484" s="34"/>
      <c r="J484" s="34"/>
      <c r="K484" s="34"/>
      <c r="L484" s="34"/>
      <c r="M484" s="34"/>
    </row>
    <row r="485" spans="2:13" x14ac:dyDescent="0.25">
      <c r="B485" s="38"/>
      <c r="C485" s="39"/>
      <c r="D485" s="37"/>
      <c r="E485" s="34"/>
      <c r="F485" s="34"/>
      <c r="G485" s="34"/>
      <c r="H485" s="34"/>
      <c r="I485" s="34"/>
      <c r="J485" s="34"/>
      <c r="K485" s="34"/>
      <c r="L485" s="34"/>
      <c r="M485" s="34"/>
    </row>
    <row r="486" spans="2:13" x14ac:dyDescent="0.25">
      <c r="B486" s="38"/>
      <c r="C486" s="39"/>
      <c r="D486" s="37"/>
      <c r="E486" s="34"/>
      <c r="F486" s="34"/>
      <c r="G486" s="34"/>
      <c r="H486" s="34"/>
      <c r="I486" s="34"/>
      <c r="J486" s="34"/>
      <c r="K486" s="34"/>
      <c r="L486" s="34"/>
      <c r="M486" s="34"/>
    </row>
    <row r="487" spans="2:13" x14ac:dyDescent="0.25">
      <c r="B487" s="38"/>
      <c r="C487" s="39"/>
      <c r="D487" s="37"/>
      <c r="E487" s="34"/>
      <c r="F487" s="34"/>
      <c r="G487" s="34"/>
      <c r="H487" s="34"/>
      <c r="I487" s="34"/>
      <c r="J487" s="34"/>
      <c r="K487" s="34"/>
      <c r="L487" s="34"/>
      <c r="M487" s="34"/>
    </row>
    <row r="488" spans="2:13" x14ac:dyDescent="0.25">
      <c r="B488" s="40"/>
      <c r="C488" s="36"/>
      <c r="D488" s="37"/>
      <c r="E488" s="34"/>
      <c r="F488" s="34"/>
      <c r="G488" s="34"/>
      <c r="H488" s="34"/>
      <c r="I488" s="34"/>
      <c r="J488" s="34"/>
      <c r="K488" s="34"/>
      <c r="L488" s="34"/>
      <c r="M488" s="34"/>
    </row>
    <row r="489" spans="2:13" x14ac:dyDescent="0.25">
      <c r="B489" s="41"/>
      <c r="C489" s="39"/>
      <c r="D489" s="37"/>
      <c r="E489" s="34"/>
      <c r="F489" s="34"/>
      <c r="G489" s="34"/>
      <c r="H489" s="34"/>
      <c r="I489" s="34"/>
      <c r="J489" s="34"/>
      <c r="K489" s="34"/>
      <c r="L489" s="34"/>
      <c r="M489" s="34"/>
    </row>
    <row r="490" spans="2:13" x14ac:dyDescent="0.25">
      <c r="B490" s="35"/>
      <c r="C490" s="36"/>
      <c r="D490" s="37"/>
      <c r="E490" s="34"/>
      <c r="F490" s="34"/>
      <c r="G490" s="34"/>
      <c r="H490" s="34"/>
      <c r="I490" s="34"/>
      <c r="J490" s="34"/>
      <c r="K490" s="34"/>
      <c r="L490" s="34"/>
      <c r="M490" s="34"/>
    </row>
    <row r="491" spans="2:13" x14ac:dyDescent="0.25">
      <c r="B491" s="38"/>
      <c r="C491" s="39"/>
      <c r="D491" s="37"/>
      <c r="E491" s="34"/>
      <c r="F491" s="34"/>
      <c r="G491" s="34"/>
      <c r="H491" s="34"/>
      <c r="I491" s="34"/>
      <c r="J491" s="34"/>
      <c r="K491" s="34"/>
      <c r="L491" s="34"/>
      <c r="M491" s="34"/>
    </row>
    <row r="492" spans="2:13" x14ac:dyDescent="0.25">
      <c r="B492" s="38"/>
      <c r="C492" s="39"/>
      <c r="D492" s="37"/>
      <c r="E492" s="34"/>
      <c r="F492" s="34"/>
      <c r="G492" s="34"/>
      <c r="H492" s="34"/>
      <c r="I492" s="34"/>
      <c r="J492" s="34"/>
      <c r="K492" s="34"/>
      <c r="L492" s="34"/>
      <c r="M492" s="34"/>
    </row>
    <row r="493" spans="2:13" x14ac:dyDescent="0.25">
      <c r="B493" s="38"/>
      <c r="C493" s="39"/>
      <c r="D493" s="37"/>
      <c r="E493" s="34"/>
      <c r="F493" s="34"/>
      <c r="G493" s="34"/>
      <c r="H493" s="34"/>
      <c r="I493" s="34"/>
      <c r="J493" s="34"/>
      <c r="K493" s="34"/>
      <c r="L493" s="34"/>
      <c r="M493" s="34"/>
    </row>
    <row r="494" spans="2:13" x14ac:dyDescent="0.25">
      <c r="B494" s="38"/>
      <c r="C494" s="39"/>
      <c r="D494" s="37"/>
      <c r="E494" s="34"/>
      <c r="F494" s="34"/>
      <c r="G494" s="34"/>
      <c r="H494" s="34"/>
      <c r="I494" s="34"/>
      <c r="J494" s="34"/>
      <c r="K494" s="34"/>
      <c r="L494" s="34"/>
      <c r="M494" s="34"/>
    </row>
    <row r="495" spans="2:13" x14ac:dyDescent="0.25">
      <c r="B495" s="38"/>
      <c r="C495" s="39"/>
      <c r="D495" s="37"/>
      <c r="E495" s="34"/>
      <c r="F495" s="34"/>
      <c r="G495" s="34"/>
      <c r="H495" s="34"/>
      <c r="I495" s="34"/>
      <c r="J495" s="34"/>
      <c r="K495" s="34"/>
      <c r="L495" s="34"/>
      <c r="M495" s="34"/>
    </row>
    <row r="496" spans="2:13" x14ac:dyDescent="0.25">
      <c r="B496" s="38"/>
      <c r="C496" s="39"/>
      <c r="D496" s="37"/>
      <c r="E496" s="34"/>
      <c r="F496" s="34"/>
      <c r="G496" s="34"/>
      <c r="H496" s="34"/>
      <c r="I496" s="34"/>
      <c r="J496" s="34"/>
      <c r="K496" s="34"/>
      <c r="L496" s="34"/>
      <c r="M496" s="34"/>
    </row>
    <row r="497" spans="2:13" x14ac:dyDescent="0.25">
      <c r="B497" s="38"/>
      <c r="C497" s="39"/>
      <c r="D497" s="37"/>
      <c r="E497" s="34"/>
      <c r="F497" s="34"/>
      <c r="G497" s="34"/>
      <c r="H497" s="34"/>
      <c r="I497" s="34"/>
      <c r="J497" s="34"/>
      <c r="K497" s="34"/>
      <c r="L497" s="34"/>
      <c r="M497" s="34"/>
    </row>
    <row r="498" spans="2:13" x14ac:dyDescent="0.25">
      <c r="B498" s="38"/>
      <c r="C498" s="39"/>
      <c r="D498" s="37"/>
      <c r="E498" s="34"/>
      <c r="F498" s="34"/>
      <c r="G498" s="34"/>
      <c r="H498" s="34"/>
      <c r="I498" s="34"/>
      <c r="J498" s="34"/>
      <c r="K498" s="34"/>
      <c r="L498" s="34"/>
      <c r="M498" s="34"/>
    </row>
    <row r="499" spans="2:13" x14ac:dyDescent="0.25">
      <c r="B499" s="38"/>
      <c r="C499" s="39"/>
      <c r="D499" s="37"/>
      <c r="E499" s="34"/>
      <c r="F499" s="34"/>
      <c r="G499" s="34"/>
      <c r="H499" s="34"/>
      <c r="I499" s="34"/>
      <c r="J499" s="34"/>
      <c r="K499" s="34"/>
      <c r="L499" s="34"/>
      <c r="M499" s="34"/>
    </row>
    <row r="500" spans="2:13" x14ac:dyDescent="0.25">
      <c r="B500" s="38"/>
      <c r="C500" s="39"/>
      <c r="D500" s="37"/>
      <c r="E500" s="34"/>
      <c r="F500" s="34"/>
      <c r="G500" s="34"/>
      <c r="H500" s="34"/>
      <c r="I500" s="34"/>
      <c r="J500" s="34"/>
      <c r="K500" s="34"/>
      <c r="L500" s="34"/>
      <c r="M500" s="34"/>
    </row>
    <row r="501" spans="2:13" x14ac:dyDescent="0.25">
      <c r="B501" s="38"/>
      <c r="C501" s="39"/>
      <c r="D501" s="37"/>
      <c r="E501" s="34"/>
      <c r="F501" s="34"/>
      <c r="G501" s="34"/>
      <c r="H501" s="34"/>
      <c r="I501" s="34"/>
      <c r="J501" s="34"/>
      <c r="K501" s="34"/>
      <c r="L501" s="34"/>
      <c r="M501" s="34"/>
    </row>
    <row r="502" spans="2:13" x14ac:dyDescent="0.25">
      <c r="B502" s="38"/>
      <c r="C502" s="39"/>
      <c r="D502" s="37"/>
      <c r="E502" s="34"/>
      <c r="F502" s="34"/>
      <c r="G502" s="34"/>
      <c r="H502" s="34"/>
      <c r="I502" s="34"/>
      <c r="J502" s="34"/>
      <c r="K502" s="34"/>
      <c r="L502" s="34"/>
      <c r="M502" s="34"/>
    </row>
    <row r="503" spans="2:13" x14ac:dyDescent="0.25">
      <c r="B503" s="38"/>
      <c r="C503" s="39"/>
      <c r="D503" s="37"/>
      <c r="E503" s="34"/>
      <c r="F503" s="34"/>
      <c r="G503" s="34"/>
      <c r="H503" s="34"/>
      <c r="I503" s="34"/>
      <c r="J503" s="34"/>
      <c r="K503" s="34"/>
      <c r="L503" s="34"/>
      <c r="M503" s="34"/>
    </row>
    <row r="504" spans="2:13" x14ac:dyDescent="0.25">
      <c r="B504" s="38"/>
      <c r="C504" s="39"/>
      <c r="D504" s="37"/>
      <c r="E504" s="34"/>
      <c r="F504" s="34"/>
      <c r="G504" s="34"/>
      <c r="H504" s="34"/>
      <c r="I504" s="34"/>
      <c r="J504" s="34"/>
      <c r="K504" s="34"/>
      <c r="L504" s="34"/>
      <c r="M504" s="34"/>
    </row>
    <row r="505" spans="2:13" x14ac:dyDescent="0.25">
      <c r="B505" s="38"/>
      <c r="C505" s="39"/>
      <c r="D505" s="37"/>
      <c r="E505" s="34"/>
      <c r="F505" s="34"/>
      <c r="G505" s="34"/>
      <c r="H505" s="34"/>
      <c r="I505" s="34"/>
      <c r="J505" s="34"/>
      <c r="K505" s="34"/>
      <c r="L505" s="34"/>
      <c r="M505" s="34"/>
    </row>
    <row r="506" spans="2:13" x14ac:dyDescent="0.25">
      <c r="B506" s="38"/>
      <c r="C506" s="39"/>
      <c r="D506" s="37"/>
      <c r="E506" s="34"/>
      <c r="F506" s="34"/>
      <c r="G506" s="34"/>
      <c r="H506" s="34"/>
      <c r="I506" s="34"/>
      <c r="J506" s="34"/>
      <c r="K506" s="34"/>
      <c r="L506" s="34"/>
      <c r="M506" s="34"/>
    </row>
    <row r="507" spans="2:13" x14ac:dyDescent="0.25">
      <c r="B507" s="38"/>
      <c r="C507" s="39"/>
      <c r="D507" s="37"/>
      <c r="E507" s="34"/>
      <c r="F507" s="34"/>
      <c r="G507" s="34"/>
      <c r="H507" s="34"/>
      <c r="I507" s="34"/>
      <c r="J507" s="34"/>
      <c r="K507" s="34"/>
      <c r="L507" s="34"/>
      <c r="M507" s="34"/>
    </row>
    <row r="508" spans="2:13" x14ac:dyDescent="0.25">
      <c r="B508" s="40"/>
      <c r="C508" s="36"/>
      <c r="D508" s="37"/>
      <c r="E508" s="34"/>
      <c r="F508" s="34"/>
      <c r="G508" s="34"/>
      <c r="H508" s="34"/>
      <c r="I508" s="34"/>
      <c r="J508" s="34"/>
      <c r="K508" s="34"/>
      <c r="L508" s="34"/>
      <c r="M508" s="34"/>
    </row>
    <row r="509" spans="2:13" x14ac:dyDescent="0.25">
      <c r="B509" s="41"/>
      <c r="C509" s="39"/>
      <c r="D509" s="37"/>
      <c r="E509" s="34"/>
      <c r="F509" s="34"/>
      <c r="G509" s="34"/>
      <c r="H509" s="34"/>
      <c r="I509" s="34"/>
      <c r="J509" s="34"/>
      <c r="K509" s="34"/>
      <c r="L509" s="34"/>
      <c r="M509" s="34"/>
    </row>
    <row r="510" spans="2:13" x14ac:dyDescent="0.25">
      <c r="B510" s="35"/>
      <c r="C510" s="36"/>
      <c r="D510" s="37"/>
      <c r="E510" s="34"/>
      <c r="F510" s="34"/>
      <c r="G510" s="34"/>
      <c r="H510" s="34"/>
      <c r="I510" s="34"/>
      <c r="J510" s="34"/>
      <c r="K510" s="34"/>
      <c r="L510" s="34"/>
      <c r="M510" s="34"/>
    </row>
    <row r="511" spans="2:13" x14ac:dyDescent="0.25">
      <c r="B511" s="38"/>
      <c r="C511" s="39"/>
      <c r="D511" s="37"/>
      <c r="E511" s="34"/>
      <c r="F511" s="34"/>
      <c r="G511" s="34"/>
      <c r="H511" s="34"/>
      <c r="I511" s="34"/>
      <c r="J511" s="34"/>
      <c r="K511" s="34"/>
      <c r="L511" s="34"/>
      <c r="M511" s="34"/>
    </row>
    <row r="512" spans="2:13" x14ac:dyDescent="0.25">
      <c r="B512" s="38"/>
      <c r="C512" s="39"/>
      <c r="D512" s="37"/>
      <c r="E512" s="34"/>
      <c r="F512" s="34"/>
      <c r="G512" s="34"/>
      <c r="H512" s="34"/>
      <c r="I512" s="34"/>
      <c r="J512" s="34"/>
      <c r="K512" s="34"/>
      <c r="L512" s="34"/>
      <c r="M512" s="34"/>
    </row>
    <row r="513" spans="2:13" x14ac:dyDescent="0.25">
      <c r="B513" s="40"/>
      <c r="C513" s="36"/>
      <c r="D513" s="37"/>
      <c r="E513" s="34"/>
      <c r="F513" s="34"/>
      <c r="G513" s="34"/>
      <c r="H513" s="34"/>
      <c r="I513" s="34"/>
      <c r="J513" s="34"/>
      <c r="K513" s="34"/>
      <c r="L513" s="34"/>
      <c r="M513" s="34"/>
    </row>
    <row r="514" spans="2:13" ht="17.100000000000001" customHeight="1" x14ac:dyDescent="0.25">
      <c r="B514" s="43"/>
      <c r="C514" s="44"/>
      <c r="D514" s="37"/>
      <c r="E514" s="34"/>
      <c r="F514" s="34"/>
      <c r="G514" s="34"/>
      <c r="H514" s="34"/>
      <c r="I514" s="34"/>
      <c r="J514" s="34"/>
      <c r="K514" s="34"/>
      <c r="L514" s="34"/>
      <c r="M514" s="34"/>
    </row>
  </sheetData>
  <mergeCells count="3">
    <mergeCell ref="C2:C3"/>
    <mergeCell ref="B1:C1"/>
    <mergeCell ref="B2:B3"/>
  </mergeCells>
  <conditionalFormatting sqref="D252:D514">
    <cfRule type="cellIs" dxfId="4" priority="5" operator="notEqual">
      <formula>0</formula>
    </cfRule>
    <cfRule type="colorScale" priority="6">
      <colorScale>
        <cfvo type="num" val="0"/>
        <cfvo type="num" val="20000"/>
        <color rgb="FF00B050"/>
        <color rgb="FFFF0000"/>
      </colorScale>
    </cfRule>
  </conditionalFormatting>
  <conditionalFormatting sqref="D4:D251">
    <cfRule type="cellIs" dxfId="3" priority="1" operator="notEqual">
      <formula>0</formula>
    </cfRule>
    <cfRule type="cellIs" dxfId="2" priority="2" operator="equal">
      <formula>0</formula>
    </cfRule>
  </conditionalFormatting>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reerTableauSource">
                <anchor moveWithCells="1" sizeWithCells="1">
                  <from>
                    <xdr:col>4</xdr:col>
                    <xdr:colOff>76200</xdr:colOff>
                    <xdr:row>2</xdr:row>
                    <xdr:rowOff>76200</xdr:rowOff>
                  </from>
                  <to>
                    <xdr:col>6</xdr:col>
                    <xdr:colOff>762000</xdr:colOff>
                    <xdr:row>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P911"/>
  <sheetViews>
    <sheetView tabSelected="1" topLeftCell="A34" zoomScaleNormal="100" workbookViewId="0">
      <selection activeCell="P72" sqref="P72"/>
    </sheetView>
  </sheetViews>
  <sheetFormatPr baseColWidth="10" defaultColWidth="11.42578125" defaultRowHeight="15" x14ac:dyDescent="0.25"/>
  <cols>
    <col min="1" max="1" width="5.5703125" style="7" bestFit="1" customWidth="1"/>
    <col min="2" max="2" width="5.28515625" style="5" bestFit="1" customWidth="1"/>
    <col min="3" max="3" width="4.42578125" bestFit="1" customWidth="1"/>
    <col min="4" max="4" width="16.42578125" bestFit="1" customWidth="1"/>
    <col min="5" max="5" width="29" bestFit="1" customWidth="1"/>
    <col min="6" max="6" width="5.7109375" bestFit="1" customWidth="1"/>
    <col min="7" max="7" width="8.42578125" bestFit="1" customWidth="1"/>
    <col min="8" max="8" width="16.140625" bestFit="1" customWidth="1"/>
    <col min="9" max="9" width="15.140625" bestFit="1" customWidth="1"/>
    <col min="10" max="10" width="23.5703125" bestFit="1" customWidth="1"/>
    <col min="11" max="11" width="29.5703125" bestFit="1" customWidth="1"/>
    <col min="12" max="12" width="20" bestFit="1" customWidth="1"/>
    <col min="13" max="13" width="28.42578125" bestFit="1" customWidth="1"/>
    <col min="14" max="14" width="18.140625" bestFit="1" customWidth="1"/>
    <col min="15" max="15" width="27" bestFit="1" customWidth="1"/>
    <col min="16" max="16" width="18.85546875" bestFit="1" customWidth="1"/>
    <col min="17" max="17" width="22.85546875" bestFit="1" customWidth="1"/>
  </cols>
  <sheetData>
    <row r="1" spans="1:16" s="6" customFormat="1" x14ac:dyDescent="0.25">
      <c r="A1" s="7" t="s">
        <v>3</v>
      </c>
      <c r="B1" s="7" t="s">
        <v>4</v>
      </c>
      <c r="C1" s="7" t="s">
        <v>0</v>
      </c>
      <c r="D1" s="7" t="s">
        <v>82</v>
      </c>
      <c r="E1" s="7" t="s">
        <v>83</v>
      </c>
      <c r="F1" s="7" t="s">
        <v>84</v>
      </c>
      <c r="G1" s="7" t="s">
        <v>69</v>
      </c>
      <c r="H1" s="7" t="s">
        <v>85</v>
      </c>
      <c r="I1" s="7" t="s">
        <v>86</v>
      </c>
      <c r="J1" s="7" t="s">
        <v>87</v>
      </c>
      <c r="K1" s="7" t="s">
        <v>88</v>
      </c>
      <c r="L1" s="7" t="s">
        <v>89</v>
      </c>
      <c r="M1" s="7" t="s">
        <v>90</v>
      </c>
      <c r="N1" s="7" t="s">
        <v>91</v>
      </c>
      <c r="O1" s="7" t="s">
        <v>92</v>
      </c>
      <c r="P1" s="7" t="s">
        <v>186</v>
      </c>
    </row>
    <row r="2" spans="1:16" x14ac:dyDescent="0.25">
      <c r="A2" s="7">
        <v>-2</v>
      </c>
      <c r="B2" s="62" t="s">
        <v>184</v>
      </c>
      <c r="C2" s="63" t="s">
        <v>1</v>
      </c>
      <c r="D2" s="63" t="s">
        <v>128</v>
      </c>
      <c r="E2" s="63" t="s">
        <v>71</v>
      </c>
      <c r="F2" s="63" t="s">
        <v>138</v>
      </c>
      <c r="G2" s="63">
        <v>625</v>
      </c>
      <c r="H2" s="63" t="s">
        <v>139</v>
      </c>
      <c r="I2" s="63">
        <f>INDEX(Matériel!A:Z, MATCH(E2, Matériel!A:A, 0), MATCH(H2, INDEX(Matériel!A:Z, MATCH(E2, Matériel!A:A, 0), 0), 0) + 1)</f>
        <v>150</v>
      </c>
      <c r="J2" s="63">
        <f t="shared" ref="J2:J12" si="0">ROUNDUP(G2 / I2, 0)</f>
        <v>5</v>
      </c>
      <c r="K2" s="63">
        <f>VLOOKUP(H2,Manutention!A:E, 3, FALSE) * J2</f>
        <v>15</v>
      </c>
      <c r="L2" s="63" t="s">
        <v>166</v>
      </c>
      <c r="M2" s="63">
        <f>ROUNDUP(K2/VLOOKUP(L2,Camion!A:D, 3, FALSE),0)</f>
        <v>1</v>
      </c>
      <c r="N2" s="63">
        <f>INT(K2/VLOOKUP(L2,Camion!A:D, 3, FALSE))</f>
        <v>0</v>
      </c>
      <c r="O2" s="64">
        <f>ROUND(K2/VLOOKUP(L2,Camion!A:D, 3, FALSE) - N2,2)</f>
        <v>0.88</v>
      </c>
      <c r="P2" s="63" t="s">
        <v>129</v>
      </c>
    </row>
    <row r="3" spans="1:16" x14ac:dyDescent="0.25">
      <c r="A3" s="7">
        <v>-2</v>
      </c>
      <c r="B3" s="62" t="s">
        <v>184</v>
      </c>
      <c r="C3" s="63" t="s">
        <v>1</v>
      </c>
      <c r="D3" s="63" t="s">
        <v>135</v>
      </c>
      <c r="E3" s="63" t="s">
        <v>72</v>
      </c>
      <c r="F3" s="63" t="s">
        <v>138</v>
      </c>
      <c r="G3" s="63">
        <v>1912</v>
      </c>
      <c r="H3" s="63" t="s">
        <v>143</v>
      </c>
      <c r="I3" s="63">
        <f>INDEX(Matériel!A:Z, MATCH(E3, Matériel!A:A, 0), MATCH(H3, INDEX(Matériel!A:Z, MATCH(E3, Matériel!A:A, 0), 0), 0) + 1)</f>
        <v>1000</v>
      </c>
      <c r="J3" s="63">
        <f t="shared" si="0"/>
        <v>2</v>
      </c>
      <c r="K3" s="63">
        <f>VLOOKUP(H3,Manutention!A:E, 3, FALSE) * J3</f>
        <v>2</v>
      </c>
      <c r="L3" s="63" t="s">
        <v>164</v>
      </c>
      <c r="M3" s="63">
        <f>ROUNDUP(K3/VLOOKUP(L3,Camion!A:D, 3, FALSE),0)</f>
        <v>1</v>
      </c>
      <c r="N3" s="63">
        <f>INT(K3/VLOOKUP(L3,Camion!A:D, 3, FALSE))</f>
        <v>0</v>
      </c>
      <c r="O3" s="64">
        <f>ROUND(K3/VLOOKUP(L3,Camion!A:D, 3, FALSE) - N3,2)</f>
        <v>0.22</v>
      </c>
      <c r="P3" s="63" t="s">
        <v>130</v>
      </c>
    </row>
    <row r="4" spans="1:16" x14ac:dyDescent="0.25">
      <c r="A4" s="7">
        <v>-2</v>
      </c>
      <c r="B4" s="62" t="s">
        <v>184</v>
      </c>
      <c r="C4" s="63" t="s">
        <v>1</v>
      </c>
      <c r="D4" s="63" t="s">
        <v>128</v>
      </c>
      <c r="E4" s="63" t="s">
        <v>73</v>
      </c>
      <c r="F4" s="63" t="s">
        <v>127</v>
      </c>
      <c r="G4" s="63">
        <v>1</v>
      </c>
      <c r="H4" s="63" t="s">
        <v>133</v>
      </c>
      <c r="I4" s="63">
        <f>INDEX(Matériel!A:Z, MATCH(E4, Matériel!A:A, 0), MATCH(H4, INDEX(Matériel!A:Z, MATCH(E4, Matériel!A:A, 0), 0), 0) + 1)</f>
        <v>0.5</v>
      </c>
      <c r="J4" s="63">
        <f t="shared" si="0"/>
        <v>2</v>
      </c>
      <c r="K4" s="63">
        <f>VLOOKUP(H4,Manutention!A:E, 3, FALSE) * J4</f>
        <v>4</v>
      </c>
      <c r="L4" s="63" t="s">
        <v>164</v>
      </c>
      <c r="M4" s="63">
        <f>ROUNDUP(K4/VLOOKUP(L4,Camion!A:D, 3, FALSE),0)</f>
        <v>1</v>
      </c>
      <c r="N4" s="63">
        <f>INT(K4/VLOOKUP(L4,Camion!A:D, 3, FALSE))</f>
        <v>0</v>
      </c>
      <c r="O4" s="64">
        <f>ROUND(K4/VLOOKUP(L4,Camion!A:D, 3, FALSE) - N4,2)</f>
        <v>0.44</v>
      </c>
      <c r="P4" s="63" t="s">
        <v>130</v>
      </c>
    </row>
    <row r="5" spans="1:16" x14ac:dyDescent="0.25">
      <c r="A5" s="7">
        <v>-2</v>
      </c>
      <c r="B5" s="62" t="s">
        <v>184</v>
      </c>
      <c r="C5" s="63" t="s">
        <v>1</v>
      </c>
      <c r="D5" s="63" t="s">
        <v>128</v>
      </c>
      <c r="E5" s="63" t="s">
        <v>74</v>
      </c>
      <c r="F5" s="63" t="s">
        <v>127</v>
      </c>
      <c r="G5" s="63">
        <v>4</v>
      </c>
      <c r="H5" s="63" t="s">
        <v>131</v>
      </c>
      <c r="I5" s="63">
        <f>INDEX(Matériel!A:Z, MATCH(E5, Matériel!A:A, 0), MATCH(H5, INDEX(Matériel!A:Z, MATCH(E5, Matériel!A:A, 0), 0), 0) + 1)</f>
        <v>1</v>
      </c>
      <c r="J5" s="63">
        <f t="shared" si="0"/>
        <v>4</v>
      </c>
      <c r="K5" s="63">
        <f>VLOOKUP(H5,Manutention!A:E, 3, FALSE) * J5</f>
        <v>4</v>
      </c>
      <c r="L5" s="63" t="s">
        <v>164</v>
      </c>
      <c r="M5" s="63">
        <f>ROUNDUP(K5/VLOOKUP(L5,Camion!A:D, 3, FALSE),0)</f>
        <v>1</v>
      </c>
      <c r="N5" s="63">
        <f>INT(K5/VLOOKUP(L5,Camion!A:D, 3, FALSE))</f>
        <v>0</v>
      </c>
      <c r="O5" s="64">
        <f>ROUND(K5/VLOOKUP(L5,Camion!A:D, 3, FALSE) - N5,2)</f>
        <v>0.44</v>
      </c>
      <c r="P5" s="63" t="s">
        <v>129</v>
      </c>
    </row>
    <row r="6" spans="1:16" x14ac:dyDescent="0.25">
      <c r="A6" s="7">
        <v>-2</v>
      </c>
      <c r="B6" s="62" t="s">
        <v>184</v>
      </c>
      <c r="C6" s="63" t="s">
        <v>1</v>
      </c>
      <c r="D6" s="63" t="s">
        <v>135</v>
      </c>
      <c r="E6" s="63" t="s">
        <v>75</v>
      </c>
      <c r="F6" s="63" t="s">
        <v>127</v>
      </c>
      <c r="G6" s="63">
        <v>98</v>
      </c>
      <c r="H6" s="63" t="s">
        <v>136</v>
      </c>
      <c r="I6" s="63">
        <f>INDEX(Matériel!A:Z, MATCH(E6, Matériel!A:A, 0), MATCH(H6, INDEX(Matériel!A:Z, MATCH(E6, Matériel!A:A, 0), 0), 0) + 1)</f>
        <v>60</v>
      </c>
      <c r="J6" s="63">
        <f t="shared" si="0"/>
        <v>2</v>
      </c>
      <c r="K6" s="63">
        <f>VLOOKUP(H6,Manutention!A:E, 3, FALSE) * J6</f>
        <v>2</v>
      </c>
      <c r="L6" s="63" t="s">
        <v>164</v>
      </c>
      <c r="M6" s="63">
        <f>ROUNDUP(K6/VLOOKUP(L6,Camion!A:D, 3, FALSE),0)</f>
        <v>1</v>
      </c>
      <c r="N6" s="63">
        <f>INT(K6/VLOOKUP(L6,Camion!A:D, 3, FALSE))</f>
        <v>0</v>
      </c>
      <c r="O6" s="64">
        <f>ROUND(K6/VLOOKUP(L6,Camion!A:D, 3, FALSE) - N6,2)</f>
        <v>0.22</v>
      </c>
      <c r="P6" s="63" t="s">
        <v>129</v>
      </c>
    </row>
    <row r="7" spans="1:16" x14ac:dyDescent="0.25">
      <c r="A7" s="7">
        <v>-2</v>
      </c>
      <c r="B7" s="62" t="s">
        <v>184</v>
      </c>
      <c r="C7" s="63" t="s">
        <v>1</v>
      </c>
      <c r="D7" s="63" t="s">
        <v>128</v>
      </c>
      <c r="E7" s="63" t="s">
        <v>76</v>
      </c>
      <c r="F7" s="63" t="s">
        <v>127</v>
      </c>
      <c r="G7" s="63">
        <v>49</v>
      </c>
      <c r="H7" s="63" t="s">
        <v>131</v>
      </c>
      <c r="I7" s="63">
        <f>INDEX(Matériel!A:Z, MATCH(E7, Matériel!A:A, 0), MATCH(H7, INDEX(Matériel!A:Z, MATCH(E7, Matériel!A:A, 0), 0), 0) + 1)</f>
        <v>100</v>
      </c>
      <c r="J7" s="63">
        <f t="shared" si="0"/>
        <v>1</v>
      </c>
      <c r="K7" s="63">
        <f>VLOOKUP(H7,Manutention!A:E, 3, FALSE) * J7</f>
        <v>1</v>
      </c>
      <c r="L7" s="63" t="s">
        <v>164</v>
      </c>
      <c r="M7" s="63">
        <f>ROUNDUP(K7/VLOOKUP(L7,Camion!A:D, 3, FALSE),0)</f>
        <v>1</v>
      </c>
      <c r="N7" s="63">
        <f>INT(K7/VLOOKUP(L7,Camion!A:D, 3, FALSE))</f>
        <v>0</v>
      </c>
      <c r="O7" s="64">
        <f>ROUND(K7/VLOOKUP(L7,Camion!A:D, 3, FALSE) - N7,2)</f>
        <v>0.11</v>
      </c>
      <c r="P7" s="63" t="s">
        <v>129</v>
      </c>
    </row>
    <row r="8" spans="1:16" x14ac:dyDescent="0.25">
      <c r="A8" s="7">
        <v>-2</v>
      </c>
      <c r="B8" s="62" t="s">
        <v>184</v>
      </c>
      <c r="C8" s="63" t="s">
        <v>1</v>
      </c>
      <c r="D8" s="63" t="s">
        <v>135</v>
      </c>
      <c r="E8" s="63" t="s">
        <v>77</v>
      </c>
      <c r="F8" s="63" t="s">
        <v>127</v>
      </c>
      <c r="G8" s="63">
        <v>409</v>
      </c>
      <c r="H8" s="63" t="s">
        <v>131</v>
      </c>
      <c r="I8" s="63">
        <f>INDEX(Matériel!A:Z, MATCH(E8, Matériel!A:A, 0), MATCH(H8, INDEX(Matériel!A:Z, MATCH(E8, Matériel!A:A, 0), 0), 0) + 1)</f>
        <v>20</v>
      </c>
      <c r="J8" s="63">
        <f t="shared" si="0"/>
        <v>21</v>
      </c>
      <c r="K8" s="63">
        <f>VLOOKUP(H8,Manutention!A:E, 3, FALSE) * J8</f>
        <v>21</v>
      </c>
      <c r="L8" s="63" t="s">
        <v>168</v>
      </c>
      <c r="M8" s="63">
        <f>ROUNDUP(K8/VLOOKUP(L8,Camion!A:D, 3, FALSE),0)</f>
        <v>1</v>
      </c>
      <c r="N8" s="63">
        <f>INT(K8/VLOOKUP(L8,Camion!A:D, 3, FALSE))</f>
        <v>0</v>
      </c>
      <c r="O8" s="64">
        <f>ROUND(K8/VLOOKUP(L8,Camion!A:D, 3, FALSE) - N8,2)</f>
        <v>0.62</v>
      </c>
      <c r="P8" s="63" t="s">
        <v>129</v>
      </c>
    </row>
    <row r="9" spans="1:16" x14ac:dyDescent="0.25">
      <c r="A9" s="7">
        <v>-2</v>
      </c>
      <c r="B9" s="62" t="s">
        <v>184</v>
      </c>
      <c r="C9" s="63" t="s">
        <v>1</v>
      </c>
      <c r="D9" s="63" t="s">
        <v>135</v>
      </c>
      <c r="E9" s="63" t="s">
        <v>78</v>
      </c>
      <c r="F9" s="63" t="s">
        <v>127</v>
      </c>
      <c r="G9" s="63">
        <v>14</v>
      </c>
      <c r="H9" s="63" t="s">
        <v>133</v>
      </c>
      <c r="I9" s="63">
        <f>INDEX(Matériel!A:Z, MATCH(E9, Matériel!A:A, 0), MATCH(H9, INDEX(Matériel!A:Z, MATCH(E9, Matériel!A:A, 0), 0), 0) + 1)</f>
        <v>1</v>
      </c>
      <c r="J9" s="63">
        <f t="shared" si="0"/>
        <v>14</v>
      </c>
      <c r="K9" s="63">
        <f>VLOOKUP(H9,Manutention!A:E, 3, FALSE) * J9</f>
        <v>28</v>
      </c>
      <c r="L9" s="63" t="s">
        <v>168</v>
      </c>
      <c r="M9" s="63">
        <f>ROUNDUP(K9/VLOOKUP(L9,Camion!A:D, 3, FALSE),0)</f>
        <v>1</v>
      </c>
      <c r="N9" s="63">
        <f>INT(K9/VLOOKUP(L9,Camion!A:D, 3, FALSE))</f>
        <v>0</v>
      </c>
      <c r="O9" s="64">
        <f>ROUND(K9/VLOOKUP(L9,Camion!A:D, 3, FALSE) - N9,2)</f>
        <v>0.82</v>
      </c>
      <c r="P9" s="63" t="s">
        <v>129</v>
      </c>
    </row>
    <row r="10" spans="1:16" x14ac:dyDescent="0.25">
      <c r="A10" s="7">
        <v>-2</v>
      </c>
      <c r="B10" s="62" t="s">
        <v>184</v>
      </c>
      <c r="C10" s="63" t="s">
        <v>1</v>
      </c>
      <c r="D10" s="63" t="s">
        <v>135</v>
      </c>
      <c r="E10" s="63" t="s">
        <v>79</v>
      </c>
      <c r="F10" s="63" t="s">
        <v>127</v>
      </c>
      <c r="G10" s="63">
        <v>13</v>
      </c>
      <c r="H10" s="63" t="s">
        <v>133</v>
      </c>
      <c r="I10" s="63">
        <f>INDEX(Matériel!A:Z, MATCH(E10, Matériel!A:A, 0), MATCH(H10, INDEX(Matériel!A:Z, MATCH(E10, Matériel!A:A, 0), 0), 0) + 1)</f>
        <v>1</v>
      </c>
      <c r="J10" s="63">
        <f t="shared" si="0"/>
        <v>13</v>
      </c>
      <c r="K10" s="63">
        <f>VLOOKUP(H10,Manutention!A:E, 3, FALSE) * J10</f>
        <v>26</v>
      </c>
      <c r="L10" s="63" t="s">
        <v>168</v>
      </c>
      <c r="M10" s="63">
        <f>ROUNDUP(K10/VLOOKUP(L10,Camion!A:D, 3, FALSE),0)</f>
        <v>1</v>
      </c>
      <c r="N10" s="63">
        <f>INT(K10/VLOOKUP(L10,Camion!A:D, 3, FALSE))</f>
        <v>0</v>
      </c>
      <c r="O10" s="64">
        <f>ROUND(K10/VLOOKUP(L10,Camion!A:D, 3, FALSE) - N10,2)</f>
        <v>0.76</v>
      </c>
      <c r="P10" s="63" t="s">
        <v>129</v>
      </c>
    </row>
    <row r="11" spans="1:16" x14ac:dyDescent="0.25">
      <c r="A11" s="7">
        <v>-2</v>
      </c>
      <c r="B11" s="62" t="s">
        <v>184</v>
      </c>
      <c r="C11" s="63" t="s">
        <v>1</v>
      </c>
      <c r="D11" s="63" t="s">
        <v>128</v>
      </c>
      <c r="E11" s="63" t="s">
        <v>80</v>
      </c>
      <c r="F11" s="63" t="s">
        <v>127</v>
      </c>
      <c r="G11" s="63">
        <v>1</v>
      </c>
      <c r="H11" s="63" t="s">
        <v>133</v>
      </c>
      <c r="I11" s="63">
        <f>INDEX(Matériel!A:Z, MATCH(E11, Matériel!A:A, 0), MATCH(H11, INDEX(Matériel!A:Z, MATCH(E11, Matériel!A:A, 0), 0), 0) + 1)</f>
        <v>0.5</v>
      </c>
      <c r="J11" s="63">
        <f t="shared" si="0"/>
        <v>2</v>
      </c>
      <c r="K11" s="63">
        <f>VLOOKUP(H11,Manutention!A:E, 3, FALSE) * J11</f>
        <v>4</v>
      </c>
      <c r="L11" s="63" t="s">
        <v>164</v>
      </c>
      <c r="M11" s="63">
        <f>ROUNDUP(K11/VLOOKUP(L11,Camion!A:D, 3, FALSE),0)</f>
        <v>1</v>
      </c>
      <c r="N11" s="63">
        <f>INT(K11/VLOOKUP(L11,Camion!A:D, 3, FALSE))</f>
        <v>0</v>
      </c>
      <c r="O11" s="64">
        <f>ROUND(K11/VLOOKUP(L11,Camion!A:D, 3, FALSE) - N11,2)</f>
        <v>0.44</v>
      </c>
      <c r="P11" s="63" t="s">
        <v>130</v>
      </c>
    </row>
    <row r="12" spans="1:16" x14ac:dyDescent="0.25">
      <c r="A12" s="7">
        <v>-2</v>
      </c>
      <c r="B12" s="62" t="s">
        <v>184</v>
      </c>
      <c r="C12" s="63" t="s">
        <v>1</v>
      </c>
      <c r="D12" s="63" t="s">
        <v>128</v>
      </c>
      <c r="E12" s="63" t="s">
        <v>81</v>
      </c>
      <c r="F12" s="63" t="s">
        <v>127</v>
      </c>
      <c r="G12" s="63">
        <v>18</v>
      </c>
      <c r="H12" s="63" t="s">
        <v>131</v>
      </c>
      <c r="I12" s="63">
        <f>INDEX(Matériel!A:Z, MATCH(E12, Matériel!A:A, 0), MATCH(H12, INDEX(Matériel!A:Z, MATCH(E12, Matériel!A:A, 0), 0), 0) + 1)</f>
        <v>100</v>
      </c>
      <c r="J12" s="63">
        <f t="shared" si="0"/>
        <v>1</v>
      </c>
      <c r="K12" s="63">
        <f>VLOOKUP(H12,Manutention!A:E, 3, FALSE) * J12</f>
        <v>1</v>
      </c>
      <c r="L12" s="63" t="s">
        <v>164</v>
      </c>
      <c r="M12" s="63">
        <f>ROUNDUP(K12/VLOOKUP(L12,Camion!A:D, 3, FALSE),0)</f>
        <v>1</v>
      </c>
      <c r="N12" s="63">
        <f>INT(K12/VLOOKUP(L12,Camion!A:D, 3, FALSE))</f>
        <v>0</v>
      </c>
      <c r="O12" s="64">
        <f>ROUND(K12/VLOOKUP(L12,Camion!A:D, 3, FALSE) - N12,2)</f>
        <v>0.11</v>
      </c>
      <c r="P12" s="63" t="s">
        <v>130</v>
      </c>
    </row>
    <row r="13" spans="1:16" x14ac:dyDescent="0.25">
      <c r="A13" s="7">
        <v>-2</v>
      </c>
      <c r="B13" s="5" t="s">
        <v>184</v>
      </c>
      <c r="C13" s="65"/>
      <c r="D13" s="65"/>
      <c r="E13" s="65" t="s">
        <v>187</v>
      </c>
      <c r="F13" s="65"/>
      <c r="G13" s="65"/>
      <c r="H13" s="65" t="s">
        <v>131</v>
      </c>
      <c r="I13" s="65"/>
      <c r="J13" s="65"/>
      <c r="K13" s="65">
        <f>SUMIFS(K:K, A:A, -2, B:B, "Z1 Z2", P:P, "Oui", D:D, "Production")</f>
        <v>20</v>
      </c>
      <c r="L13" s="65" t="s">
        <v>164</v>
      </c>
      <c r="M13" s="65">
        <f>ROUNDUP(K13/VLOOKUP(L13,Camion!A:D, 3, FALSE),0)</f>
        <v>3</v>
      </c>
      <c r="N13" s="65">
        <f>INT(K13/VLOOKUP(L13,Camion!A:D, 3, FALSE))</f>
        <v>2</v>
      </c>
      <c r="O13" s="66">
        <f>ROUND(K13/VLOOKUP(L13,Camion!A:D, 3, FALSE) - N13,2)</f>
        <v>0.22</v>
      </c>
      <c r="P13" s="65"/>
    </row>
    <row r="14" spans="1:16" x14ac:dyDescent="0.25">
      <c r="A14" s="7">
        <v>-2</v>
      </c>
      <c r="B14" s="5" t="s">
        <v>184</v>
      </c>
      <c r="C14" s="65"/>
      <c r="D14" s="65"/>
      <c r="E14" s="65" t="s">
        <v>188</v>
      </c>
      <c r="F14" s="65"/>
      <c r="G14" s="65"/>
      <c r="H14" s="65" t="s">
        <v>131</v>
      </c>
      <c r="I14" s="65"/>
      <c r="J14" s="65"/>
      <c r="K14" s="65">
        <f>SUMIFS(K:K, A:A, -2, B:B, "Z1 Z2", P:P, "Oui", D:D, "Terminaux")</f>
        <v>77</v>
      </c>
      <c r="L14" s="65" t="s">
        <v>168</v>
      </c>
      <c r="M14" s="65">
        <f>ROUNDUP(K14/VLOOKUP(L14,Camion!A:D, 3, FALSE),0)</f>
        <v>3</v>
      </c>
      <c r="N14" s="65">
        <f>INT(K14/VLOOKUP(L14,Camion!A:D, 3, FALSE))</f>
        <v>2</v>
      </c>
      <c r="O14" s="66">
        <f>ROUND(K14/VLOOKUP(L14,Camion!A:D, 3, FALSE) - N14,2)</f>
        <v>0.26</v>
      </c>
      <c r="P14" s="65"/>
    </row>
    <row r="15" spans="1:16" x14ac:dyDescent="0.25">
      <c r="A15" s="7">
        <v>-2</v>
      </c>
      <c r="B15" s="62" t="s">
        <v>185</v>
      </c>
      <c r="C15" s="63" t="s">
        <v>1</v>
      </c>
      <c r="D15" s="63" t="s">
        <v>128</v>
      </c>
      <c r="E15" s="63" t="s">
        <v>71</v>
      </c>
      <c r="F15" s="63" t="s">
        <v>138</v>
      </c>
      <c r="G15" s="63">
        <v>625</v>
      </c>
      <c r="H15" s="63" t="s">
        <v>139</v>
      </c>
      <c r="I15" s="63">
        <f>INDEX(Matériel!A:Z, MATCH(E15, Matériel!A:A, 0), MATCH(H15, INDEX(Matériel!A:Z, MATCH(E15, Matériel!A:A, 0), 0), 0) + 1)</f>
        <v>150</v>
      </c>
      <c r="J15" s="63">
        <f t="shared" ref="J15:J24" si="1">ROUNDUP(G15 / I15, 0)</f>
        <v>5</v>
      </c>
      <c r="K15" s="63">
        <f>VLOOKUP(H15,Manutention!A:E, 3, FALSE) * J15</f>
        <v>15</v>
      </c>
      <c r="L15" s="63" t="s">
        <v>166</v>
      </c>
      <c r="M15" s="63">
        <f>ROUNDUP(K15/VLOOKUP(L15,Camion!A:D, 3, FALSE),0)</f>
        <v>1</v>
      </c>
      <c r="N15" s="63">
        <f>INT(K15/VLOOKUP(L15,Camion!A:D, 3, FALSE))</f>
        <v>0</v>
      </c>
      <c r="O15" s="64">
        <f>ROUND(K15/VLOOKUP(L15,Camion!A:D, 3, FALSE) - N15,2)</f>
        <v>0.88</v>
      </c>
      <c r="P15" s="63" t="s">
        <v>129</v>
      </c>
    </row>
    <row r="16" spans="1:16" x14ac:dyDescent="0.25">
      <c r="A16" s="7">
        <v>-2</v>
      </c>
      <c r="B16" s="62" t="s">
        <v>185</v>
      </c>
      <c r="C16" s="63" t="s">
        <v>1</v>
      </c>
      <c r="D16" s="63" t="s">
        <v>135</v>
      </c>
      <c r="E16" s="63" t="s">
        <v>72</v>
      </c>
      <c r="F16" s="63" t="s">
        <v>138</v>
      </c>
      <c r="G16" s="63">
        <v>1912</v>
      </c>
      <c r="H16" s="63" t="s">
        <v>143</v>
      </c>
      <c r="I16" s="63">
        <f>INDEX(Matériel!A:Z, MATCH(E16, Matériel!A:A, 0), MATCH(H16, INDEX(Matériel!A:Z, MATCH(E16, Matériel!A:A, 0), 0), 0) + 1)</f>
        <v>1000</v>
      </c>
      <c r="J16" s="63">
        <f t="shared" si="1"/>
        <v>2</v>
      </c>
      <c r="K16" s="63">
        <f>VLOOKUP(H16,Manutention!A:E, 3, FALSE) * J16</f>
        <v>2</v>
      </c>
      <c r="L16" s="63" t="s">
        <v>164</v>
      </c>
      <c r="M16" s="63">
        <f>ROUNDUP(K16/VLOOKUP(L16,Camion!A:D, 3, FALSE),0)</f>
        <v>1</v>
      </c>
      <c r="N16" s="63">
        <f>INT(K16/VLOOKUP(L16,Camion!A:D, 3, FALSE))</f>
        <v>0</v>
      </c>
      <c r="O16" s="64">
        <f>ROUND(K16/VLOOKUP(L16,Camion!A:D, 3, FALSE) - N16,2)</f>
        <v>0.22</v>
      </c>
      <c r="P16" s="63" t="s">
        <v>130</v>
      </c>
    </row>
    <row r="17" spans="1:16" x14ac:dyDescent="0.25">
      <c r="A17" s="7">
        <v>-2</v>
      </c>
      <c r="B17" s="62" t="s">
        <v>185</v>
      </c>
      <c r="C17" s="63" t="s">
        <v>1</v>
      </c>
      <c r="D17" s="63" t="s">
        <v>128</v>
      </c>
      <c r="E17" s="63" t="s">
        <v>74</v>
      </c>
      <c r="F17" s="63" t="s">
        <v>127</v>
      </c>
      <c r="G17" s="63">
        <v>3</v>
      </c>
      <c r="H17" s="63" t="s">
        <v>131</v>
      </c>
      <c r="I17" s="63">
        <f>INDEX(Matériel!A:Z, MATCH(E17, Matériel!A:A, 0), MATCH(H17, INDEX(Matériel!A:Z, MATCH(E17, Matériel!A:A, 0), 0), 0) + 1)</f>
        <v>1</v>
      </c>
      <c r="J17" s="63">
        <f t="shared" si="1"/>
        <v>3</v>
      </c>
      <c r="K17" s="63">
        <f>VLOOKUP(H17,Manutention!A:E, 3, FALSE) * J17</f>
        <v>3</v>
      </c>
      <c r="L17" s="63" t="s">
        <v>164</v>
      </c>
      <c r="M17" s="63">
        <f>ROUNDUP(K17/VLOOKUP(L17,Camion!A:D, 3, FALSE),0)</f>
        <v>1</v>
      </c>
      <c r="N17" s="63">
        <f>INT(K17/VLOOKUP(L17,Camion!A:D, 3, FALSE))</f>
        <v>0</v>
      </c>
      <c r="O17" s="64">
        <f>ROUND(K17/VLOOKUP(L17,Camion!A:D, 3, FALSE) - N17,2)</f>
        <v>0.33</v>
      </c>
      <c r="P17" s="63" t="s">
        <v>129</v>
      </c>
    </row>
    <row r="18" spans="1:16" x14ac:dyDescent="0.25">
      <c r="A18" s="7">
        <v>-2</v>
      </c>
      <c r="B18" s="62" t="s">
        <v>185</v>
      </c>
      <c r="C18" s="63" t="s">
        <v>1</v>
      </c>
      <c r="D18" s="63" t="s">
        <v>135</v>
      </c>
      <c r="E18" s="63" t="s">
        <v>75</v>
      </c>
      <c r="F18" s="63" t="s">
        <v>127</v>
      </c>
      <c r="G18" s="63">
        <v>98</v>
      </c>
      <c r="H18" s="63" t="s">
        <v>136</v>
      </c>
      <c r="I18" s="63">
        <f>INDEX(Matériel!A:Z, MATCH(E18, Matériel!A:A, 0), MATCH(H18, INDEX(Matériel!A:Z, MATCH(E18, Matériel!A:A, 0), 0), 0) + 1)</f>
        <v>60</v>
      </c>
      <c r="J18" s="63">
        <f t="shared" si="1"/>
        <v>2</v>
      </c>
      <c r="K18" s="63">
        <f>VLOOKUP(H18,Manutention!A:E, 3, FALSE) * J18</f>
        <v>2</v>
      </c>
      <c r="L18" s="63" t="s">
        <v>164</v>
      </c>
      <c r="M18" s="63">
        <f>ROUNDUP(K18/VLOOKUP(L18,Camion!A:D, 3, FALSE),0)</f>
        <v>1</v>
      </c>
      <c r="N18" s="63">
        <f>INT(K18/VLOOKUP(L18,Camion!A:D, 3, FALSE))</f>
        <v>0</v>
      </c>
      <c r="O18" s="64">
        <f>ROUND(K18/VLOOKUP(L18,Camion!A:D, 3, FALSE) - N18,2)</f>
        <v>0.22</v>
      </c>
      <c r="P18" s="63" t="s">
        <v>129</v>
      </c>
    </row>
    <row r="19" spans="1:16" x14ac:dyDescent="0.25">
      <c r="A19" s="7">
        <v>-2</v>
      </c>
      <c r="B19" s="62" t="s">
        <v>185</v>
      </c>
      <c r="C19" s="63" t="s">
        <v>1</v>
      </c>
      <c r="D19" s="63" t="s">
        <v>128</v>
      </c>
      <c r="E19" s="63" t="s">
        <v>76</v>
      </c>
      <c r="F19" s="63" t="s">
        <v>127</v>
      </c>
      <c r="G19" s="63">
        <v>49</v>
      </c>
      <c r="H19" s="63" t="s">
        <v>131</v>
      </c>
      <c r="I19" s="63">
        <f>INDEX(Matériel!A:Z, MATCH(E19, Matériel!A:A, 0), MATCH(H19, INDEX(Matériel!A:Z, MATCH(E19, Matériel!A:A, 0), 0), 0) + 1)</f>
        <v>100</v>
      </c>
      <c r="J19" s="63">
        <f t="shared" si="1"/>
        <v>1</v>
      </c>
      <c r="K19" s="63">
        <f>VLOOKUP(H19,Manutention!A:E, 3, FALSE) * J19</f>
        <v>1</v>
      </c>
      <c r="L19" s="63" t="s">
        <v>164</v>
      </c>
      <c r="M19" s="63">
        <f>ROUNDUP(K19/VLOOKUP(L19,Camion!A:D, 3, FALSE),0)</f>
        <v>1</v>
      </c>
      <c r="N19" s="63">
        <f>INT(K19/VLOOKUP(L19,Camion!A:D, 3, FALSE))</f>
        <v>0</v>
      </c>
      <c r="O19" s="64">
        <f>ROUND(K19/VLOOKUP(L19,Camion!A:D, 3, FALSE) - N19,2)</f>
        <v>0.11</v>
      </c>
      <c r="P19" s="63" t="s">
        <v>129</v>
      </c>
    </row>
    <row r="20" spans="1:16" x14ac:dyDescent="0.25">
      <c r="A20" s="7">
        <v>-2</v>
      </c>
      <c r="B20" s="62" t="s">
        <v>185</v>
      </c>
      <c r="C20" s="63" t="s">
        <v>1</v>
      </c>
      <c r="D20" s="63" t="s">
        <v>135</v>
      </c>
      <c r="E20" s="63" t="s">
        <v>77</v>
      </c>
      <c r="F20" s="63" t="s">
        <v>127</v>
      </c>
      <c r="G20" s="63">
        <v>409</v>
      </c>
      <c r="H20" s="63" t="s">
        <v>131</v>
      </c>
      <c r="I20" s="63">
        <f>INDEX(Matériel!A:Z, MATCH(E20, Matériel!A:A, 0), MATCH(H20, INDEX(Matériel!A:Z, MATCH(E20, Matériel!A:A, 0), 0), 0) + 1)</f>
        <v>20</v>
      </c>
      <c r="J20" s="63">
        <f t="shared" si="1"/>
        <v>21</v>
      </c>
      <c r="K20" s="63">
        <f>VLOOKUP(H20,Manutention!A:E, 3, FALSE) * J20</f>
        <v>21</v>
      </c>
      <c r="L20" s="63" t="s">
        <v>168</v>
      </c>
      <c r="M20" s="63">
        <f>ROUNDUP(K20/VLOOKUP(L20,Camion!A:D, 3, FALSE),0)</f>
        <v>1</v>
      </c>
      <c r="N20" s="63">
        <f>INT(K20/VLOOKUP(L20,Camion!A:D, 3, FALSE))</f>
        <v>0</v>
      </c>
      <c r="O20" s="64">
        <f>ROUND(K20/VLOOKUP(L20,Camion!A:D, 3, FALSE) - N20,2)</f>
        <v>0.62</v>
      </c>
      <c r="P20" s="63" t="s">
        <v>129</v>
      </c>
    </row>
    <row r="21" spans="1:16" x14ac:dyDescent="0.25">
      <c r="A21" s="7">
        <v>-2</v>
      </c>
      <c r="B21" s="62" t="s">
        <v>185</v>
      </c>
      <c r="C21" s="63" t="s">
        <v>1</v>
      </c>
      <c r="D21" s="63" t="s">
        <v>135</v>
      </c>
      <c r="E21" s="63" t="s">
        <v>78</v>
      </c>
      <c r="F21" s="63" t="s">
        <v>127</v>
      </c>
      <c r="G21" s="63">
        <v>14</v>
      </c>
      <c r="H21" s="63" t="s">
        <v>133</v>
      </c>
      <c r="I21" s="63">
        <f>INDEX(Matériel!A:Z, MATCH(E21, Matériel!A:A, 0), MATCH(H21, INDEX(Matériel!A:Z, MATCH(E21, Matériel!A:A, 0), 0), 0) + 1)</f>
        <v>1</v>
      </c>
      <c r="J21" s="63">
        <f t="shared" si="1"/>
        <v>14</v>
      </c>
      <c r="K21" s="63">
        <f>VLOOKUP(H21,Manutention!A:E, 3, FALSE) * J21</f>
        <v>28</v>
      </c>
      <c r="L21" s="63" t="s">
        <v>168</v>
      </c>
      <c r="M21" s="63">
        <f>ROUNDUP(K21/VLOOKUP(L21,Camion!A:D, 3, FALSE),0)</f>
        <v>1</v>
      </c>
      <c r="N21" s="63">
        <f>INT(K21/VLOOKUP(L21,Camion!A:D, 3, FALSE))</f>
        <v>0</v>
      </c>
      <c r="O21" s="64">
        <f>ROUND(K21/VLOOKUP(L21,Camion!A:D, 3, FALSE) - N21,2)</f>
        <v>0.82</v>
      </c>
      <c r="P21" s="63" t="s">
        <v>129</v>
      </c>
    </row>
    <row r="22" spans="1:16" x14ac:dyDescent="0.25">
      <c r="A22" s="7">
        <v>-2</v>
      </c>
      <c r="B22" s="62" t="s">
        <v>185</v>
      </c>
      <c r="C22" s="63" t="s">
        <v>1</v>
      </c>
      <c r="D22" s="63" t="s">
        <v>135</v>
      </c>
      <c r="E22" s="63" t="s">
        <v>79</v>
      </c>
      <c r="F22" s="63" t="s">
        <v>127</v>
      </c>
      <c r="G22" s="63">
        <v>10</v>
      </c>
      <c r="H22" s="63" t="s">
        <v>133</v>
      </c>
      <c r="I22" s="63">
        <f>INDEX(Matériel!A:Z, MATCH(E22, Matériel!A:A, 0), MATCH(H22, INDEX(Matériel!A:Z, MATCH(E22, Matériel!A:A, 0), 0), 0) + 1)</f>
        <v>1</v>
      </c>
      <c r="J22" s="63">
        <f t="shared" si="1"/>
        <v>10</v>
      </c>
      <c r="K22" s="63">
        <f>VLOOKUP(H22,Manutention!A:E, 3, FALSE) * J22</f>
        <v>20</v>
      </c>
      <c r="L22" s="63" t="s">
        <v>167</v>
      </c>
      <c r="M22" s="63">
        <f>ROUNDUP(K22/VLOOKUP(L22,Camion!A:D, 3, FALSE),0)</f>
        <v>1</v>
      </c>
      <c r="N22" s="63">
        <f>INT(K22/VLOOKUP(L22,Camion!A:D, 3, FALSE))</f>
        <v>1</v>
      </c>
      <c r="O22" s="64">
        <f>ROUND(K22/VLOOKUP(L22,Camion!A:D, 3, FALSE) - N22,2)</f>
        <v>0</v>
      </c>
      <c r="P22" s="63" t="s">
        <v>129</v>
      </c>
    </row>
    <row r="23" spans="1:16" x14ac:dyDescent="0.25">
      <c r="A23" s="7">
        <v>-2</v>
      </c>
      <c r="B23" s="62" t="s">
        <v>185</v>
      </c>
      <c r="C23" s="63" t="s">
        <v>1</v>
      </c>
      <c r="D23" s="63" t="s">
        <v>128</v>
      </c>
      <c r="E23" s="63" t="s">
        <v>80</v>
      </c>
      <c r="F23" s="63" t="s">
        <v>127</v>
      </c>
      <c r="G23" s="63">
        <v>1</v>
      </c>
      <c r="H23" s="63" t="s">
        <v>133</v>
      </c>
      <c r="I23" s="63">
        <f>INDEX(Matériel!A:Z, MATCH(E23, Matériel!A:A, 0), MATCH(H23, INDEX(Matériel!A:Z, MATCH(E23, Matériel!A:A, 0), 0), 0) + 1)</f>
        <v>0.5</v>
      </c>
      <c r="J23" s="63">
        <f t="shared" si="1"/>
        <v>2</v>
      </c>
      <c r="K23" s="63">
        <f>VLOOKUP(H23,Manutention!A:E, 3, FALSE) * J23</f>
        <v>4</v>
      </c>
      <c r="L23" s="63" t="s">
        <v>164</v>
      </c>
      <c r="M23" s="63">
        <f>ROUNDUP(K23/VLOOKUP(L23,Camion!A:D, 3, FALSE),0)</f>
        <v>1</v>
      </c>
      <c r="N23" s="63">
        <f>INT(K23/VLOOKUP(L23,Camion!A:D, 3, FALSE))</f>
        <v>0</v>
      </c>
      <c r="O23" s="64">
        <f>ROUND(K23/VLOOKUP(L23,Camion!A:D, 3, FALSE) - N23,2)</f>
        <v>0.44</v>
      </c>
      <c r="P23" s="63" t="s">
        <v>130</v>
      </c>
    </row>
    <row r="24" spans="1:16" x14ac:dyDescent="0.25">
      <c r="A24" s="7">
        <v>-2</v>
      </c>
      <c r="B24" s="62" t="s">
        <v>185</v>
      </c>
      <c r="C24" s="63" t="s">
        <v>1</v>
      </c>
      <c r="D24" s="63" t="s">
        <v>128</v>
      </c>
      <c r="E24" s="63" t="s">
        <v>81</v>
      </c>
      <c r="F24" s="63" t="s">
        <v>127</v>
      </c>
      <c r="G24" s="63">
        <v>18</v>
      </c>
      <c r="H24" s="63" t="s">
        <v>131</v>
      </c>
      <c r="I24" s="63">
        <f>INDEX(Matériel!A:Z, MATCH(E24, Matériel!A:A, 0), MATCH(H24, INDEX(Matériel!A:Z, MATCH(E24, Matériel!A:A, 0), 0), 0) + 1)</f>
        <v>100</v>
      </c>
      <c r="J24" s="63">
        <f t="shared" si="1"/>
        <v>1</v>
      </c>
      <c r="K24" s="63">
        <f>VLOOKUP(H24,Manutention!A:E, 3, FALSE) * J24</f>
        <v>1</v>
      </c>
      <c r="L24" s="63" t="s">
        <v>164</v>
      </c>
      <c r="M24" s="63">
        <f>ROUNDUP(K24/VLOOKUP(L24,Camion!A:D, 3, FALSE),0)</f>
        <v>1</v>
      </c>
      <c r="N24" s="63">
        <f>INT(K24/VLOOKUP(L24,Camion!A:D, 3, FALSE))</f>
        <v>0</v>
      </c>
      <c r="O24" s="64">
        <f>ROUND(K24/VLOOKUP(L24,Camion!A:D, 3, FALSE) - N24,2)</f>
        <v>0.11</v>
      </c>
      <c r="P24" s="63" t="s">
        <v>130</v>
      </c>
    </row>
    <row r="25" spans="1:16" x14ac:dyDescent="0.25">
      <c r="A25" s="7">
        <v>-2</v>
      </c>
      <c r="B25" s="5" t="s">
        <v>185</v>
      </c>
      <c r="C25" s="65"/>
      <c r="D25" s="65"/>
      <c r="E25" s="65" t="s">
        <v>187</v>
      </c>
      <c r="F25" s="65"/>
      <c r="G25" s="65"/>
      <c r="H25" s="65" t="s">
        <v>131</v>
      </c>
      <c r="I25" s="65"/>
      <c r="J25" s="65"/>
      <c r="K25" s="65">
        <f>SUMIFS(K:K, A:A, -2, B:B, "Z3 Z4", P:P, "Oui", D:D, "Production")</f>
        <v>19</v>
      </c>
      <c r="L25" s="65" t="s">
        <v>164</v>
      </c>
      <c r="M25" s="65">
        <f>ROUNDUP(K25/VLOOKUP(L25,Camion!A:D, 3, FALSE),0)</f>
        <v>3</v>
      </c>
      <c r="N25" s="65">
        <f>INT(K25/VLOOKUP(L25,Camion!A:D, 3, FALSE))</f>
        <v>2</v>
      </c>
      <c r="O25" s="66">
        <f>ROUND(K25/VLOOKUP(L25,Camion!A:D, 3, FALSE) - N25,2)</f>
        <v>0.11</v>
      </c>
      <c r="P25" s="65"/>
    </row>
    <row r="26" spans="1:16" x14ac:dyDescent="0.25">
      <c r="A26" s="7">
        <v>-2</v>
      </c>
      <c r="B26" s="5" t="s">
        <v>185</v>
      </c>
      <c r="C26" s="65"/>
      <c r="D26" s="65"/>
      <c r="E26" s="65" t="s">
        <v>188</v>
      </c>
      <c r="F26" s="65"/>
      <c r="G26" s="65"/>
      <c r="H26" s="65" t="s">
        <v>131</v>
      </c>
      <c r="I26" s="65"/>
      <c r="J26" s="65"/>
      <c r="K26" s="65">
        <f>SUMIFS(K:K, A:A, -2, B:B, "Z3 Z4", P:P, "Oui", D:D, "Terminaux")</f>
        <v>71</v>
      </c>
      <c r="L26" s="65" t="s">
        <v>168</v>
      </c>
      <c r="M26" s="65">
        <f>ROUNDUP(K26/VLOOKUP(L26,Camion!A:D, 3, FALSE),0)</f>
        <v>3</v>
      </c>
      <c r="N26" s="65">
        <f>INT(K26/VLOOKUP(L26,Camion!A:D, 3, FALSE))</f>
        <v>2</v>
      </c>
      <c r="O26" s="66">
        <f>ROUND(K26/VLOOKUP(L26,Camion!A:D, 3, FALSE) - N26,2)</f>
        <v>0.09</v>
      </c>
      <c r="P26" s="65"/>
    </row>
    <row r="27" spans="1:16" x14ac:dyDescent="0.25">
      <c r="A27" s="7">
        <v>-1</v>
      </c>
      <c r="B27" s="62" t="s">
        <v>184</v>
      </c>
      <c r="C27" s="63" t="s">
        <v>1</v>
      </c>
      <c r="D27" s="63" t="s">
        <v>128</v>
      </c>
      <c r="E27" s="63" t="s">
        <v>71</v>
      </c>
      <c r="F27" s="63" t="s">
        <v>138</v>
      </c>
      <c r="G27" s="63">
        <v>625</v>
      </c>
      <c r="H27" s="63" t="s">
        <v>139</v>
      </c>
      <c r="I27" s="63">
        <f>INDEX(Matériel!A:Z, MATCH(E27, Matériel!A:A, 0), MATCH(H27, INDEX(Matériel!A:Z, MATCH(E27, Matériel!A:A, 0), 0), 0) + 1)</f>
        <v>150</v>
      </c>
      <c r="J27" s="63">
        <f t="shared" ref="J27:J37" si="2">ROUNDUP(G27 / I27, 0)</f>
        <v>5</v>
      </c>
      <c r="K27" s="63">
        <f>VLOOKUP(H27,Manutention!A:E, 3, FALSE) * J27</f>
        <v>15</v>
      </c>
      <c r="L27" s="63" t="s">
        <v>166</v>
      </c>
      <c r="M27" s="63">
        <f>ROUNDUP(K27/VLOOKUP(L27,Camion!A:D, 3, FALSE),0)</f>
        <v>1</v>
      </c>
      <c r="N27" s="63">
        <f>INT(K27/VLOOKUP(L27,Camion!A:D, 3, FALSE))</f>
        <v>0</v>
      </c>
      <c r="O27" s="64">
        <f>ROUND(K27/VLOOKUP(L27,Camion!A:D, 3, FALSE) - N27,2)</f>
        <v>0.88</v>
      </c>
      <c r="P27" s="63" t="s">
        <v>129</v>
      </c>
    </row>
    <row r="28" spans="1:16" x14ac:dyDescent="0.25">
      <c r="A28" s="7">
        <v>-1</v>
      </c>
      <c r="B28" s="62" t="s">
        <v>184</v>
      </c>
      <c r="C28" s="63" t="s">
        <v>1</v>
      </c>
      <c r="D28" s="63" t="s">
        <v>135</v>
      </c>
      <c r="E28" s="63" t="s">
        <v>72</v>
      </c>
      <c r="F28" s="63" t="s">
        <v>138</v>
      </c>
      <c r="G28" s="63">
        <v>1912</v>
      </c>
      <c r="H28" s="63" t="s">
        <v>143</v>
      </c>
      <c r="I28" s="63">
        <f>INDEX(Matériel!A:Z, MATCH(E28, Matériel!A:A, 0), MATCH(H28, INDEX(Matériel!A:Z, MATCH(E28, Matériel!A:A, 0), 0), 0) + 1)</f>
        <v>1000</v>
      </c>
      <c r="J28" s="63">
        <f t="shared" si="2"/>
        <v>2</v>
      </c>
      <c r="K28" s="63">
        <f>VLOOKUP(H28,Manutention!A:E, 3, FALSE) * J28</f>
        <v>2</v>
      </c>
      <c r="L28" s="63" t="s">
        <v>164</v>
      </c>
      <c r="M28" s="63">
        <f>ROUNDUP(K28/VLOOKUP(L28,Camion!A:D, 3, FALSE),0)</f>
        <v>1</v>
      </c>
      <c r="N28" s="63">
        <f>INT(K28/VLOOKUP(L28,Camion!A:D, 3, FALSE))</f>
        <v>0</v>
      </c>
      <c r="O28" s="64">
        <f>ROUND(K28/VLOOKUP(L28,Camion!A:D, 3, FALSE) - N28,2)</f>
        <v>0.22</v>
      </c>
      <c r="P28" s="63" t="s">
        <v>130</v>
      </c>
    </row>
    <row r="29" spans="1:16" x14ac:dyDescent="0.25">
      <c r="A29" s="7">
        <v>-1</v>
      </c>
      <c r="B29" s="62" t="s">
        <v>184</v>
      </c>
      <c r="C29" s="63" t="s">
        <v>1</v>
      </c>
      <c r="D29" s="63" t="s">
        <v>128</v>
      </c>
      <c r="E29" s="63" t="s">
        <v>73</v>
      </c>
      <c r="F29" s="63" t="s">
        <v>127</v>
      </c>
      <c r="G29" s="63">
        <v>1</v>
      </c>
      <c r="H29" s="63" t="s">
        <v>133</v>
      </c>
      <c r="I29" s="63">
        <f>INDEX(Matériel!A:Z, MATCH(E29, Matériel!A:A, 0), MATCH(H29, INDEX(Matériel!A:Z, MATCH(E29, Matériel!A:A, 0), 0), 0) + 1)</f>
        <v>0.5</v>
      </c>
      <c r="J29" s="63">
        <f t="shared" si="2"/>
        <v>2</v>
      </c>
      <c r="K29" s="63">
        <f>VLOOKUP(H29,Manutention!A:E, 3, FALSE) * J29</f>
        <v>4</v>
      </c>
      <c r="L29" s="63" t="s">
        <v>164</v>
      </c>
      <c r="M29" s="63">
        <f>ROUNDUP(K29/VLOOKUP(L29,Camion!A:D, 3, FALSE),0)</f>
        <v>1</v>
      </c>
      <c r="N29" s="63">
        <f>INT(K29/VLOOKUP(L29,Camion!A:D, 3, FALSE))</f>
        <v>0</v>
      </c>
      <c r="O29" s="64">
        <f>ROUND(K29/VLOOKUP(L29,Camion!A:D, 3, FALSE) - N29,2)</f>
        <v>0.44</v>
      </c>
      <c r="P29" s="63" t="s">
        <v>130</v>
      </c>
    </row>
    <row r="30" spans="1:16" x14ac:dyDescent="0.25">
      <c r="A30" s="7">
        <v>-1</v>
      </c>
      <c r="B30" s="62" t="s">
        <v>184</v>
      </c>
      <c r="C30" s="63" t="s">
        <v>1</v>
      </c>
      <c r="D30" s="63" t="s">
        <v>128</v>
      </c>
      <c r="E30" s="63" t="s">
        <v>74</v>
      </c>
      <c r="F30" s="63" t="s">
        <v>127</v>
      </c>
      <c r="G30" s="63">
        <v>3</v>
      </c>
      <c r="H30" s="63" t="s">
        <v>131</v>
      </c>
      <c r="I30" s="63">
        <f>INDEX(Matériel!A:Z, MATCH(E30, Matériel!A:A, 0), MATCH(H30, INDEX(Matériel!A:Z, MATCH(E30, Matériel!A:A, 0), 0), 0) + 1)</f>
        <v>1</v>
      </c>
      <c r="J30" s="63">
        <f t="shared" si="2"/>
        <v>3</v>
      </c>
      <c r="K30" s="63">
        <f>VLOOKUP(H30,Manutention!A:E, 3, FALSE) * J30</f>
        <v>3</v>
      </c>
      <c r="L30" s="63" t="s">
        <v>164</v>
      </c>
      <c r="M30" s="63">
        <f>ROUNDUP(K30/VLOOKUP(L30,Camion!A:D, 3, FALSE),0)</f>
        <v>1</v>
      </c>
      <c r="N30" s="63">
        <f>INT(K30/VLOOKUP(L30,Camion!A:D, 3, FALSE))</f>
        <v>0</v>
      </c>
      <c r="O30" s="64">
        <f>ROUND(K30/VLOOKUP(L30,Camion!A:D, 3, FALSE) - N30,2)</f>
        <v>0.33</v>
      </c>
      <c r="P30" s="63" t="s">
        <v>129</v>
      </c>
    </row>
    <row r="31" spans="1:16" x14ac:dyDescent="0.25">
      <c r="A31" s="7">
        <v>-1</v>
      </c>
      <c r="B31" s="62" t="s">
        <v>184</v>
      </c>
      <c r="C31" s="63" t="s">
        <v>1</v>
      </c>
      <c r="D31" s="63" t="s">
        <v>135</v>
      </c>
      <c r="E31" s="63" t="s">
        <v>75</v>
      </c>
      <c r="F31" s="63" t="s">
        <v>127</v>
      </c>
      <c r="G31" s="63">
        <v>98</v>
      </c>
      <c r="H31" s="63" t="s">
        <v>136</v>
      </c>
      <c r="I31" s="63">
        <f>INDEX(Matériel!A:Z, MATCH(E31, Matériel!A:A, 0), MATCH(H31, INDEX(Matériel!A:Z, MATCH(E31, Matériel!A:A, 0), 0), 0) + 1)</f>
        <v>60</v>
      </c>
      <c r="J31" s="63">
        <f t="shared" si="2"/>
        <v>2</v>
      </c>
      <c r="K31" s="63">
        <f>VLOOKUP(H31,Manutention!A:E, 3, FALSE) * J31</f>
        <v>2</v>
      </c>
      <c r="L31" s="63" t="s">
        <v>164</v>
      </c>
      <c r="M31" s="63">
        <f>ROUNDUP(K31/VLOOKUP(L31,Camion!A:D, 3, FALSE),0)</f>
        <v>1</v>
      </c>
      <c r="N31" s="63">
        <f>INT(K31/VLOOKUP(L31,Camion!A:D, 3, FALSE))</f>
        <v>0</v>
      </c>
      <c r="O31" s="64">
        <f>ROUND(K31/VLOOKUP(L31,Camion!A:D, 3, FALSE) - N31,2)</f>
        <v>0.22</v>
      </c>
      <c r="P31" s="63" t="s">
        <v>129</v>
      </c>
    </row>
    <row r="32" spans="1:16" x14ac:dyDescent="0.25">
      <c r="A32" s="7">
        <v>-1</v>
      </c>
      <c r="B32" s="62" t="s">
        <v>184</v>
      </c>
      <c r="C32" s="63" t="s">
        <v>1</v>
      </c>
      <c r="D32" s="63" t="s">
        <v>128</v>
      </c>
      <c r="E32" s="63" t="s">
        <v>76</v>
      </c>
      <c r="F32" s="63" t="s">
        <v>127</v>
      </c>
      <c r="G32" s="63">
        <v>49</v>
      </c>
      <c r="H32" s="63" t="s">
        <v>131</v>
      </c>
      <c r="I32" s="63">
        <f>INDEX(Matériel!A:Z, MATCH(E32, Matériel!A:A, 0), MATCH(H32, INDEX(Matériel!A:Z, MATCH(E32, Matériel!A:A, 0), 0), 0) + 1)</f>
        <v>100</v>
      </c>
      <c r="J32" s="63">
        <f t="shared" si="2"/>
        <v>1</v>
      </c>
      <c r="K32" s="63">
        <f>VLOOKUP(H32,Manutention!A:E, 3, FALSE) * J32</f>
        <v>1</v>
      </c>
      <c r="L32" s="63" t="s">
        <v>164</v>
      </c>
      <c r="M32" s="63">
        <f>ROUNDUP(K32/VLOOKUP(L32,Camion!A:D, 3, FALSE),0)</f>
        <v>1</v>
      </c>
      <c r="N32" s="63">
        <f>INT(K32/VLOOKUP(L32,Camion!A:D, 3, FALSE))</f>
        <v>0</v>
      </c>
      <c r="O32" s="64">
        <f>ROUND(K32/VLOOKUP(L32,Camion!A:D, 3, FALSE) - N32,2)</f>
        <v>0.11</v>
      </c>
      <c r="P32" s="63" t="s">
        <v>129</v>
      </c>
    </row>
    <row r="33" spans="1:16" x14ac:dyDescent="0.25">
      <c r="A33" s="7">
        <v>-1</v>
      </c>
      <c r="B33" s="62" t="s">
        <v>184</v>
      </c>
      <c r="C33" s="63" t="s">
        <v>1</v>
      </c>
      <c r="D33" s="63" t="s">
        <v>135</v>
      </c>
      <c r="E33" s="63" t="s">
        <v>77</v>
      </c>
      <c r="F33" s="63" t="s">
        <v>127</v>
      </c>
      <c r="G33" s="63">
        <v>409</v>
      </c>
      <c r="H33" s="63" t="s">
        <v>131</v>
      </c>
      <c r="I33" s="63">
        <f>INDEX(Matériel!A:Z, MATCH(E33, Matériel!A:A, 0), MATCH(H33, INDEX(Matériel!A:Z, MATCH(E33, Matériel!A:A, 0), 0), 0) + 1)</f>
        <v>20</v>
      </c>
      <c r="J33" s="63">
        <f t="shared" si="2"/>
        <v>21</v>
      </c>
      <c r="K33" s="63">
        <f>VLOOKUP(H33,Manutention!A:E, 3, FALSE) * J33</f>
        <v>21</v>
      </c>
      <c r="L33" s="63" t="s">
        <v>168</v>
      </c>
      <c r="M33" s="63">
        <f>ROUNDUP(K33/VLOOKUP(L33,Camion!A:D, 3, FALSE),0)</f>
        <v>1</v>
      </c>
      <c r="N33" s="63">
        <f>INT(K33/VLOOKUP(L33,Camion!A:D, 3, FALSE))</f>
        <v>0</v>
      </c>
      <c r="O33" s="64">
        <f>ROUND(K33/VLOOKUP(L33,Camion!A:D, 3, FALSE) - N33,2)</f>
        <v>0.62</v>
      </c>
      <c r="P33" s="63" t="s">
        <v>129</v>
      </c>
    </row>
    <row r="34" spans="1:16" x14ac:dyDescent="0.25">
      <c r="A34" s="7">
        <v>-1</v>
      </c>
      <c r="B34" s="62" t="s">
        <v>184</v>
      </c>
      <c r="C34" s="63" t="s">
        <v>1</v>
      </c>
      <c r="D34" s="63" t="s">
        <v>135</v>
      </c>
      <c r="E34" s="63" t="s">
        <v>78</v>
      </c>
      <c r="F34" s="63" t="s">
        <v>127</v>
      </c>
      <c r="G34" s="63">
        <v>14</v>
      </c>
      <c r="H34" s="63" t="s">
        <v>133</v>
      </c>
      <c r="I34" s="63">
        <f>INDEX(Matériel!A:Z, MATCH(E34, Matériel!A:A, 0), MATCH(H34, INDEX(Matériel!A:Z, MATCH(E34, Matériel!A:A, 0), 0), 0) + 1)</f>
        <v>1</v>
      </c>
      <c r="J34" s="63">
        <f t="shared" si="2"/>
        <v>14</v>
      </c>
      <c r="K34" s="63">
        <f>VLOOKUP(H34,Manutention!A:E, 3, FALSE) * J34</f>
        <v>28</v>
      </c>
      <c r="L34" s="63" t="s">
        <v>168</v>
      </c>
      <c r="M34" s="63">
        <f>ROUNDUP(K34/VLOOKUP(L34,Camion!A:D, 3, FALSE),0)</f>
        <v>1</v>
      </c>
      <c r="N34" s="63">
        <f>INT(K34/VLOOKUP(L34,Camion!A:D, 3, FALSE))</f>
        <v>0</v>
      </c>
      <c r="O34" s="64">
        <f>ROUND(K34/VLOOKUP(L34,Camion!A:D, 3, FALSE) - N34,2)</f>
        <v>0.82</v>
      </c>
      <c r="P34" s="63" t="s">
        <v>129</v>
      </c>
    </row>
    <row r="35" spans="1:16" x14ac:dyDescent="0.25">
      <c r="A35" s="7">
        <v>-1</v>
      </c>
      <c r="B35" s="62" t="s">
        <v>184</v>
      </c>
      <c r="C35" s="63" t="s">
        <v>1</v>
      </c>
      <c r="D35" s="63" t="s">
        <v>135</v>
      </c>
      <c r="E35" s="63" t="s">
        <v>79</v>
      </c>
      <c r="F35" s="63" t="s">
        <v>127</v>
      </c>
      <c r="G35" s="63">
        <v>10</v>
      </c>
      <c r="H35" s="63" t="s">
        <v>133</v>
      </c>
      <c r="I35" s="63">
        <f>INDEX(Matériel!A:Z, MATCH(E35, Matériel!A:A, 0), MATCH(H35, INDEX(Matériel!A:Z, MATCH(E35, Matériel!A:A, 0), 0), 0) + 1)</f>
        <v>1</v>
      </c>
      <c r="J35" s="63">
        <f t="shared" si="2"/>
        <v>10</v>
      </c>
      <c r="K35" s="63">
        <f>VLOOKUP(H35,Manutention!A:E, 3, FALSE) * J35</f>
        <v>20</v>
      </c>
      <c r="L35" s="63" t="s">
        <v>167</v>
      </c>
      <c r="M35" s="63">
        <f>ROUNDUP(K35/VLOOKUP(L35,Camion!A:D, 3, FALSE),0)</f>
        <v>1</v>
      </c>
      <c r="N35" s="63">
        <f>INT(K35/VLOOKUP(L35,Camion!A:D, 3, FALSE))</f>
        <v>1</v>
      </c>
      <c r="O35" s="64">
        <f>ROUND(K35/VLOOKUP(L35,Camion!A:D, 3, FALSE) - N35,2)</f>
        <v>0</v>
      </c>
      <c r="P35" s="63" t="s">
        <v>129</v>
      </c>
    </row>
    <row r="36" spans="1:16" x14ac:dyDescent="0.25">
      <c r="A36" s="7">
        <v>-1</v>
      </c>
      <c r="B36" s="62" t="s">
        <v>184</v>
      </c>
      <c r="C36" s="63" t="s">
        <v>1</v>
      </c>
      <c r="D36" s="63" t="s">
        <v>128</v>
      </c>
      <c r="E36" s="63" t="s">
        <v>80</v>
      </c>
      <c r="F36" s="63" t="s">
        <v>127</v>
      </c>
      <c r="G36" s="63">
        <v>1</v>
      </c>
      <c r="H36" s="63" t="s">
        <v>133</v>
      </c>
      <c r="I36" s="63">
        <f>INDEX(Matériel!A:Z, MATCH(E36, Matériel!A:A, 0), MATCH(H36, INDEX(Matériel!A:Z, MATCH(E36, Matériel!A:A, 0), 0), 0) + 1)</f>
        <v>0.5</v>
      </c>
      <c r="J36" s="63">
        <f t="shared" si="2"/>
        <v>2</v>
      </c>
      <c r="K36" s="63">
        <f>VLOOKUP(H36,Manutention!A:E, 3, FALSE) * J36</f>
        <v>4</v>
      </c>
      <c r="L36" s="63" t="s">
        <v>164</v>
      </c>
      <c r="M36" s="63">
        <f>ROUNDUP(K36/VLOOKUP(L36,Camion!A:D, 3, FALSE),0)</f>
        <v>1</v>
      </c>
      <c r="N36" s="63">
        <f>INT(K36/VLOOKUP(L36,Camion!A:D, 3, FALSE))</f>
        <v>0</v>
      </c>
      <c r="O36" s="64">
        <f>ROUND(K36/VLOOKUP(L36,Camion!A:D, 3, FALSE) - N36,2)</f>
        <v>0.44</v>
      </c>
      <c r="P36" s="63" t="s">
        <v>130</v>
      </c>
    </row>
    <row r="37" spans="1:16" x14ac:dyDescent="0.25">
      <c r="A37" s="7">
        <v>-1</v>
      </c>
      <c r="B37" s="62" t="s">
        <v>184</v>
      </c>
      <c r="C37" s="63" t="s">
        <v>1</v>
      </c>
      <c r="D37" s="63" t="s">
        <v>128</v>
      </c>
      <c r="E37" s="63" t="s">
        <v>81</v>
      </c>
      <c r="F37" s="63" t="s">
        <v>127</v>
      </c>
      <c r="G37" s="63">
        <v>18</v>
      </c>
      <c r="H37" s="63" t="s">
        <v>131</v>
      </c>
      <c r="I37" s="63">
        <f>INDEX(Matériel!A:Z, MATCH(E37, Matériel!A:A, 0), MATCH(H37, INDEX(Matériel!A:Z, MATCH(E37, Matériel!A:A, 0), 0), 0) + 1)</f>
        <v>100</v>
      </c>
      <c r="J37" s="63">
        <f t="shared" si="2"/>
        <v>1</v>
      </c>
      <c r="K37" s="63">
        <f>VLOOKUP(H37,Manutention!A:E, 3, FALSE) * J37</f>
        <v>1</v>
      </c>
      <c r="L37" s="63" t="s">
        <v>164</v>
      </c>
      <c r="M37" s="63">
        <f>ROUNDUP(K37/VLOOKUP(L37,Camion!A:D, 3, FALSE),0)</f>
        <v>1</v>
      </c>
      <c r="N37" s="63">
        <f>INT(K37/VLOOKUP(L37,Camion!A:D, 3, FALSE))</f>
        <v>0</v>
      </c>
      <c r="O37" s="64">
        <f>ROUND(K37/VLOOKUP(L37,Camion!A:D, 3, FALSE) - N37,2)</f>
        <v>0.11</v>
      </c>
      <c r="P37" s="63" t="s">
        <v>130</v>
      </c>
    </row>
    <row r="38" spans="1:16" x14ac:dyDescent="0.25">
      <c r="A38" s="7">
        <v>-1</v>
      </c>
      <c r="B38" s="5" t="s">
        <v>184</v>
      </c>
      <c r="C38" s="65"/>
      <c r="D38" s="65"/>
      <c r="E38" s="65" t="s">
        <v>187</v>
      </c>
      <c r="F38" s="65"/>
      <c r="G38" s="65"/>
      <c r="H38" s="65" t="s">
        <v>131</v>
      </c>
      <c r="I38" s="65"/>
      <c r="J38" s="65"/>
      <c r="K38" s="65">
        <f>SUMIFS(K:K, A:A, -1, B:B, "Z1 Z2", P:P, "Oui", D:D, "Production")</f>
        <v>19</v>
      </c>
      <c r="L38" s="65" t="s">
        <v>164</v>
      </c>
      <c r="M38" s="65">
        <f>ROUNDUP(K38/VLOOKUP(L38,Camion!A:D, 3, FALSE),0)</f>
        <v>3</v>
      </c>
      <c r="N38" s="65">
        <f>INT(K38/VLOOKUP(L38,Camion!A:D, 3, FALSE))</f>
        <v>2</v>
      </c>
      <c r="O38" s="66">
        <f>ROUND(K38/VLOOKUP(L38,Camion!A:D, 3, FALSE) - N38,2)</f>
        <v>0.11</v>
      </c>
      <c r="P38" s="65"/>
    </row>
    <row r="39" spans="1:16" x14ac:dyDescent="0.25">
      <c r="A39" s="7">
        <v>-1</v>
      </c>
      <c r="B39" s="5" t="s">
        <v>184</v>
      </c>
      <c r="C39" s="65"/>
      <c r="D39" s="65"/>
      <c r="E39" s="65" t="s">
        <v>188</v>
      </c>
      <c r="F39" s="65"/>
      <c r="G39" s="65"/>
      <c r="H39" s="65" t="s">
        <v>131</v>
      </c>
      <c r="I39" s="65"/>
      <c r="J39" s="65"/>
      <c r="K39" s="65">
        <f>SUMIFS(K:K, A:A, -1, B:B, "Z1 Z2", P:P, "Oui", D:D, "Terminaux")</f>
        <v>71</v>
      </c>
      <c r="L39" s="65" t="s">
        <v>168</v>
      </c>
      <c r="M39" s="65">
        <f>ROUNDUP(K39/VLOOKUP(L39,Camion!A:D, 3, FALSE),0)</f>
        <v>3</v>
      </c>
      <c r="N39" s="65">
        <f>INT(K39/VLOOKUP(L39,Camion!A:D, 3, FALSE))</f>
        <v>2</v>
      </c>
      <c r="O39" s="66">
        <f>ROUND(K39/VLOOKUP(L39,Camion!A:D, 3, FALSE) - N39,2)</f>
        <v>0.09</v>
      </c>
      <c r="P39" s="65"/>
    </row>
    <row r="40" spans="1:16" x14ac:dyDescent="0.25">
      <c r="A40" s="7">
        <v>-1</v>
      </c>
      <c r="B40" s="62" t="s">
        <v>185</v>
      </c>
      <c r="C40" s="63" t="s">
        <v>1</v>
      </c>
      <c r="D40" s="63" t="s">
        <v>128</v>
      </c>
      <c r="E40" s="63" t="s">
        <v>71</v>
      </c>
      <c r="F40" s="63" t="s">
        <v>138</v>
      </c>
      <c r="G40" s="63">
        <v>625</v>
      </c>
      <c r="H40" s="63" t="s">
        <v>139</v>
      </c>
      <c r="I40" s="63">
        <f>INDEX(Matériel!A:Z, MATCH(E40, Matériel!A:A, 0), MATCH(H40, INDEX(Matériel!A:Z, MATCH(E40, Matériel!A:A, 0), 0), 0) + 1)</f>
        <v>150</v>
      </c>
      <c r="J40" s="63">
        <f t="shared" ref="J40:J49" si="3">ROUNDUP(G40 / I40, 0)</f>
        <v>5</v>
      </c>
      <c r="K40" s="63">
        <f>VLOOKUP(H40,Manutention!A:E, 3, FALSE) * J40</f>
        <v>15</v>
      </c>
      <c r="L40" s="63" t="s">
        <v>166</v>
      </c>
      <c r="M40" s="63">
        <f>ROUNDUP(K40/VLOOKUP(L40,Camion!A:D, 3, FALSE),0)</f>
        <v>1</v>
      </c>
      <c r="N40" s="63">
        <f>INT(K40/VLOOKUP(L40,Camion!A:D, 3, FALSE))</f>
        <v>0</v>
      </c>
      <c r="O40" s="64">
        <f>ROUND(K40/VLOOKUP(L40,Camion!A:D, 3, FALSE) - N40,2)</f>
        <v>0.88</v>
      </c>
      <c r="P40" s="63" t="s">
        <v>129</v>
      </c>
    </row>
    <row r="41" spans="1:16" x14ac:dyDescent="0.25">
      <c r="A41" s="7">
        <v>-1</v>
      </c>
      <c r="B41" s="62" t="s">
        <v>185</v>
      </c>
      <c r="C41" s="63" t="s">
        <v>1</v>
      </c>
      <c r="D41" s="63" t="s">
        <v>135</v>
      </c>
      <c r="E41" s="63" t="s">
        <v>72</v>
      </c>
      <c r="F41" s="63" t="s">
        <v>138</v>
      </c>
      <c r="G41" s="63">
        <v>1912</v>
      </c>
      <c r="H41" s="63" t="s">
        <v>143</v>
      </c>
      <c r="I41" s="63">
        <f>INDEX(Matériel!A:Z, MATCH(E41, Matériel!A:A, 0), MATCH(H41, INDEX(Matériel!A:Z, MATCH(E41, Matériel!A:A, 0), 0), 0) + 1)</f>
        <v>1000</v>
      </c>
      <c r="J41" s="63">
        <f t="shared" si="3"/>
        <v>2</v>
      </c>
      <c r="K41" s="63">
        <f>VLOOKUP(H41,Manutention!A:E, 3, FALSE) * J41</f>
        <v>2</v>
      </c>
      <c r="L41" s="63" t="s">
        <v>164</v>
      </c>
      <c r="M41" s="63">
        <f>ROUNDUP(K41/VLOOKUP(L41,Camion!A:D, 3, FALSE),0)</f>
        <v>1</v>
      </c>
      <c r="N41" s="63">
        <f>INT(K41/VLOOKUP(L41,Camion!A:D, 3, FALSE))</f>
        <v>0</v>
      </c>
      <c r="O41" s="64">
        <f>ROUND(K41/VLOOKUP(L41,Camion!A:D, 3, FALSE) - N41,2)</f>
        <v>0.22</v>
      </c>
      <c r="P41" s="63" t="s">
        <v>130</v>
      </c>
    </row>
    <row r="42" spans="1:16" x14ac:dyDescent="0.25">
      <c r="A42" s="7">
        <v>-1</v>
      </c>
      <c r="B42" s="62" t="s">
        <v>185</v>
      </c>
      <c r="C42" s="63" t="s">
        <v>1</v>
      </c>
      <c r="D42" s="63" t="s">
        <v>128</v>
      </c>
      <c r="E42" s="63" t="s">
        <v>74</v>
      </c>
      <c r="F42" s="63" t="s">
        <v>127</v>
      </c>
      <c r="G42" s="63">
        <v>3</v>
      </c>
      <c r="H42" s="63" t="s">
        <v>131</v>
      </c>
      <c r="I42" s="63">
        <f>INDEX(Matériel!A:Z, MATCH(E42, Matériel!A:A, 0), MATCH(H42, INDEX(Matériel!A:Z, MATCH(E42, Matériel!A:A, 0), 0), 0) + 1)</f>
        <v>1</v>
      </c>
      <c r="J42" s="63">
        <f t="shared" si="3"/>
        <v>3</v>
      </c>
      <c r="K42" s="63">
        <f>VLOOKUP(H42,Manutention!A:E, 3, FALSE) * J42</f>
        <v>3</v>
      </c>
      <c r="L42" s="63" t="s">
        <v>164</v>
      </c>
      <c r="M42" s="63">
        <f>ROUNDUP(K42/VLOOKUP(L42,Camion!A:D, 3, FALSE),0)</f>
        <v>1</v>
      </c>
      <c r="N42" s="63">
        <f>INT(K42/VLOOKUP(L42,Camion!A:D, 3, FALSE))</f>
        <v>0</v>
      </c>
      <c r="O42" s="64">
        <f>ROUND(K42/VLOOKUP(L42,Camion!A:D, 3, FALSE) - N42,2)</f>
        <v>0.33</v>
      </c>
      <c r="P42" s="63" t="s">
        <v>129</v>
      </c>
    </row>
    <row r="43" spans="1:16" x14ac:dyDescent="0.25">
      <c r="A43" s="7">
        <v>-1</v>
      </c>
      <c r="B43" s="62" t="s">
        <v>185</v>
      </c>
      <c r="C43" s="63" t="s">
        <v>1</v>
      </c>
      <c r="D43" s="63" t="s">
        <v>135</v>
      </c>
      <c r="E43" s="63" t="s">
        <v>75</v>
      </c>
      <c r="F43" s="63" t="s">
        <v>127</v>
      </c>
      <c r="G43" s="63">
        <v>98</v>
      </c>
      <c r="H43" s="63" t="s">
        <v>136</v>
      </c>
      <c r="I43" s="63">
        <f>INDEX(Matériel!A:Z, MATCH(E43, Matériel!A:A, 0), MATCH(H43, INDEX(Matériel!A:Z, MATCH(E43, Matériel!A:A, 0), 0), 0) + 1)</f>
        <v>60</v>
      </c>
      <c r="J43" s="63">
        <f t="shared" si="3"/>
        <v>2</v>
      </c>
      <c r="K43" s="63">
        <f>VLOOKUP(H43,Manutention!A:E, 3, FALSE) * J43</f>
        <v>2</v>
      </c>
      <c r="L43" s="63" t="s">
        <v>164</v>
      </c>
      <c r="M43" s="63">
        <f>ROUNDUP(K43/VLOOKUP(L43,Camion!A:D, 3, FALSE),0)</f>
        <v>1</v>
      </c>
      <c r="N43" s="63">
        <f>INT(K43/VLOOKUP(L43,Camion!A:D, 3, FALSE))</f>
        <v>0</v>
      </c>
      <c r="O43" s="64">
        <f>ROUND(K43/VLOOKUP(L43,Camion!A:D, 3, FALSE) - N43,2)</f>
        <v>0.22</v>
      </c>
      <c r="P43" s="63" t="s">
        <v>129</v>
      </c>
    </row>
    <row r="44" spans="1:16" x14ac:dyDescent="0.25">
      <c r="A44" s="7">
        <v>-1</v>
      </c>
      <c r="B44" s="62" t="s">
        <v>185</v>
      </c>
      <c r="C44" s="63" t="s">
        <v>1</v>
      </c>
      <c r="D44" s="63" t="s">
        <v>128</v>
      </c>
      <c r="E44" s="63" t="s">
        <v>76</v>
      </c>
      <c r="F44" s="63" t="s">
        <v>127</v>
      </c>
      <c r="G44" s="63">
        <v>49</v>
      </c>
      <c r="H44" s="63" t="s">
        <v>131</v>
      </c>
      <c r="I44" s="63">
        <f>INDEX(Matériel!A:Z, MATCH(E44, Matériel!A:A, 0), MATCH(H44, INDEX(Matériel!A:Z, MATCH(E44, Matériel!A:A, 0), 0), 0) + 1)</f>
        <v>100</v>
      </c>
      <c r="J44" s="63">
        <f t="shared" si="3"/>
        <v>1</v>
      </c>
      <c r="K44" s="63">
        <f>VLOOKUP(H44,Manutention!A:E, 3, FALSE) * J44</f>
        <v>1</v>
      </c>
      <c r="L44" s="63" t="s">
        <v>164</v>
      </c>
      <c r="M44" s="63">
        <f>ROUNDUP(K44/VLOOKUP(L44,Camion!A:D, 3, FALSE),0)</f>
        <v>1</v>
      </c>
      <c r="N44" s="63">
        <f>INT(K44/VLOOKUP(L44,Camion!A:D, 3, FALSE))</f>
        <v>0</v>
      </c>
      <c r="O44" s="64">
        <f>ROUND(K44/VLOOKUP(L44,Camion!A:D, 3, FALSE) - N44,2)</f>
        <v>0.11</v>
      </c>
      <c r="P44" s="63" t="s">
        <v>129</v>
      </c>
    </row>
    <row r="45" spans="1:16" x14ac:dyDescent="0.25">
      <c r="A45" s="7">
        <v>-1</v>
      </c>
      <c r="B45" s="62" t="s">
        <v>185</v>
      </c>
      <c r="C45" s="63" t="s">
        <v>1</v>
      </c>
      <c r="D45" s="63" t="s">
        <v>135</v>
      </c>
      <c r="E45" s="63" t="s">
        <v>77</v>
      </c>
      <c r="F45" s="63" t="s">
        <v>127</v>
      </c>
      <c r="G45" s="63">
        <v>409</v>
      </c>
      <c r="H45" s="63" t="s">
        <v>131</v>
      </c>
      <c r="I45" s="63">
        <f>INDEX(Matériel!A:Z, MATCH(E45, Matériel!A:A, 0), MATCH(H45, INDEX(Matériel!A:Z, MATCH(E45, Matériel!A:A, 0), 0), 0) + 1)</f>
        <v>20</v>
      </c>
      <c r="J45" s="63">
        <f t="shared" si="3"/>
        <v>21</v>
      </c>
      <c r="K45" s="63">
        <f>VLOOKUP(H45,Manutention!A:E, 3, FALSE) * J45</f>
        <v>21</v>
      </c>
      <c r="L45" s="63" t="s">
        <v>168</v>
      </c>
      <c r="M45" s="63">
        <f>ROUNDUP(K45/VLOOKUP(L45,Camion!A:D, 3, FALSE),0)</f>
        <v>1</v>
      </c>
      <c r="N45" s="63">
        <f>INT(K45/VLOOKUP(L45,Camion!A:D, 3, FALSE))</f>
        <v>0</v>
      </c>
      <c r="O45" s="64">
        <f>ROUND(K45/VLOOKUP(L45,Camion!A:D, 3, FALSE) - N45,2)</f>
        <v>0.62</v>
      </c>
      <c r="P45" s="63" t="s">
        <v>129</v>
      </c>
    </row>
    <row r="46" spans="1:16" x14ac:dyDescent="0.25">
      <c r="A46" s="7">
        <v>-1</v>
      </c>
      <c r="B46" s="62" t="s">
        <v>185</v>
      </c>
      <c r="C46" s="63" t="s">
        <v>1</v>
      </c>
      <c r="D46" s="63" t="s">
        <v>135</v>
      </c>
      <c r="E46" s="63" t="s">
        <v>78</v>
      </c>
      <c r="F46" s="63" t="s">
        <v>127</v>
      </c>
      <c r="G46" s="63">
        <v>13</v>
      </c>
      <c r="H46" s="63" t="s">
        <v>133</v>
      </c>
      <c r="I46" s="63">
        <f>INDEX(Matériel!A:Z, MATCH(E46, Matériel!A:A, 0), MATCH(H46, INDEX(Matériel!A:Z, MATCH(E46, Matériel!A:A, 0), 0), 0) + 1)</f>
        <v>1</v>
      </c>
      <c r="J46" s="63">
        <f t="shared" si="3"/>
        <v>13</v>
      </c>
      <c r="K46" s="63">
        <f>VLOOKUP(H46,Manutention!A:E, 3, FALSE) * J46</f>
        <v>26</v>
      </c>
      <c r="L46" s="63" t="s">
        <v>168</v>
      </c>
      <c r="M46" s="63">
        <f>ROUNDUP(K46/VLOOKUP(L46,Camion!A:D, 3, FALSE),0)</f>
        <v>1</v>
      </c>
      <c r="N46" s="63">
        <f>INT(K46/VLOOKUP(L46,Camion!A:D, 3, FALSE))</f>
        <v>0</v>
      </c>
      <c r="O46" s="64">
        <f>ROUND(K46/VLOOKUP(L46,Camion!A:D, 3, FALSE) - N46,2)</f>
        <v>0.76</v>
      </c>
      <c r="P46" s="63" t="s">
        <v>129</v>
      </c>
    </row>
    <row r="47" spans="1:16" x14ac:dyDescent="0.25">
      <c r="A47" s="7">
        <v>-1</v>
      </c>
      <c r="B47" s="62" t="s">
        <v>185</v>
      </c>
      <c r="C47" s="63" t="s">
        <v>1</v>
      </c>
      <c r="D47" s="63" t="s">
        <v>135</v>
      </c>
      <c r="E47" s="63" t="s">
        <v>79</v>
      </c>
      <c r="F47" s="63" t="s">
        <v>127</v>
      </c>
      <c r="G47" s="63">
        <v>10</v>
      </c>
      <c r="H47" s="63" t="s">
        <v>133</v>
      </c>
      <c r="I47" s="63">
        <f>INDEX(Matériel!A:Z, MATCH(E47, Matériel!A:A, 0), MATCH(H47, INDEX(Matériel!A:Z, MATCH(E47, Matériel!A:A, 0), 0), 0) + 1)</f>
        <v>1</v>
      </c>
      <c r="J47" s="63">
        <f t="shared" si="3"/>
        <v>10</v>
      </c>
      <c r="K47" s="63">
        <f>VLOOKUP(H47,Manutention!A:E, 3, FALSE) * J47</f>
        <v>20</v>
      </c>
      <c r="L47" s="63" t="s">
        <v>167</v>
      </c>
      <c r="M47" s="63">
        <f>ROUNDUP(K47/VLOOKUP(L47,Camion!A:D, 3, FALSE),0)</f>
        <v>1</v>
      </c>
      <c r="N47" s="63">
        <f>INT(K47/VLOOKUP(L47,Camion!A:D, 3, FALSE))</f>
        <v>1</v>
      </c>
      <c r="O47" s="64">
        <f>ROUND(K47/VLOOKUP(L47,Camion!A:D, 3, FALSE) - N47,2)</f>
        <v>0</v>
      </c>
      <c r="P47" s="63" t="s">
        <v>129</v>
      </c>
    </row>
    <row r="48" spans="1:16" x14ac:dyDescent="0.25">
      <c r="A48" s="7">
        <v>-1</v>
      </c>
      <c r="B48" s="62" t="s">
        <v>185</v>
      </c>
      <c r="C48" s="63" t="s">
        <v>1</v>
      </c>
      <c r="D48" s="63" t="s">
        <v>128</v>
      </c>
      <c r="E48" s="63" t="s">
        <v>80</v>
      </c>
      <c r="F48" s="63" t="s">
        <v>127</v>
      </c>
      <c r="G48" s="63">
        <v>1</v>
      </c>
      <c r="H48" s="63" t="s">
        <v>133</v>
      </c>
      <c r="I48" s="63">
        <f>INDEX(Matériel!A:Z, MATCH(E48, Matériel!A:A, 0), MATCH(H48, INDEX(Matériel!A:Z, MATCH(E48, Matériel!A:A, 0), 0), 0) + 1)</f>
        <v>0.5</v>
      </c>
      <c r="J48" s="63">
        <f t="shared" si="3"/>
        <v>2</v>
      </c>
      <c r="K48" s="63">
        <f>VLOOKUP(H48,Manutention!A:E, 3, FALSE) * J48</f>
        <v>4</v>
      </c>
      <c r="L48" s="63" t="s">
        <v>164</v>
      </c>
      <c r="M48" s="63">
        <f>ROUNDUP(K48/VLOOKUP(L48,Camion!A:D, 3, FALSE),0)</f>
        <v>1</v>
      </c>
      <c r="N48" s="63">
        <f>INT(K48/VLOOKUP(L48,Camion!A:D, 3, FALSE))</f>
        <v>0</v>
      </c>
      <c r="O48" s="64">
        <f>ROUND(K48/VLOOKUP(L48,Camion!A:D, 3, FALSE) - N48,2)</f>
        <v>0.44</v>
      </c>
      <c r="P48" s="63" t="s">
        <v>130</v>
      </c>
    </row>
    <row r="49" spans="1:16" x14ac:dyDescent="0.25">
      <c r="A49" s="7">
        <v>-1</v>
      </c>
      <c r="B49" s="62" t="s">
        <v>185</v>
      </c>
      <c r="C49" s="63" t="s">
        <v>1</v>
      </c>
      <c r="D49" s="63" t="s">
        <v>128</v>
      </c>
      <c r="E49" s="63" t="s">
        <v>81</v>
      </c>
      <c r="F49" s="63" t="s">
        <v>127</v>
      </c>
      <c r="G49" s="63">
        <v>18</v>
      </c>
      <c r="H49" s="63" t="s">
        <v>131</v>
      </c>
      <c r="I49" s="63">
        <f>INDEX(Matériel!A:Z, MATCH(E49, Matériel!A:A, 0), MATCH(H49, INDEX(Matériel!A:Z, MATCH(E49, Matériel!A:A, 0), 0), 0) + 1)</f>
        <v>100</v>
      </c>
      <c r="J49" s="63">
        <f t="shared" si="3"/>
        <v>1</v>
      </c>
      <c r="K49" s="63">
        <f>VLOOKUP(H49,Manutention!A:E, 3, FALSE) * J49</f>
        <v>1</v>
      </c>
      <c r="L49" s="63" t="s">
        <v>164</v>
      </c>
      <c r="M49" s="63">
        <f>ROUNDUP(K49/VLOOKUP(L49,Camion!A:D, 3, FALSE),0)</f>
        <v>1</v>
      </c>
      <c r="N49" s="63">
        <f>INT(K49/VLOOKUP(L49,Camion!A:D, 3, FALSE))</f>
        <v>0</v>
      </c>
      <c r="O49" s="64">
        <f>ROUND(K49/VLOOKUP(L49,Camion!A:D, 3, FALSE) - N49,2)</f>
        <v>0.11</v>
      </c>
      <c r="P49" s="63" t="s">
        <v>130</v>
      </c>
    </row>
    <row r="50" spans="1:16" x14ac:dyDescent="0.25">
      <c r="A50" s="7">
        <v>-1</v>
      </c>
      <c r="B50" s="5" t="s">
        <v>185</v>
      </c>
      <c r="C50" s="65"/>
      <c r="D50" s="65"/>
      <c r="E50" s="65" t="s">
        <v>187</v>
      </c>
      <c r="F50" s="65"/>
      <c r="G50" s="65"/>
      <c r="H50" s="65" t="s">
        <v>131</v>
      </c>
      <c r="I50" s="65"/>
      <c r="J50" s="65"/>
      <c r="K50" s="65">
        <f>SUMIFS(K:K, A:A, -1, B:B, "Z3 Z4", P:P, "Oui", D:D, "Production")</f>
        <v>19</v>
      </c>
      <c r="L50" s="65" t="s">
        <v>164</v>
      </c>
      <c r="M50" s="65">
        <f>ROUNDUP(K50/VLOOKUP(L50,Camion!A:D, 3, FALSE),0)</f>
        <v>3</v>
      </c>
      <c r="N50" s="65">
        <f>INT(K50/VLOOKUP(L50,Camion!A:D, 3, FALSE))</f>
        <v>2</v>
      </c>
      <c r="O50" s="66">
        <f>ROUND(K50/VLOOKUP(L50,Camion!A:D, 3, FALSE) - N50,2)</f>
        <v>0.11</v>
      </c>
      <c r="P50" s="65"/>
    </row>
    <row r="51" spans="1:16" x14ac:dyDescent="0.25">
      <c r="A51" s="7">
        <v>-1</v>
      </c>
      <c r="B51" s="5" t="s">
        <v>185</v>
      </c>
      <c r="C51" s="65"/>
      <c r="D51" s="65"/>
      <c r="E51" s="65" t="s">
        <v>188</v>
      </c>
      <c r="F51" s="65"/>
      <c r="G51" s="65"/>
      <c r="H51" s="65" t="s">
        <v>131</v>
      </c>
      <c r="I51" s="65"/>
      <c r="J51" s="65"/>
      <c r="K51" s="65">
        <f>SUMIFS(K:K, A:A, -1, B:B, "Z3 Z4", P:P, "Oui", D:D, "Terminaux")</f>
        <v>69</v>
      </c>
      <c r="L51" s="65" t="s">
        <v>168</v>
      </c>
      <c r="M51" s="65">
        <f>ROUNDUP(K51/VLOOKUP(L51,Camion!A:D, 3, FALSE),0)</f>
        <v>3</v>
      </c>
      <c r="N51" s="65">
        <f>INT(K51/VLOOKUP(L51,Camion!A:D, 3, FALSE))</f>
        <v>2</v>
      </c>
      <c r="O51" s="66">
        <f>ROUND(K51/VLOOKUP(L51,Camion!A:D, 3, FALSE) - N51,2)</f>
        <v>0.03</v>
      </c>
      <c r="P51" s="65"/>
    </row>
    <row r="52" spans="1:16" x14ac:dyDescent="0.25">
      <c r="A52" s="7">
        <v>0</v>
      </c>
      <c r="B52" s="62" t="s">
        <v>184</v>
      </c>
      <c r="C52" s="63" t="s">
        <v>1</v>
      </c>
      <c r="D52" s="63" t="s">
        <v>128</v>
      </c>
      <c r="E52" s="63" t="s">
        <v>71</v>
      </c>
      <c r="F52" s="63" t="s">
        <v>138</v>
      </c>
      <c r="G52" s="63">
        <v>667</v>
      </c>
      <c r="H52" s="63" t="s">
        <v>139</v>
      </c>
      <c r="I52" s="63">
        <f>INDEX(Matériel!A:Z, MATCH(E52, Matériel!A:A, 0), MATCH(H52, INDEX(Matériel!A:Z, MATCH(E52, Matériel!A:A, 0), 0), 0) + 1)</f>
        <v>150</v>
      </c>
      <c r="J52" s="63">
        <f t="shared" ref="J52:J59" si="4">ROUNDUP(G52 / I52, 0)</f>
        <v>5</v>
      </c>
      <c r="K52" s="63">
        <f>VLOOKUP(H52,Manutention!A:E, 3, FALSE) * J52</f>
        <v>15</v>
      </c>
      <c r="L52" s="63" t="s">
        <v>166</v>
      </c>
      <c r="M52" s="63">
        <f>ROUNDUP(K52/VLOOKUP(L52,Camion!A:D, 3, FALSE),0)</f>
        <v>1</v>
      </c>
      <c r="N52" s="63">
        <f>INT(K52/VLOOKUP(L52,Camion!A:D, 3, FALSE))</f>
        <v>0</v>
      </c>
      <c r="O52" s="64">
        <f>ROUND(K52/VLOOKUP(L52,Camion!A:D, 3, FALSE) - N52,2)</f>
        <v>0.88</v>
      </c>
      <c r="P52" s="63" t="s">
        <v>130</v>
      </c>
    </row>
    <row r="53" spans="1:16" x14ac:dyDescent="0.25">
      <c r="A53" s="7">
        <v>0</v>
      </c>
      <c r="B53" s="62" t="s">
        <v>184</v>
      </c>
      <c r="C53" s="63" t="s">
        <v>1</v>
      </c>
      <c r="D53" s="63" t="s">
        <v>135</v>
      </c>
      <c r="E53" s="63" t="s">
        <v>72</v>
      </c>
      <c r="F53" s="63" t="s">
        <v>138</v>
      </c>
      <c r="G53" s="63">
        <v>1957</v>
      </c>
      <c r="H53" s="63" t="s">
        <v>143</v>
      </c>
      <c r="I53" s="63">
        <f>INDEX(Matériel!A:Z, MATCH(E53, Matériel!A:A, 0), MATCH(H53, INDEX(Matériel!A:Z, MATCH(E53, Matériel!A:A, 0), 0), 0) + 1)</f>
        <v>1000</v>
      </c>
      <c r="J53" s="63">
        <f t="shared" si="4"/>
        <v>2</v>
      </c>
      <c r="K53" s="63">
        <f>VLOOKUP(H53,Manutention!A:E, 3, FALSE) * J53</f>
        <v>2</v>
      </c>
      <c r="L53" s="63" t="s">
        <v>164</v>
      </c>
      <c r="M53" s="63">
        <f>ROUNDUP(K53/VLOOKUP(L53,Camion!A:D, 3, FALSE),0)</f>
        <v>1</v>
      </c>
      <c r="N53" s="63">
        <f>INT(K53/VLOOKUP(L53,Camion!A:D, 3, FALSE))</f>
        <v>0</v>
      </c>
      <c r="O53" s="64">
        <f>ROUND(K53/VLOOKUP(L53,Camion!A:D, 3, FALSE) - N53,2)</f>
        <v>0.22</v>
      </c>
      <c r="P53" s="63" t="s">
        <v>130</v>
      </c>
    </row>
    <row r="54" spans="1:16" x14ac:dyDescent="0.25">
      <c r="A54" s="7">
        <v>0</v>
      </c>
      <c r="B54" s="62" t="s">
        <v>184</v>
      </c>
      <c r="C54" s="63" t="s">
        <v>1</v>
      </c>
      <c r="D54" s="63" t="s">
        <v>135</v>
      </c>
      <c r="E54" s="63" t="s">
        <v>75</v>
      </c>
      <c r="F54" s="63" t="s">
        <v>127</v>
      </c>
      <c r="G54" s="63">
        <v>138</v>
      </c>
      <c r="H54" s="63" t="s">
        <v>136</v>
      </c>
      <c r="I54" s="63">
        <f>INDEX(Matériel!A:Z, MATCH(E54, Matériel!A:A, 0), MATCH(H54, INDEX(Matériel!A:Z, MATCH(E54, Matériel!A:A, 0), 0), 0) + 1)</f>
        <v>60</v>
      </c>
      <c r="J54" s="63">
        <f t="shared" si="4"/>
        <v>3</v>
      </c>
      <c r="K54" s="63">
        <f>VLOOKUP(H54,Manutention!A:E, 3, FALSE) * J54</f>
        <v>3</v>
      </c>
      <c r="L54" s="63" t="s">
        <v>164</v>
      </c>
      <c r="M54" s="63">
        <f>ROUNDUP(K54/VLOOKUP(L54,Camion!A:D, 3, FALSE),0)</f>
        <v>1</v>
      </c>
      <c r="N54" s="63">
        <f>INT(K54/VLOOKUP(L54,Camion!A:D, 3, FALSE))</f>
        <v>0</v>
      </c>
      <c r="O54" s="64">
        <f>ROUND(K54/VLOOKUP(L54,Camion!A:D, 3, FALSE) - N54,2)</f>
        <v>0.33</v>
      </c>
      <c r="P54" s="63" t="s">
        <v>129</v>
      </c>
    </row>
    <row r="55" spans="1:16" x14ac:dyDescent="0.25">
      <c r="A55" s="7">
        <v>0</v>
      </c>
      <c r="B55" s="62" t="s">
        <v>184</v>
      </c>
      <c r="C55" s="63" t="s">
        <v>1</v>
      </c>
      <c r="D55" s="63" t="s">
        <v>128</v>
      </c>
      <c r="E55" s="63" t="s">
        <v>76</v>
      </c>
      <c r="F55" s="63" t="s">
        <v>127</v>
      </c>
      <c r="G55" s="63">
        <v>89</v>
      </c>
      <c r="H55" s="63" t="s">
        <v>131</v>
      </c>
      <c r="I55" s="63">
        <f>INDEX(Matériel!A:Z, MATCH(E55, Matériel!A:A, 0), MATCH(H55, INDEX(Matériel!A:Z, MATCH(E55, Matériel!A:A, 0), 0), 0) + 1)</f>
        <v>100</v>
      </c>
      <c r="J55" s="63">
        <f t="shared" si="4"/>
        <v>1</v>
      </c>
      <c r="K55" s="63">
        <f>VLOOKUP(H55,Manutention!A:E, 3, FALSE) * J55</f>
        <v>1</v>
      </c>
      <c r="L55" s="63" t="s">
        <v>164</v>
      </c>
      <c r="M55" s="63">
        <f>ROUNDUP(K55/VLOOKUP(L55,Camion!A:D, 3, FALSE),0)</f>
        <v>1</v>
      </c>
      <c r="N55" s="63">
        <f>INT(K55/VLOOKUP(L55,Camion!A:D, 3, FALSE))</f>
        <v>0</v>
      </c>
      <c r="O55" s="64">
        <f>ROUND(K55/VLOOKUP(L55,Camion!A:D, 3, FALSE) - N55,2)</f>
        <v>0.11</v>
      </c>
      <c r="P55" s="63" t="s">
        <v>129</v>
      </c>
    </row>
    <row r="56" spans="1:16" x14ac:dyDescent="0.25">
      <c r="A56" s="7">
        <v>0</v>
      </c>
      <c r="B56" s="62" t="s">
        <v>184</v>
      </c>
      <c r="C56" s="63" t="s">
        <v>1</v>
      </c>
      <c r="D56" s="63" t="s">
        <v>135</v>
      </c>
      <c r="E56" s="63" t="s">
        <v>77</v>
      </c>
      <c r="F56" s="63" t="s">
        <v>127</v>
      </c>
      <c r="G56" s="63">
        <v>455</v>
      </c>
      <c r="H56" s="63" t="s">
        <v>131</v>
      </c>
      <c r="I56" s="63">
        <f>INDEX(Matériel!A:Z, MATCH(E56, Matériel!A:A, 0), MATCH(H56, INDEX(Matériel!A:Z, MATCH(E56, Matériel!A:A, 0), 0), 0) + 1)</f>
        <v>20</v>
      </c>
      <c r="J56" s="63">
        <f t="shared" si="4"/>
        <v>23</v>
      </c>
      <c r="K56" s="63">
        <f>VLOOKUP(H56,Manutention!A:E, 3, FALSE) * J56</f>
        <v>23</v>
      </c>
      <c r="L56" s="63" t="s">
        <v>168</v>
      </c>
      <c r="M56" s="63">
        <f>ROUNDUP(K56/VLOOKUP(L56,Camion!A:D, 3, FALSE),0)</f>
        <v>1</v>
      </c>
      <c r="N56" s="63">
        <f>INT(K56/VLOOKUP(L56,Camion!A:D, 3, FALSE))</f>
        <v>0</v>
      </c>
      <c r="O56" s="64">
        <f>ROUND(K56/VLOOKUP(L56,Camion!A:D, 3, FALSE) - N56,2)</f>
        <v>0.68</v>
      </c>
      <c r="P56" s="63" t="s">
        <v>129</v>
      </c>
    </row>
    <row r="57" spans="1:16" x14ac:dyDescent="0.25">
      <c r="A57" s="7">
        <v>0</v>
      </c>
      <c r="B57" s="62" t="s">
        <v>184</v>
      </c>
      <c r="C57" s="63" t="s">
        <v>1</v>
      </c>
      <c r="D57" s="63" t="s">
        <v>135</v>
      </c>
      <c r="E57" s="63" t="s">
        <v>78</v>
      </c>
      <c r="F57" s="63" t="s">
        <v>127</v>
      </c>
      <c r="G57" s="63">
        <v>8</v>
      </c>
      <c r="H57" s="63" t="s">
        <v>133</v>
      </c>
      <c r="I57" s="63">
        <f>INDEX(Matériel!A:Z, MATCH(E57, Matériel!A:A, 0), MATCH(H57, INDEX(Matériel!A:Z, MATCH(E57, Matériel!A:A, 0), 0), 0) + 1)</f>
        <v>1</v>
      </c>
      <c r="J57" s="63">
        <f t="shared" si="4"/>
        <v>8</v>
      </c>
      <c r="K57" s="63">
        <f>VLOOKUP(H57,Manutention!A:E, 3, FALSE) * J57</f>
        <v>16</v>
      </c>
      <c r="L57" s="63" t="s">
        <v>166</v>
      </c>
      <c r="M57" s="63">
        <f>ROUNDUP(K57/VLOOKUP(L57,Camion!A:D, 3, FALSE),0)</f>
        <v>1</v>
      </c>
      <c r="N57" s="63">
        <f>INT(K57/VLOOKUP(L57,Camion!A:D, 3, FALSE))</f>
        <v>0</v>
      </c>
      <c r="O57" s="64">
        <f>ROUND(K57/VLOOKUP(L57,Camion!A:D, 3, FALSE) - N57,2)</f>
        <v>0.94</v>
      </c>
      <c r="P57" s="63" t="s">
        <v>129</v>
      </c>
    </row>
    <row r="58" spans="1:16" x14ac:dyDescent="0.25">
      <c r="A58" s="7">
        <v>0</v>
      </c>
      <c r="B58" s="62" t="s">
        <v>184</v>
      </c>
      <c r="C58" s="63" t="s">
        <v>1</v>
      </c>
      <c r="D58" s="63" t="s">
        <v>135</v>
      </c>
      <c r="E58" s="63" t="s">
        <v>79</v>
      </c>
      <c r="F58" s="63" t="s">
        <v>127</v>
      </c>
      <c r="G58" s="63">
        <v>6</v>
      </c>
      <c r="H58" s="63" t="s">
        <v>133</v>
      </c>
      <c r="I58" s="63">
        <f>INDEX(Matériel!A:Z, MATCH(E58, Matériel!A:A, 0), MATCH(H58, INDEX(Matériel!A:Z, MATCH(E58, Matériel!A:A, 0), 0), 0) + 1)</f>
        <v>1</v>
      </c>
      <c r="J58" s="63">
        <f t="shared" si="4"/>
        <v>6</v>
      </c>
      <c r="K58" s="63">
        <f>VLOOKUP(H58,Manutention!A:E, 3, FALSE) * J58</f>
        <v>12</v>
      </c>
      <c r="L58" s="63" t="s">
        <v>165</v>
      </c>
      <c r="M58" s="63">
        <f>ROUNDUP(K58/VLOOKUP(L58,Camion!A:D, 3, FALSE),0)</f>
        <v>1</v>
      </c>
      <c r="N58" s="63">
        <f>INT(K58/VLOOKUP(L58,Camion!A:D, 3, FALSE))</f>
        <v>1</v>
      </c>
      <c r="O58" s="64">
        <f>ROUND(K58/VLOOKUP(L58,Camion!A:D, 3, FALSE) - N58,2)</f>
        <v>0</v>
      </c>
      <c r="P58" s="63" t="s">
        <v>129</v>
      </c>
    </row>
    <row r="59" spans="1:16" x14ac:dyDescent="0.25">
      <c r="A59" s="7">
        <v>0</v>
      </c>
      <c r="B59" s="62" t="s">
        <v>184</v>
      </c>
      <c r="C59" s="63" t="s">
        <v>1</v>
      </c>
      <c r="D59" s="63" t="s">
        <v>128</v>
      </c>
      <c r="E59" s="63" t="s">
        <v>81</v>
      </c>
      <c r="F59" s="63" t="s">
        <v>127</v>
      </c>
      <c r="G59" s="63">
        <v>63.799999999999955</v>
      </c>
      <c r="H59" s="63" t="s">
        <v>131</v>
      </c>
      <c r="I59" s="63">
        <f>INDEX(Matériel!A:Z, MATCH(E59, Matériel!A:A, 0), MATCH(H59, INDEX(Matériel!A:Z, MATCH(E59, Matériel!A:A, 0), 0), 0) + 1)</f>
        <v>100</v>
      </c>
      <c r="J59" s="63">
        <f t="shared" si="4"/>
        <v>1</v>
      </c>
      <c r="K59" s="63">
        <f>VLOOKUP(H59,Manutention!A:E, 3, FALSE) * J59</f>
        <v>1</v>
      </c>
      <c r="L59" s="63" t="s">
        <v>164</v>
      </c>
      <c r="M59" s="63">
        <f>ROUNDUP(K59/VLOOKUP(L59,Camion!A:D, 3, FALSE),0)</f>
        <v>1</v>
      </c>
      <c r="N59" s="63">
        <f>INT(K59/VLOOKUP(L59,Camion!A:D, 3, FALSE))</f>
        <v>0</v>
      </c>
      <c r="O59" s="64">
        <f>ROUND(K59/VLOOKUP(L59,Camion!A:D, 3, FALSE) - N59,2)</f>
        <v>0.11</v>
      </c>
      <c r="P59" s="63" t="s">
        <v>130</v>
      </c>
    </row>
    <row r="60" spans="1:16" x14ac:dyDescent="0.25">
      <c r="A60" s="7">
        <v>0</v>
      </c>
      <c r="B60" s="5" t="s">
        <v>184</v>
      </c>
      <c r="C60" s="65"/>
      <c r="D60" s="65"/>
      <c r="E60" s="65" t="s">
        <v>187</v>
      </c>
      <c r="F60" s="65"/>
      <c r="G60" s="65"/>
      <c r="H60" s="65" t="s">
        <v>131</v>
      </c>
      <c r="I60" s="65"/>
      <c r="J60" s="65"/>
      <c r="K60" s="65">
        <f>SUMIFS(K:K, A:A, 0, B:B, "Z1 Z2", P:P, "Oui", D:D, "Production")</f>
        <v>1</v>
      </c>
      <c r="L60" s="65" t="s">
        <v>164</v>
      </c>
      <c r="M60" s="65">
        <f>ROUNDUP(K60/VLOOKUP(L60,Camion!A:D, 3, FALSE),0)</f>
        <v>1</v>
      </c>
      <c r="N60" s="65">
        <f>INT(K60/VLOOKUP(L60,Camion!A:D, 3, FALSE))</f>
        <v>0</v>
      </c>
      <c r="O60" s="66">
        <f>ROUND(K60/VLOOKUP(L60,Camion!A:D, 3, FALSE) - N60,2)</f>
        <v>0.11</v>
      </c>
      <c r="P60" s="65"/>
    </row>
    <row r="61" spans="1:16" x14ac:dyDescent="0.25">
      <c r="A61" s="7">
        <v>0</v>
      </c>
      <c r="B61" s="5" t="s">
        <v>184</v>
      </c>
      <c r="C61" s="65"/>
      <c r="D61" s="65"/>
      <c r="E61" s="65" t="s">
        <v>188</v>
      </c>
      <c r="F61" s="65"/>
      <c r="G61" s="65"/>
      <c r="H61" s="65" t="s">
        <v>131</v>
      </c>
      <c r="I61" s="65"/>
      <c r="J61" s="65"/>
      <c r="K61" s="65">
        <f>SUMIFS(K:K, A:A, 0, B:B, "Z1 Z2", P:P, "Oui", D:D, "Terminaux")</f>
        <v>54</v>
      </c>
      <c r="L61" s="65" t="s">
        <v>168</v>
      </c>
      <c r="M61" s="65">
        <f>ROUNDUP(K61/VLOOKUP(L61,Camion!A:D, 3, FALSE),0)</f>
        <v>2</v>
      </c>
      <c r="N61" s="65">
        <f>INT(K61/VLOOKUP(L61,Camion!A:D, 3, FALSE))</f>
        <v>1</v>
      </c>
      <c r="O61" s="66">
        <f>ROUND(K61/VLOOKUP(L61,Camion!A:D, 3, FALSE) - N61,2)</f>
        <v>0.59</v>
      </c>
      <c r="P61" s="65"/>
    </row>
    <row r="62" spans="1:16" x14ac:dyDescent="0.25">
      <c r="A62" s="7">
        <v>0</v>
      </c>
      <c r="B62" s="62" t="s">
        <v>185</v>
      </c>
      <c r="C62" s="63" t="s">
        <v>1</v>
      </c>
      <c r="D62" s="63" t="s">
        <v>128</v>
      </c>
      <c r="E62" s="63" t="s">
        <v>71</v>
      </c>
      <c r="F62" s="63" t="s">
        <v>138</v>
      </c>
      <c r="G62" s="63">
        <v>625</v>
      </c>
      <c r="H62" s="63" t="s">
        <v>139</v>
      </c>
      <c r="I62" s="63">
        <f>INDEX(Matériel!A:Z, MATCH(E62, Matériel!A:A, 0), MATCH(H62, INDEX(Matériel!A:Z, MATCH(E62, Matériel!A:A, 0), 0), 0) + 1)</f>
        <v>150</v>
      </c>
      <c r="J62" s="63">
        <f t="shared" ref="J62:J69" si="5">ROUNDUP(G62 / I62, 0)</f>
        <v>5</v>
      </c>
      <c r="K62" s="63">
        <f>VLOOKUP(H62,Manutention!A:E, 3, FALSE) * J62</f>
        <v>15</v>
      </c>
      <c r="L62" s="63" t="s">
        <v>166</v>
      </c>
      <c r="M62" s="63">
        <f>ROUNDUP(K62/VLOOKUP(L62,Camion!A:D, 3, FALSE),0)</f>
        <v>1</v>
      </c>
      <c r="N62" s="63">
        <f>INT(K62/VLOOKUP(L62,Camion!A:D, 3, FALSE))</f>
        <v>0</v>
      </c>
      <c r="O62" s="64">
        <f>ROUND(K62/VLOOKUP(L62,Camion!A:D, 3, FALSE) - N62,2)</f>
        <v>0.88</v>
      </c>
      <c r="P62" s="63" t="s">
        <v>130</v>
      </c>
    </row>
    <row r="63" spans="1:16" x14ac:dyDescent="0.25">
      <c r="A63" s="7">
        <v>0</v>
      </c>
      <c r="B63" s="62" t="s">
        <v>185</v>
      </c>
      <c r="C63" s="63" t="s">
        <v>1</v>
      </c>
      <c r="D63" s="63" t="s">
        <v>135</v>
      </c>
      <c r="E63" s="63" t="s">
        <v>72</v>
      </c>
      <c r="F63" s="63" t="s">
        <v>138</v>
      </c>
      <c r="G63" s="63">
        <v>1912</v>
      </c>
      <c r="H63" s="63" t="s">
        <v>143</v>
      </c>
      <c r="I63" s="63">
        <f>INDEX(Matériel!A:Z, MATCH(E63, Matériel!A:A, 0), MATCH(H63, INDEX(Matériel!A:Z, MATCH(E63, Matériel!A:A, 0), 0), 0) + 1)</f>
        <v>1000</v>
      </c>
      <c r="J63" s="63">
        <f t="shared" si="5"/>
        <v>2</v>
      </c>
      <c r="K63" s="63">
        <f>VLOOKUP(H63,Manutention!A:E, 3, FALSE) * J63</f>
        <v>2</v>
      </c>
      <c r="L63" s="63" t="s">
        <v>164</v>
      </c>
      <c r="M63" s="63">
        <f>ROUNDUP(K63/VLOOKUP(L63,Camion!A:D, 3, FALSE),0)</f>
        <v>1</v>
      </c>
      <c r="N63" s="63">
        <f>INT(K63/VLOOKUP(L63,Camion!A:D, 3, FALSE))</f>
        <v>0</v>
      </c>
      <c r="O63" s="64">
        <f>ROUND(K63/VLOOKUP(L63,Camion!A:D, 3, FALSE) - N63,2)</f>
        <v>0.22</v>
      </c>
      <c r="P63" s="63" t="s">
        <v>130</v>
      </c>
    </row>
    <row r="64" spans="1:16" x14ac:dyDescent="0.25">
      <c r="A64" s="7">
        <v>0</v>
      </c>
      <c r="B64" s="62" t="s">
        <v>185</v>
      </c>
      <c r="C64" s="63" t="s">
        <v>1</v>
      </c>
      <c r="D64" s="63" t="s">
        <v>135</v>
      </c>
      <c r="E64" s="63" t="s">
        <v>75</v>
      </c>
      <c r="F64" s="63" t="s">
        <v>127</v>
      </c>
      <c r="G64" s="63">
        <v>98</v>
      </c>
      <c r="H64" s="63" t="s">
        <v>136</v>
      </c>
      <c r="I64" s="63">
        <f>INDEX(Matériel!A:Z, MATCH(E64, Matériel!A:A, 0), MATCH(H64, INDEX(Matériel!A:Z, MATCH(E64, Matériel!A:A, 0), 0), 0) + 1)</f>
        <v>60</v>
      </c>
      <c r="J64" s="63">
        <f t="shared" si="5"/>
        <v>2</v>
      </c>
      <c r="K64" s="63">
        <f>VLOOKUP(H64,Manutention!A:E, 3, FALSE) * J64</f>
        <v>2</v>
      </c>
      <c r="L64" s="63" t="s">
        <v>164</v>
      </c>
      <c r="M64" s="63">
        <f>ROUNDUP(K64/VLOOKUP(L64,Camion!A:D, 3, FALSE),0)</f>
        <v>1</v>
      </c>
      <c r="N64" s="63">
        <f>INT(K64/VLOOKUP(L64,Camion!A:D, 3, FALSE))</f>
        <v>0</v>
      </c>
      <c r="O64" s="64">
        <f>ROUND(K64/VLOOKUP(L64,Camion!A:D, 3, FALSE) - N64,2)</f>
        <v>0.22</v>
      </c>
      <c r="P64" s="63" t="s">
        <v>129</v>
      </c>
    </row>
    <row r="65" spans="1:16" x14ac:dyDescent="0.25">
      <c r="A65" s="7">
        <v>0</v>
      </c>
      <c r="B65" s="62" t="s">
        <v>185</v>
      </c>
      <c r="C65" s="63" t="s">
        <v>1</v>
      </c>
      <c r="D65" s="63" t="s">
        <v>128</v>
      </c>
      <c r="E65" s="63" t="s">
        <v>76</v>
      </c>
      <c r="F65" s="63" t="s">
        <v>127</v>
      </c>
      <c r="G65" s="63">
        <v>49</v>
      </c>
      <c r="H65" s="63" t="s">
        <v>131</v>
      </c>
      <c r="I65" s="63">
        <f>INDEX(Matériel!A:Z, MATCH(E65, Matériel!A:A, 0), MATCH(H65, INDEX(Matériel!A:Z, MATCH(E65, Matériel!A:A, 0), 0), 0) + 1)</f>
        <v>100</v>
      </c>
      <c r="J65" s="63">
        <f t="shared" si="5"/>
        <v>1</v>
      </c>
      <c r="K65" s="63">
        <f>VLOOKUP(H65,Manutention!A:E, 3, FALSE) * J65</f>
        <v>1</v>
      </c>
      <c r="L65" s="63" t="s">
        <v>164</v>
      </c>
      <c r="M65" s="63">
        <f>ROUNDUP(K65/VLOOKUP(L65,Camion!A:D, 3, FALSE),0)</f>
        <v>1</v>
      </c>
      <c r="N65" s="63">
        <f>INT(K65/VLOOKUP(L65,Camion!A:D, 3, FALSE))</f>
        <v>0</v>
      </c>
      <c r="O65" s="64">
        <f>ROUND(K65/VLOOKUP(L65,Camion!A:D, 3, FALSE) - N65,2)</f>
        <v>0.11</v>
      </c>
      <c r="P65" s="63" t="s">
        <v>129</v>
      </c>
    </row>
    <row r="66" spans="1:16" x14ac:dyDescent="0.25">
      <c r="A66" s="7">
        <v>0</v>
      </c>
      <c r="B66" s="62" t="s">
        <v>185</v>
      </c>
      <c r="C66" s="63" t="s">
        <v>1</v>
      </c>
      <c r="D66" s="63" t="s">
        <v>135</v>
      </c>
      <c r="E66" s="63" t="s">
        <v>77</v>
      </c>
      <c r="F66" s="63" t="s">
        <v>127</v>
      </c>
      <c r="G66" s="63">
        <v>409</v>
      </c>
      <c r="H66" s="63" t="s">
        <v>131</v>
      </c>
      <c r="I66" s="63">
        <f>INDEX(Matériel!A:Z, MATCH(E66, Matériel!A:A, 0), MATCH(H66, INDEX(Matériel!A:Z, MATCH(E66, Matériel!A:A, 0), 0), 0) + 1)</f>
        <v>20</v>
      </c>
      <c r="J66" s="63">
        <f t="shared" si="5"/>
        <v>21</v>
      </c>
      <c r="K66" s="63">
        <f>VLOOKUP(H66,Manutention!A:E, 3, FALSE) * J66</f>
        <v>21</v>
      </c>
      <c r="L66" s="63" t="s">
        <v>168</v>
      </c>
      <c r="M66" s="63">
        <f>ROUNDUP(K66/VLOOKUP(L66,Camion!A:D, 3, FALSE),0)</f>
        <v>1</v>
      </c>
      <c r="N66" s="63">
        <f>INT(K66/VLOOKUP(L66,Camion!A:D, 3, FALSE))</f>
        <v>0</v>
      </c>
      <c r="O66" s="64">
        <f>ROUND(K66/VLOOKUP(L66,Camion!A:D, 3, FALSE) - N66,2)</f>
        <v>0.62</v>
      </c>
      <c r="P66" s="63" t="s">
        <v>129</v>
      </c>
    </row>
    <row r="67" spans="1:16" x14ac:dyDescent="0.25">
      <c r="A67" s="7">
        <v>0</v>
      </c>
      <c r="B67" s="62" t="s">
        <v>185</v>
      </c>
      <c r="C67" s="63" t="s">
        <v>1</v>
      </c>
      <c r="D67" s="63" t="s">
        <v>135</v>
      </c>
      <c r="E67" s="63" t="s">
        <v>78</v>
      </c>
      <c r="F67" s="63" t="s">
        <v>127</v>
      </c>
      <c r="G67" s="63">
        <v>8</v>
      </c>
      <c r="H67" s="63" t="s">
        <v>133</v>
      </c>
      <c r="I67" s="63">
        <f>INDEX(Matériel!A:Z, MATCH(E67, Matériel!A:A, 0), MATCH(H67, INDEX(Matériel!A:Z, MATCH(E67, Matériel!A:A, 0), 0), 0) + 1)</f>
        <v>1</v>
      </c>
      <c r="J67" s="63">
        <f t="shared" si="5"/>
        <v>8</v>
      </c>
      <c r="K67" s="63">
        <f>VLOOKUP(H67,Manutention!A:E, 3, FALSE) * J67</f>
        <v>16</v>
      </c>
      <c r="L67" s="63" t="s">
        <v>166</v>
      </c>
      <c r="M67" s="63">
        <f>ROUNDUP(K67/VLOOKUP(L67,Camion!A:D, 3, FALSE),0)</f>
        <v>1</v>
      </c>
      <c r="N67" s="63">
        <f>INT(K67/VLOOKUP(L67,Camion!A:D, 3, FALSE))</f>
        <v>0</v>
      </c>
      <c r="O67" s="64">
        <f>ROUND(K67/VLOOKUP(L67,Camion!A:D, 3, FALSE) - N67,2)</f>
        <v>0.94</v>
      </c>
      <c r="P67" s="63" t="s">
        <v>129</v>
      </c>
    </row>
    <row r="68" spans="1:16" x14ac:dyDescent="0.25">
      <c r="A68" s="7">
        <v>0</v>
      </c>
      <c r="B68" s="62" t="s">
        <v>185</v>
      </c>
      <c r="C68" s="63" t="s">
        <v>1</v>
      </c>
      <c r="D68" s="63" t="s">
        <v>135</v>
      </c>
      <c r="E68" s="63" t="s">
        <v>79</v>
      </c>
      <c r="F68" s="63" t="s">
        <v>127</v>
      </c>
      <c r="G68" s="63">
        <v>6</v>
      </c>
      <c r="H68" s="63" t="s">
        <v>133</v>
      </c>
      <c r="I68" s="63">
        <f>INDEX(Matériel!A:Z, MATCH(E68, Matériel!A:A, 0), MATCH(H68, INDEX(Matériel!A:Z, MATCH(E68, Matériel!A:A, 0), 0), 0) + 1)</f>
        <v>1</v>
      </c>
      <c r="J68" s="63">
        <f t="shared" si="5"/>
        <v>6</v>
      </c>
      <c r="K68" s="63">
        <f>VLOOKUP(H68,Manutention!A:E, 3, FALSE) * J68</f>
        <v>12</v>
      </c>
      <c r="L68" s="63" t="s">
        <v>165</v>
      </c>
      <c r="M68" s="63">
        <f>ROUNDUP(K68/VLOOKUP(L68,Camion!A:D, 3, FALSE),0)</f>
        <v>1</v>
      </c>
      <c r="N68" s="63">
        <f>INT(K68/VLOOKUP(L68,Camion!A:D, 3, FALSE))</f>
        <v>1</v>
      </c>
      <c r="O68" s="64">
        <f>ROUND(K68/VLOOKUP(L68,Camion!A:D, 3, FALSE) - N68,2)</f>
        <v>0</v>
      </c>
      <c r="P68" s="63" t="s">
        <v>129</v>
      </c>
    </row>
    <row r="69" spans="1:16" x14ac:dyDescent="0.25">
      <c r="A69" s="7">
        <v>0</v>
      </c>
      <c r="B69" s="62" t="s">
        <v>185</v>
      </c>
      <c r="C69" s="63" t="s">
        <v>1</v>
      </c>
      <c r="D69" s="63" t="s">
        <v>128</v>
      </c>
      <c r="E69" s="63" t="s">
        <v>81</v>
      </c>
      <c r="F69" s="63" t="s">
        <v>127</v>
      </c>
      <c r="G69" s="63">
        <v>18</v>
      </c>
      <c r="H69" s="63" t="s">
        <v>131</v>
      </c>
      <c r="I69" s="63">
        <f>INDEX(Matériel!A:Z, MATCH(E69, Matériel!A:A, 0), MATCH(H69, INDEX(Matériel!A:Z, MATCH(E69, Matériel!A:A, 0), 0), 0) + 1)</f>
        <v>100</v>
      </c>
      <c r="J69" s="63">
        <f t="shared" si="5"/>
        <v>1</v>
      </c>
      <c r="K69" s="63">
        <f>VLOOKUP(H69,Manutention!A:E, 3, FALSE) * J69</f>
        <v>1</v>
      </c>
      <c r="L69" s="63" t="s">
        <v>164</v>
      </c>
      <c r="M69" s="63">
        <f>ROUNDUP(K69/VLOOKUP(L69,Camion!A:D, 3, FALSE),0)</f>
        <v>1</v>
      </c>
      <c r="N69" s="63">
        <f>INT(K69/VLOOKUP(L69,Camion!A:D, 3, FALSE))</f>
        <v>0</v>
      </c>
      <c r="O69" s="64">
        <f>ROUND(K69/VLOOKUP(L69,Camion!A:D, 3, FALSE) - N69,2)</f>
        <v>0.11</v>
      </c>
      <c r="P69" s="63" t="s">
        <v>130</v>
      </c>
    </row>
    <row r="70" spans="1:16" x14ac:dyDescent="0.25">
      <c r="A70" s="7">
        <v>0</v>
      </c>
      <c r="B70" s="5" t="s">
        <v>185</v>
      </c>
      <c r="C70" s="65"/>
      <c r="D70" s="65"/>
      <c r="E70" s="65" t="s">
        <v>187</v>
      </c>
      <c r="F70" s="65"/>
      <c r="G70" s="65"/>
      <c r="H70" s="65" t="s">
        <v>131</v>
      </c>
      <c r="I70" s="65"/>
      <c r="J70" s="65"/>
      <c r="K70" s="65">
        <f>SUMIFS(K:K, A:A, 0, B:B, "Z3 Z4", P:P, "Oui", D:D, "Production")</f>
        <v>1</v>
      </c>
      <c r="L70" s="65" t="s">
        <v>164</v>
      </c>
      <c r="M70" s="65">
        <f>ROUNDUP(K70/VLOOKUP(L70,Camion!A:D, 3, FALSE),0)</f>
        <v>1</v>
      </c>
      <c r="N70" s="65">
        <f>INT(K70/VLOOKUP(L70,Camion!A:D, 3, FALSE))</f>
        <v>0</v>
      </c>
      <c r="O70" s="66">
        <f>ROUND(K70/VLOOKUP(L70,Camion!A:D, 3, FALSE) - N70,2)</f>
        <v>0.11</v>
      </c>
      <c r="P70" s="65"/>
    </row>
    <row r="71" spans="1:16" x14ac:dyDescent="0.25">
      <c r="A71" s="7">
        <v>0</v>
      </c>
      <c r="B71" s="5" t="s">
        <v>185</v>
      </c>
      <c r="C71" s="65"/>
      <c r="D71" s="65"/>
      <c r="E71" s="65" t="s">
        <v>188</v>
      </c>
      <c r="F71" s="65"/>
      <c r="G71" s="65"/>
      <c r="H71" s="65" t="s">
        <v>131</v>
      </c>
      <c r="I71" s="65"/>
      <c r="J71" s="65"/>
      <c r="K71" s="65">
        <f>SUMIFS(K:K, A:A, 0, B:B, "Z3 Z4", P:P, "Oui", D:D, "Terminaux")</f>
        <v>51</v>
      </c>
      <c r="L71" s="65" t="s">
        <v>168</v>
      </c>
      <c r="M71" s="65">
        <f>ROUNDUP(K71/VLOOKUP(L71,Camion!A:D, 3, FALSE),0)</f>
        <v>2</v>
      </c>
      <c r="N71" s="65">
        <f>INT(K71/VLOOKUP(L71,Camion!A:D, 3, FALSE))</f>
        <v>1</v>
      </c>
      <c r="O71" s="66">
        <f>ROUND(K71/VLOOKUP(L71,Camion!A:D, 3, FALSE) - N71,2)</f>
        <v>0.5</v>
      </c>
      <c r="P71" s="65"/>
    </row>
    <row r="72" spans="1:16" x14ac:dyDescent="0.25">
      <c r="A72" s="7">
        <v>1</v>
      </c>
      <c r="B72" s="62" t="s">
        <v>184</v>
      </c>
      <c r="C72" s="63" t="s">
        <v>1</v>
      </c>
      <c r="D72" s="63" t="s">
        <v>128</v>
      </c>
      <c r="E72" s="63" t="s">
        <v>71</v>
      </c>
      <c r="F72" s="63" t="s">
        <v>138</v>
      </c>
      <c r="G72" s="63">
        <v>625</v>
      </c>
      <c r="H72" s="63" t="s">
        <v>139</v>
      </c>
      <c r="I72" s="63">
        <f>INDEX(Matériel!A:Z, MATCH(E72, Matériel!A:A, 0), MATCH(H72, INDEX(Matériel!A:Z, MATCH(E72, Matériel!A:A, 0), 0), 0) + 1)</f>
        <v>150</v>
      </c>
      <c r="J72" s="63">
        <f t="shared" ref="J72:J79" si="6">ROUNDUP(G72 / I72, 0)</f>
        <v>5</v>
      </c>
      <c r="K72" s="63">
        <f>VLOOKUP(H72,Manutention!A:E, 3, FALSE) * J72</f>
        <v>15</v>
      </c>
      <c r="L72" s="63" t="s">
        <v>166</v>
      </c>
      <c r="M72" s="63">
        <f>ROUNDUP(K72/VLOOKUP(L72,Camion!A:D, 3, FALSE),0)</f>
        <v>1</v>
      </c>
      <c r="N72" s="63">
        <f>INT(K72/VLOOKUP(L72,Camion!A:D, 3, FALSE))</f>
        <v>0</v>
      </c>
      <c r="O72" s="64">
        <f>ROUND(K72/VLOOKUP(L72,Camion!A:D, 3, FALSE) - N72,2)</f>
        <v>0.88</v>
      </c>
      <c r="P72" s="63" t="s">
        <v>129</v>
      </c>
    </row>
    <row r="73" spans="1:16" x14ac:dyDescent="0.25">
      <c r="A73" s="7">
        <v>1</v>
      </c>
      <c r="B73" s="62" t="s">
        <v>184</v>
      </c>
      <c r="C73" s="63" t="s">
        <v>1</v>
      </c>
      <c r="D73" s="63" t="s">
        <v>135</v>
      </c>
      <c r="E73" s="63" t="s">
        <v>72</v>
      </c>
      <c r="F73" s="63" t="s">
        <v>138</v>
      </c>
      <c r="G73" s="63">
        <v>1912</v>
      </c>
      <c r="H73" s="63" t="s">
        <v>143</v>
      </c>
      <c r="I73" s="63">
        <f>INDEX(Matériel!A:Z, MATCH(E73, Matériel!A:A, 0), MATCH(H73, INDEX(Matériel!A:Z, MATCH(E73, Matériel!A:A, 0), 0), 0) + 1)</f>
        <v>1000</v>
      </c>
      <c r="J73" s="63">
        <f t="shared" si="6"/>
        <v>2</v>
      </c>
      <c r="K73" s="63">
        <f>VLOOKUP(H73,Manutention!A:E, 3, FALSE) * J73</f>
        <v>2</v>
      </c>
      <c r="L73" s="63" t="s">
        <v>164</v>
      </c>
      <c r="M73" s="63">
        <f>ROUNDUP(K73/VLOOKUP(L73,Camion!A:D, 3, FALSE),0)</f>
        <v>1</v>
      </c>
      <c r="N73" s="63">
        <f>INT(K73/VLOOKUP(L73,Camion!A:D, 3, FALSE))</f>
        <v>0</v>
      </c>
      <c r="O73" s="64">
        <f>ROUND(K73/VLOOKUP(L73,Camion!A:D, 3, FALSE) - N73,2)</f>
        <v>0.22</v>
      </c>
      <c r="P73" s="63" t="s">
        <v>130</v>
      </c>
    </row>
    <row r="74" spans="1:16" x14ac:dyDescent="0.25">
      <c r="A74" s="7">
        <v>1</v>
      </c>
      <c r="B74" s="62" t="s">
        <v>184</v>
      </c>
      <c r="C74" s="63" t="s">
        <v>1</v>
      </c>
      <c r="D74" s="63" t="s">
        <v>135</v>
      </c>
      <c r="E74" s="63" t="s">
        <v>75</v>
      </c>
      <c r="F74" s="63" t="s">
        <v>127</v>
      </c>
      <c r="G74" s="63">
        <v>98</v>
      </c>
      <c r="H74" s="63" t="s">
        <v>136</v>
      </c>
      <c r="I74" s="63">
        <f>INDEX(Matériel!A:Z, MATCH(E74, Matériel!A:A, 0), MATCH(H74, INDEX(Matériel!A:Z, MATCH(E74, Matériel!A:A, 0), 0), 0) + 1)</f>
        <v>60</v>
      </c>
      <c r="J74" s="63">
        <f t="shared" si="6"/>
        <v>2</v>
      </c>
      <c r="K74" s="63">
        <f>VLOOKUP(H74,Manutention!A:E, 3, FALSE) * J74</f>
        <v>2</v>
      </c>
      <c r="L74" s="63" t="s">
        <v>164</v>
      </c>
      <c r="M74" s="63">
        <f>ROUNDUP(K74/VLOOKUP(L74,Camion!A:D, 3, FALSE),0)</f>
        <v>1</v>
      </c>
      <c r="N74" s="63">
        <f>INT(K74/VLOOKUP(L74,Camion!A:D, 3, FALSE))</f>
        <v>0</v>
      </c>
      <c r="O74" s="64">
        <f>ROUND(K74/VLOOKUP(L74,Camion!A:D, 3, FALSE) - N74,2)</f>
        <v>0.22</v>
      </c>
      <c r="P74" s="63" t="s">
        <v>129</v>
      </c>
    </row>
    <row r="75" spans="1:16" x14ac:dyDescent="0.25">
      <c r="A75" s="7">
        <v>1</v>
      </c>
      <c r="B75" s="62" t="s">
        <v>184</v>
      </c>
      <c r="C75" s="63" t="s">
        <v>1</v>
      </c>
      <c r="D75" s="63" t="s">
        <v>128</v>
      </c>
      <c r="E75" s="63" t="s">
        <v>76</v>
      </c>
      <c r="F75" s="63" t="s">
        <v>127</v>
      </c>
      <c r="G75" s="63">
        <v>49</v>
      </c>
      <c r="H75" s="63" t="s">
        <v>131</v>
      </c>
      <c r="I75" s="63">
        <f>INDEX(Matériel!A:Z, MATCH(E75, Matériel!A:A, 0), MATCH(H75, INDEX(Matériel!A:Z, MATCH(E75, Matériel!A:A, 0), 0), 0) + 1)</f>
        <v>100</v>
      </c>
      <c r="J75" s="63">
        <f t="shared" si="6"/>
        <v>1</v>
      </c>
      <c r="K75" s="63">
        <f>VLOOKUP(H75,Manutention!A:E, 3, FALSE) * J75</f>
        <v>1</v>
      </c>
      <c r="L75" s="63" t="s">
        <v>164</v>
      </c>
      <c r="M75" s="63">
        <f>ROUNDUP(K75/VLOOKUP(L75,Camion!A:D, 3, FALSE),0)</f>
        <v>1</v>
      </c>
      <c r="N75" s="63">
        <f>INT(K75/VLOOKUP(L75,Camion!A:D, 3, FALSE))</f>
        <v>0</v>
      </c>
      <c r="O75" s="64">
        <f>ROUND(K75/VLOOKUP(L75,Camion!A:D, 3, FALSE) - N75,2)</f>
        <v>0.11</v>
      </c>
      <c r="P75" s="63" t="s">
        <v>129</v>
      </c>
    </row>
    <row r="76" spans="1:16" x14ac:dyDescent="0.25">
      <c r="A76" s="7">
        <v>1</v>
      </c>
      <c r="B76" s="62" t="s">
        <v>184</v>
      </c>
      <c r="C76" s="63" t="s">
        <v>1</v>
      </c>
      <c r="D76" s="63" t="s">
        <v>135</v>
      </c>
      <c r="E76" s="63" t="s">
        <v>77</v>
      </c>
      <c r="F76" s="63" t="s">
        <v>127</v>
      </c>
      <c r="G76" s="63">
        <v>409</v>
      </c>
      <c r="H76" s="63" t="s">
        <v>131</v>
      </c>
      <c r="I76" s="63">
        <f>INDEX(Matériel!A:Z, MATCH(E76, Matériel!A:A, 0), MATCH(H76, INDEX(Matériel!A:Z, MATCH(E76, Matériel!A:A, 0), 0), 0) + 1)</f>
        <v>20</v>
      </c>
      <c r="J76" s="63">
        <f t="shared" si="6"/>
        <v>21</v>
      </c>
      <c r="K76" s="63">
        <f>VLOOKUP(H76,Manutention!A:E, 3, FALSE) * J76</f>
        <v>21</v>
      </c>
      <c r="L76" s="63" t="s">
        <v>168</v>
      </c>
      <c r="M76" s="63">
        <f>ROUNDUP(K76/VLOOKUP(L76,Camion!A:D, 3, FALSE),0)</f>
        <v>1</v>
      </c>
      <c r="N76" s="63">
        <f>INT(K76/VLOOKUP(L76,Camion!A:D, 3, FALSE))</f>
        <v>0</v>
      </c>
      <c r="O76" s="64">
        <f>ROUND(K76/VLOOKUP(L76,Camion!A:D, 3, FALSE) - N76,2)</f>
        <v>0.62</v>
      </c>
      <c r="P76" s="63" t="s">
        <v>129</v>
      </c>
    </row>
    <row r="77" spans="1:16" x14ac:dyDescent="0.25">
      <c r="A77" s="7">
        <v>1</v>
      </c>
      <c r="B77" s="62" t="s">
        <v>184</v>
      </c>
      <c r="C77" s="63" t="s">
        <v>1</v>
      </c>
      <c r="D77" s="63" t="s">
        <v>135</v>
      </c>
      <c r="E77" s="63" t="s">
        <v>78</v>
      </c>
      <c r="F77" s="63" t="s">
        <v>127</v>
      </c>
      <c r="G77" s="63">
        <v>8</v>
      </c>
      <c r="H77" s="63" t="s">
        <v>133</v>
      </c>
      <c r="I77" s="63">
        <f>INDEX(Matériel!A:Z, MATCH(E77, Matériel!A:A, 0), MATCH(H77, INDEX(Matériel!A:Z, MATCH(E77, Matériel!A:A, 0), 0), 0) + 1)</f>
        <v>1</v>
      </c>
      <c r="J77" s="63">
        <f t="shared" si="6"/>
        <v>8</v>
      </c>
      <c r="K77" s="63">
        <f>VLOOKUP(H77,Manutention!A:E, 3, FALSE) * J77</f>
        <v>16</v>
      </c>
      <c r="L77" s="63" t="s">
        <v>166</v>
      </c>
      <c r="M77" s="63">
        <f>ROUNDUP(K77/VLOOKUP(L77,Camion!A:D, 3, FALSE),0)</f>
        <v>1</v>
      </c>
      <c r="N77" s="63">
        <f>INT(K77/VLOOKUP(L77,Camion!A:D, 3, FALSE))</f>
        <v>0</v>
      </c>
      <c r="O77" s="64">
        <f>ROUND(K77/VLOOKUP(L77,Camion!A:D, 3, FALSE) - N77,2)</f>
        <v>0.94</v>
      </c>
      <c r="P77" s="63" t="s">
        <v>129</v>
      </c>
    </row>
    <row r="78" spans="1:16" x14ac:dyDescent="0.25">
      <c r="A78" s="7">
        <v>1</v>
      </c>
      <c r="B78" s="62" t="s">
        <v>184</v>
      </c>
      <c r="C78" s="63" t="s">
        <v>1</v>
      </c>
      <c r="D78" s="63" t="s">
        <v>135</v>
      </c>
      <c r="E78" s="63" t="s">
        <v>79</v>
      </c>
      <c r="F78" s="63" t="s">
        <v>127</v>
      </c>
      <c r="G78" s="63">
        <v>6</v>
      </c>
      <c r="H78" s="63" t="s">
        <v>133</v>
      </c>
      <c r="I78" s="63">
        <f>INDEX(Matériel!A:Z, MATCH(E78, Matériel!A:A, 0), MATCH(H78, INDEX(Matériel!A:Z, MATCH(E78, Matériel!A:A, 0), 0), 0) + 1)</f>
        <v>1</v>
      </c>
      <c r="J78" s="63">
        <f t="shared" si="6"/>
        <v>6</v>
      </c>
      <c r="K78" s="63">
        <f>VLOOKUP(H78,Manutention!A:E, 3, FALSE) * J78</f>
        <v>12</v>
      </c>
      <c r="L78" s="63" t="s">
        <v>165</v>
      </c>
      <c r="M78" s="63">
        <f>ROUNDUP(K78/VLOOKUP(L78,Camion!A:D, 3, FALSE),0)</f>
        <v>1</v>
      </c>
      <c r="N78" s="63">
        <f>INT(K78/VLOOKUP(L78,Camion!A:D, 3, FALSE))</f>
        <v>1</v>
      </c>
      <c r="O78" s="64">
        <f>ROUND(K78/VLOOKUP(L78,Camion!A:D, 3, FALSE) - N78,2)</f>
        <v>0</v>
      </c>
      <c r="P78" s="63" t="s">
        <v>129</v>
      </c>
    </row>
    <row r="79" spans="1:16" x14ac:dyDescent="0.25">
      <c r="A79" s="7">
        <v>1</v>
      </c>
      <c r="B79" s="62" t="s">
        <v>184</v>
      </c>
      <c r="C79" s="63" t="s">
        <v>1</v>
      </c>
      <c r="D79" s="63" t="s">
        <v>128</v>
      </c>
      <c r="E79" s="63" t="s">
        <v>81</v>
      </c>
      <c r="F79" s="63" t="s">
        <v>127</v>
      </c>
      <c r="G79" s="63">
        <v>18</v>
      </c>
      <c r="H79" s="63" t="s">
        <v>131</v>
      </c>
      <c r="I79" s="63">
        <f>INDEX(Matériel!A:Z, MATCH(E79, Matériel!A:A, 0), MATCH(H79, INDEX(Matériel!A:Z, MATCH(E79, Matériel!A:A, 0), 0), 0) + 1)</f>
        <v>100</v>
      </c>
      <c r="J79" s="63">
        <f t="shared" si="6"/>
        <v>1</v>
      </c>
      <c r="K79" s="63">
        <f>VLOOKUP(H79,Manutention!A:E, 3, FALSE) * J79</f>
        <v>1</v>
      </c>
      <c r="L79" s="63" t="s">
        <v>164</v>
      </c>
      <c r="M79" s="63">
        <f>ROUNDUP(K79/VLOOKUP(L79,Camion!A:D, 3, FALSE),0)</f>
        <v>1</v>
      </c>
      <c r="N79" s="63">
        <f>INT(K79/VLOOKUP(L79,Camion!A:D, 3, FALSE))</f>
        <v>0</v>
      </c>
      <c r="O79" s="64">
        <f>ROUND(K79/VLOOKUP(L79,Camion!A:D, 3, FALSE) - N79,2)</f>
        <v>0.11</v>
      </c>
      <c r="P79" s="63" t="s">
        <v>130</v>
      </c>
    </row>
    <row r="80" spans="1:16" x14ac:dyDescent="0.25">
      <c r="A80" s="7">
        <v>1</v>
      </c>
      <c r="B80" s="5" t="s">
        <v>184</v>
      </c>
      <c r="C80" s="65"/>
      <c r="D80" s="65"/>
      <c r="E80" s="65" t="s">
        <v>187</v>
      </c>
      <c r="F80" s="65"/>
      <c r="G80" s="65"/>
      <c r="H80" s="65" t="s">
        <v>131</v>
      </c>
      <c r="I80" s="65"/>
      <c r="J80" s="65"/>
      <c r="K80" s="65">
        <f>SUMIFS(K:K, A:A, 1, B:B, "Z1 Z2", P:P, "Oui", D:D, "Production")</f>
        <v>16</v>
      </c>
      <c r="L80" s="65" t="s">
        <v>164</v>
      </c>
      <c r="M80" s="65">
        <f>ROUNDUP(K80/VLOOKUP(L80,Camion!A:D, 3, FALSE),0)</f>
        <v>2</v>
      </c>
      <c r="N80" s="65">
        <f>INT(K80/VLOOKUP(L80,Camion!A:D, 3, FALSE))</f>
        <v>1</v>
      </c>
      <c r="O80" s="66">
        <f>ROUND(K80/VLOOKUP(L80,Camion!A:D, 3, FALSE) - N80,2)</f>
        <v>0.78</v>
      </c>
      <c r="P80" s="65"/>
    </row>
    <row r="81" spans="1:16" x14ac:dyDescent="0.25">
      <c r="A81" s="7">
        <v>1</v>
      </c>
      <c r="B81" s="5" t="s">
        <v>184</v>
      </c>
      <c r="C81" s="65"/>
      <c r="D81" s="65"/>
      <c r="E81" s="65" t="s">
        <v>188</v>
      </c>
      <c r="F81" s="65"/>
      <c r="G81" s="65"/>
      <c r="H81" s="65" t="s">
        <v>131</v>
      </c>
      <c r="I81" s="65"/>
      <c r="J81" s="65"/>
      <c r="K81" s="65">
        <f>SUMIFS(K:K, A:A, 1, B:B, "Z1 Z2", P:P, "Oui", D:D, "Terminaux")</f>
        <v>51</v>
      </c>
      <c r="L81" s="65" t="s">
        <v>168</v>
      </c>
      <c r="M81" s="65">
        <f>ROUNDUP(K81/VLOOKUP(L81,Camion!A:D, 3, FALSE),0)</f>
        <v>2</v>
      </c>
      <c r="N81" s="65">
        <f>INT(K81/VLOOKUP(L81,Camion!A:D, 3, FALSE))</f>
        <v>1</v>
      </c>
      <c r="O81" s="66">
        <f>ROUND(K81/VLOOKUP(L81,Camion!A:D, 3, FALSE) - N81,2)</f>
        <v>0.5</v>
      </c>
      <c r="P81" s="65"/>
    </row>
    <row r="82" spans="1:16" x14ac:dyDescent="0.25">
      <c r="A82" s="7">
        <v>1</v>
      </c>
      <c r="B82" s="62" t="s">
        <v>185</v>
      </c>
      <c r="C82" s="63" t="s">
        <v>1</v>
      </c>
      <c r="D82" s="63" t="s">
        <v>128</v>
      </c>
      <c r="E82" s="63" t="s">
        <v>71</v>
      </c>
      <c r="F82" s="63" t="s">
        <v>138</v>
      </c>
      <c r="G82" s="63">
        <v>625</v>
      </c>
      <c r="H82" s="63" t="s">
        <v>139</v>
      </c>
      <c r="I82" s="63">
        <f>INDEX(Matériel!A:Z, MATCH(E82, Matériel!A:A, 0), MATCH(H82, INDEX(Matériel!A:Z, MATCH(E82, Matériel!A:A, 0), 0), 0) + 1)</f>
        <v>150</v>
      </c>
      <c r="J82" s="63">
        <f t="shared" ref="J82:J89" si="7">ROUNDUP(G82 / I82, 0)</f>
        <v>5</v>
      </c>
      <c r="K82" s="63">
        <f>VLOOKUP(H82,Manutention!A:E, 3, FALSE) * J82</f>
        <v>15</v>
      </c>
      <c r="L82" s="63" t="s">
        <v>166</v>
      </c>
      <c r="M82" s="63">
        <f>ROUNDUP(K82/VLOOKUP(L82,Camion!A:D, 3, FALSE),0)</f>
        <v>1</v>
      </c>
      <c r="N82" s="63">
        <f>INT(K82/VLOOKUP(L82,Camion!A:D, 3, FALSE))</f>
        <v>0</v>
      </c>
      <c r="O82" s="64">
        <f>ROUND(K82/VLOOKUP(L82,Camion!A:D, 3, FALSE) - N82,2)</f>
        <v>0.88</v>
      </c>
      <c r="P82" s="63" t="s">
        <v>130</v>
      </c>
    </row>
    <row r="83" spans="1:16" x14ac:dyDescent="0.25">
      <c r="A83" s="7">
        <v>1</v>
      </c>
      <c r="B83" s="62" t="s">
        <v>185</v>
      </c>
      <c r="C83" s="63" t="s">
        <v>1</v>
      </c>
      <c r="D83" s="63" t="s">
        <v>135</v>
      </c>
      <c r="E83" s="63" t="s">
        <v>72</v>
      </c>
      <c r="F83" s="63" t="s">
        <v>138</v>
      </c>
      <c r="G83" s="63">
        <v>1912</v>
      </c>
      <c r="H83" s="63" t="s">
        <v>143</v>
      </c>
      <c r="I83" s="63">
        <f>INDEX(Matériel!A:Z, MATCH(E83, Matériel!A:A, 0), MATCH(H83, INDEX(Matériel!A:Z, MATCH(E83, Matériel!A:A, 0), 0), 0) + 1)</f>
        <v>1000</v>
      </c>
      <c r="J83" s="63">
        <f t="shared" si="7"/>
        <v>2</v>
      </c>
      <c r="K83" s="63">
        <f>VLOOKUP(H83,Manutention!A:E, 3, FALSE) * J83</f>
        <v>2</v>
      </c>
      <c r="L83" s="63" t="s">
        <v>164</v>
      </c>
      <c r="M83" s="63">
        <f>ROUNDUP(K83/VLOOKUP(L83,Camion!A:D, 3, FALSE),0)</f>
        <v>1</v>
      </c>
      <c r="N83" s="63">
        <f>INT(K83/VLOOKUP(L83,Camion!A:D, 3, FALSE))</f>
        <v>0</v>
      </c>
      <c r="O83" s="64">
        <f>ROUND(K83/VLOOKUP(L83,Camion!A:D, 3, FALSE) - N83,2)</f>
        <v>0.22</v>
      </c>
      <c r="P83" s="63" t="s">
        <v>130</v>
      </c>
    </row>
    <row r="84" spans="1:16" x14ac:dyDescent="0.25">
      <c r="A84" s="7">
        <v>1</v>
      </c>
      <c r="B84" s="62" t="s">
        <v>185</v>
      </c>
      <c r="C84" s="63" t="s">
        <v>1</v>
      </c>
      <c r="D84" s="63" t="s">
        <v>135</v>
      </c>
      <c r="E84" s="63" t="s">
        <v>75</v>
      </c>
      <c r="F84" s="63" t="s">
        <v>127</v>
      </c>
      <c r="G84" s="63">
        <v>98</v>
      </c>
      <c r="H84" s="63" t="s">
        <v>136</v>
      </c>
      <c r="I84" s="63">
        <f>INDEX(Matériel!A:Z, MATCH(E84, Matériel!A:A, 0), MATCH(H84, INDEX(Matériel!A:Z, MATCH(E84, Matériel!A:A, 0), 0), 0) + 1)</f>
        <v>60</v>
      </c>
      <c r="J84" s="63">
        <f t="shared" si="7"/>
        <v>2</v>
      </c>
      <c r="K84" s="63">
        <f>VLOOKUP(H84,Manutention!A:E, 3, FALSE) * J84</f>
        <v>2</v>
      </c>
      <c r="L84" s="63" t="s">
        <v>164</v>
      </c>
      <c r="M84" s="63">
        <f>ROUNDUP(K84/VLOOKUP(L84,Camion!A:D, 3, FALSE),0)</f>
        <v>1</v>
      </c>
      <c r="N84" s="63">
        <f>INT(K84/VLOOKUP(L84,Camion!A:D, 3, FALSE))</f>
        <v>0</v>
      </c>
      <c r="O84" s="64">
        <f>ROUND(K84/VLOOKUP(L84,Camion!A:D, 3, FALSE) - N84,2)</f>
        <v>0.22</v>
      </c>
      <c r="P84" s="63" t="s">
        <v>129</v>
      </c>
    </row>
    <row r="85" spans="1:16" x14ac:dyDescent="0.25">
      <c r="A85" s="7">
        <v>1</v>
      </c>
      <c r="B85" s="62" t="s">
        <v>185</v>
      </c>
      <c r="C85" s="63" t="s">
        <v>1</v>
      </c>
      <c r="D85" s="63" t="s">
        <v>128</v>
      </c>
      <c r="E85" s="63" t="s">
        <v>76</v>
      </c>
      <c r="F85" s="63" t="s">
        <v>127</v>
      </c>
      <c r="G85" s="63">
        <v>49</v>
      </c>
      <c r="H85" s="63" t="s">
        <v>131</v>
      </c>
      <c r="I85" s="63">
        <f>INDEX(Matériel!A:Z, MATCH(E85, Matériel!A:A, 0), MATCH(H85, INDEX(Matériel!A:Z, MATCH(E85, Matériel!A:A, 0), 0), 0) + 1)</f>
        <v>100</v>
      </c>
      <c r="J85" s="63">
        <f t="shared" si="7"/>
        <v>1</v>
      </c>
      <c r="K85" s="63">
        <f>VLOOKUP(H85,Manutention!A:E, 3, FALSE) * J85</f>
        <v>1</v>
      </c>
      <c r="L85" s="63" t="s">
        <v>164</v>
      </c>
      <c r="M85" s="63">
        <f>ROUNDUP(K85/VLOOKUP(L85,Camion!A:D, 3, FALSE),0)</f>
        <v>1</v>
      </c>
      <c r="N85" s="63">
        <f>INT(K85/VLOOKUP(L85,Camion!A:D, 3, FALSE))</f>
        <v>0</v>
      </c>
      <c r="O85" s="64">
        <f>ROUND(K85/VLOOKUP(L85,Camion!A:D, 3, FALSE) - N85,2)</f>
        <v>0.11</v>
      </c>
      <c r="P85" s="63" t="s">
        <v>129</v>
      </c>
    </row>
    <row r="86" spans="1:16" x14ac:dyDescent="0.25">
      <c r="A86" s="7">
        <v>1</v>
      </c>
      <c r="B86" s="62" t="s">
        <v>185</v>
      </c>
      <c r="C86" s="63" t="s">
        <v>1</v>
      </c>
      <c r="D86" s="63" t="s">
        <v>135</v>
      </c>
      <c r="E86" s="63" t="s">
        <v>77</v>
      </c>
      <c r="F86" s="63" t="s">
        <v>127</v>
      </c>
      <c r="G86" s="63">
        <v>409</v>
      </c>
      <c r="H86" s="63" t="s">
        <v>131</v>
      </c>
      <c r="I86" s="63">
        <f>INDEX(Matériel!A:Z, MATCH(E86, Matériel!A:A, 0), MATCH(H86, INDEX(Matériel!A:Z, MATCH(E86, Matériel!A:A, 0), 0), 0) + 1)</f>
        <v>20</v>
      </c>
      <c r="J86" s="63">
        <f t="shared" si="7"/>
        <v>21</v>
      </c>
      <c r="K86" s="63">
        <f>VLOOKUP(H86,Manutention!A:E, 3, FALSE) * J86</f>
        <v>21</v>
      </c>
      <c r="L86" s="63" t="s">
        <v>168</v>
      </c>
      <c r="M86" s="63">
        <f>ROUNDUP(K86/VLOOKUP(L86,Camion!A:D, 3, FALSE),0)</f>
        <v>1</v>
      </c>
      <c r="N86" s="63">
        <f>INT(K86/VLOOKUP(L86,Camion!A:D, 3, FALSE))</f>
        <v>0</v>
      </c>
      <c r="O86" s="64">
        <f>ROUND(K86/VLOOKUP(L86,Camion!A:D, 3, FALSE) - N86,2)</f>
        <v>0.62</v>
      </c>
      <c r="P86" s="63" t="s">
        <v>129</v>
      </c>
    </row>
    <row r="87" spans="1:16" x14ac:dyDescent="0.25">
      <c r="A87" s="7">
        <v>1</v>
      </c>
      <c r="B87" s="62" t="s">
        <v>185</v>
      </c>
      <c r="C87" s="63" t="s">
        <v>1</v>
      </c>
      <c r="D87" s="63" t="s">
        <v>135</v>
      </c>
      <c r="E87" s="63" t="s">
        <v>78</v>
      </c>
      <c r="F87" s="63" t="s">
        <v>127</v>
      </c>
      <c r="G87" s="63">
        <v>8</v>
      </c>
      <c r="H87" s="63" t="s">
        <v>133</v>
      </c>
      <c r="I87" s="63">
        <f>INDEX(Matériel!A:Z, MATCH(E87, Matériel!A:A, 0), MATCH(H87, INDEX(Matériel!A:Z, MATCH(E87, Matériel!A:A, 0), 0), 0) + 1)</f>
        <v>1</v>
      </c>
      <c r="J87" s="63">
        <f t="shared" si="7"/>
        <v>8</v>
      </c>
      <c r="K87" s="63">
        <f>VLOOKUP(H87,Manutention!A:E, 3, FALSE) * J87</f>
        <v>16</v>
      </c>
      <c r="L87" s="63" t="s">
        <v>166</v>
      </c>
      <c r="M87" s="63">
        <f>ROUNDUP(K87/VLOOKUP(L87,Camion!A:D, 3, FALSE),0)</f>
        <v>1</v>
      </c>
      <c r="N87" s="63">
        <f>INT(K87/VLOOKUP(L87,Camion!A:D, 3, FALSE))</f>
        <v>0</v>
      </c>
      <c r="O87" s="64">
        <f>ROUND(K87/VLOOKUP(L87,Camion!A:D, 3, FALSE) - N87,2)</f>
        <v>0.94</v>
      </c>
      <c r="P87" s="63" t="s">
        <v>129</v>
      </c>
    </row>
    <row r="88" spans="1:16" x14ac:dyDescent="0.25">
      <c r="A88" s="7">
        <v>1</v>
      </c>
      <c r="B88" s="62" t="s">
        <v>185</v>
      </c>
      <c r="C88" s="63" t="s">
        <v>1</v>
      </c>
      <c r="D88" s="63" t="s">
        <v>135</v>
      </c>
      <c r="E88" s="63" t="s">
        <v>79</v>
      </c>
      <c r="F88" s="63" t="s">
        <v>127</v>
      </c>
      <c r="G88" s="63">
        <v>6</v>
      </c>
      <c r="H88" s="63" t="s">
        <v>133</v>
      </c>
      <c r="I88" s="63">
        <f>INDEX(Matériel!A:Z, MATCH(E88, Matériel!A:A, 0), MATCH(H88, INDEX(Matériel!A:Z, MATCH(E88, Matériel!A:A, 0), 0), 0) + 1)</f>
        <v>1</v>
      </c>
      <c r="J88" s="63">
        <f t="shared" si="7"/>
        <v>6</v>
      </c>
      <c r="K88" s="63">
        <f>VLOOKUP(H88,Manutention!A:E, 3, FALSE) * J88</f>
        <v>12</v>
      </c>
      <c r="L88" s="63" t="s">
        <v>165</v>
      </c>
      <c r="M88" s="63">
        <f>ROUNDUP(K88/VLOOKUP(L88,Camion!A:D, 3, FALSE),0)</f>
        <v>1</v>
      </c>
      <c r="N88" s="63">
        <f>INT(K88/VLOOKUP(L88,Camion!A:D, 3, FALSE))</f>
        <v>1</v>
      </c>
      <c r="O88" s="64">
        <f>ROUND(K88/VLOOKUP(L88,Camion!A:D, 3, FALSE) - N88,2)</f>
        <v>0</v>
      </c>
      <c r="P88" s="63" t="s">
        <v>129</v>
      </c>
    </row>
    <row r="89" spans="1:16" x14ac:dyDescent="0.25">
      <c r="A89" s="7">
        <v>1</v>
      </c>
      <c r="B89" s="62" t="s">
        <v>185</v>
      </c>
      <c r="C89" s="63" t="s">
        <v>1</v>
      </c>
      <c r="D89" s="63" t="s">
        <v>128</v>
      </c>
      <c r="E89" s="63" t="s">
        <v>81</v>
      </c>
      <c r="F89" s="63" t="s">
        <v>127</v>
      </c>
      <c r="G89" s="63">
        <v>18</v>
      </c>
      <c r="H89" s="63" t="s">
        <v>131</v>
      </c>
      <c r="I89" s="63">
        <f>INDEX(Matériel!A:Z, MATCH(E89, Matériel!A:A, 0), MATCH(H89, INDEX(Matériel!A:Z, MATCH(E89, Matériel!A:A, 0), 0), 0) + 1)</f>
        <v>100</v>
      </c>
      <c r="J89" s="63">
        <f t="shared" si="7"/>
        <v>1</v>
      </c>
      <c r="K89" s="63">
        <f>VLOOKUP(H89,Manutention!A:E, 3, FALSE) * J89</f>
        <v>1</v>
      </c>
      <c r="L89" s="63" t="s">
        <v>164</v>
      </c>
      <c r="M89" s="63">
        <f>ROUNDUP(K89/VLOOKUP(L89,Camion!A:D, 3, FALSE),0)</f>
        <v>1</v>
      </c>
      <c r="N89" s="63">
        <f>INT(K89/VLOOKUP(L89,Camion!A:D, 3, FALSE))</f>
        <v>0</v>
      </c>
      <c r="O89" s="64">
        <f>ROUND(K89/VLOOKUP(L89,Camion!A:D, 3, FALSE) - N89,2)</f>
        <v>0.11</v>
      </c>
      <c r="P89" s="63" t="s">
        <v>130</v>
      </c>
    </row>
    <row r="90" spans="1:16" x14ac:dyDescent="0.25">
      <c r="A90" s="7">
        <v>1</v>
      </c>
      <c r="B90" s="5" t="s">
        <v>185</v>
      </c>
      <c r="C90" s="65"/>
      <c r="D90" s="65"/>
      <c r="E90" s="65" t="s">
        <v>187</v>
      </c>
      <c r="F90" s="65"/>
      <c r="G90" s="65"/>
      <c r="H90" s="65" t="s">
        <v>131</v>
      </c>
      <c r="I90" s="65"/>
      <c r="J90" s="65"/>
      <c r="K90" s="65">
        <f>SUMIFS(K:K, A:A, 1, B:B, "Z3 Z4", P:P, "Oui", D:D, "Production")</f>
        <v>1</v>
      </c>
      <c r="L90" s="65" t="s">
        <v>164</v>
      </c>
      <c r="M90" s="65">
        <f>ROUNDUP(K90/VLOOKUP(L90,Camion!A:D, 3, FALSE),0)</f>
        <v>1</v>
      </c>
      <c r="N90" s="65">
        <f>INT(K90/VLOOKUP(L90,Camion!A:D, 3, FALSE))</f>
        <v>0</v>
      </c>
      <c r="O90" s="66">
        <f>ROUND(K90/VLOOKUP(L90,Camion!A:D, 3, FALSE) - N90,2)</f>
        <v>0.11</v>
      </c>
      <c r="P90" s="65"/>
    </row>
    <row r="91" spans="1:16" x14ac:dyDescent="0.25">
      <c r="A91" s="7">
        <v>1</v>
      </c>
      <c r="B91" s="5" t="s">
        <v>185</v>
      </c>
      <c r="C91" s="65"/>
      <c r="D91" s="65"/>
      <c r="E91" s="65" t="s">
        <v>188</v>
      </c>
      <c r="F91" s="65"/>
      <c r="G91" s="65"/>
      <c r="H91" s="65" t="s">
        <v>131</v>
      </c>
      <c r="I91" s="65"/>
      <c r="J91" s="65"/>
      <c r="K91" s="65">
        <f>SUMIFS(K:K, A:A, 1, B:B, "Z3 Z4", P:P, "Oui", D:D, "Terminaux")</f>
        <v>51</v>
      </c>
      <c r="L91" s="65" t="s">
        <v>168</v>
      </c>
      <c r="M91" s="65">
        <f>ROUNDUP(K91/VLOOKUP(L91,Camion!A:D, 3, FALSE),0)</f>
        <v>2</v>
      </c>
      <c r="N91" s="65">
        <f>INT(K91/VLOOKUP(L91,Camion!A:D, 3, FALSE))</f>
        <v>1</v>
      </c>
      <c r="O91" s="66">
        <f>ROUND(K91/VLOOKUP(L91,Camion!A:D, 3, FALSE) - N91,2)</f>
        <v>0.5</v>
      </c>
      <c r="P91" s="65"/>
    </row>
    <row r="92" spans="1:16" x14ac:dyDescent="0.25">
      <c r="A92" s="7">
        <v>2</v>
      </c>
      <c r="B92" s="62" t="s">
        <v>184</v>
      </c>
      <c r="C92" s="63" t="s">
        <v>1</v>
      </c>
      <c r="D92" s="63" t="s">
        <v>128</v>
      </c>
      <c r="E92" s="63" t="s">
        <v>71</v>
      </c>
      <c r="F92" s="63" t="s">
        <v>138</v>
      </c>
      <c r="G92" s="63">
        <v>625</v>
      </c>
      <c r="H92" s="63" t="s">
        <v>139</v>
      </c>
      <c r="I92" s="63">
        <f>INDEX(Matériel!A:Z, MATCH(E92, Matériel!A:A, 0), MATCH(H92, INDEX(Matériel!A:Z, MATCH(E92, Matériel!A:A, 0), 0), 0) + 1)</f>
        <v>150</v>
      </c>
      <c r="J92" s="63">
        <f t="shared" ref="J92:J99" si="8">ROUNDUP(G92 / I92, 0)</f>
        <v>5</v>
      </c>
      <c r="K92" s="63">
        <f>VLOOKUP(H92,Manutention!A:E, 3, FALSE) * J92</f>
        <v>15</v>
      </c>
      <c r="L92" s="63" t="s">
        <v>166</v>
      </c>
      <c r="M92" s="63">
        <f>ROUNDUP(K92/VLOOKUP(L92,Camion!A:D, 3, FALSE),0)</f>
        <v>1</v>
      </c>
      <c r="N92" s="63">
        <f>INT(K92/VLOOKUP(L92,Camion!A:D, 3, FALSE))</f>
        <v>0</v>
      </c>
      <c r="O92" s="64">
        <f>ROUND(K92/VLOOKUP(L92,Camion!A:D, 3, FALSE) - N92,2)</f>
        <v>0.88</v>
      </c>
      <c r="P92" s="63" t="s">
        <v>130</v>
      </c>
    </row>
    <row r="93" spans="1:16" x14ac:dyDescent="0.25">
      <c r="A93" s="7">
        <v>2</v>
      </c>
      <c r="B93" s="62" t="s">
        <v>184</v>
      </c>
      <c r="C93" s="63" t="s">
        <v>1</v>
      </c>
      <c r="D93" s="63" t="s">
        <v>135</v>
      </c>
      <c r="E93" s="63" t="s">
        <v>72</v>
      </c>
      <c r="F93" s="63" t="s">
        <v>138</v>
      </c>
      <c r="G93" s="63">
        <v>1912</v>
      </c>
      <c r="H93" s="63" t="s">
        <v>143</v>
      </c>
      <c r="I93" s="63">
        <f>INDEX(Matériel!A:Z, MATCH(E93, Matériel!A:A, 0), MATCH(H93, INDEX(Matériel!A:Z, MATCH(E93, Matériel!A:A, 0), 0), 0) + 1)</f>
        <v>1000</v>
      </c>
      <c r="J93" s="63">
        <f t="shared" si="8"/>
        <v>2</v>
      </c>
      <c r="K93" s="63">
        <f>VLOOKUP(H93,Manutention!A:E, 3, FALSE) * J93</f>
        <v>2</v>
      </c>
      <c r="L93" s="63" t="s">
        <v>164</v>
      </c>
      <c r="M93" s="63">
        <f>ROUNDUP(K93/VLOOKUP(L93,Camion!A:D, 3, FALSE),0)</f>
        <v>1</v>
      </c>
      <c r="N93" s="63">
        <f>INT(K93/VLOOKUP(L93,Camion!A:D, 3, FALSE))</f>
        <v>0</v>
      </c>
      <c r="O93" s="64">
        <f>ROUND(K93/VLOOKUP(L93,Camion!A:D, 3, FALSE) - N93,2)</f>
        <v>0.22</v>
      </c>
      <c r="P93" s="63" t="s">
        <v>130</v>
      </c>
    </row>
    <row r="94" spans="1:16" x14ac:dyDescent="0.25">
      <c r="A94" s="7">
        <v>2</v>
      </c>
      <c r="B94" s="62" t="s">
        <v>184</v>
      </c>
      <c r="C94" s="63" t="s">
        <v>1</v>
      </c>
      <c r="D94" s="63" t="s">
        <v>135</v>
      </c>
      <c r="E94" s="63" t="s">
        <v>75</v>
      </c>
      <c r="F94" s="63" t="s">
        <v>127</v>
      </c>
      <c r="G94" s="63">
        <v>98</v>
      </c>
      <c r="H94" s="63" t="s">
        <v>136</v>
      </c>
      <c r="I94" s="63">
        <f>INDEX(Matériel!A:Z, MATCH(E94, Matériel!A:A, 0), MATCH(H94, INDEX(Matériel!A:Z, MATCH(E94, Matériel!A:A, 0), 0), 0) + 1)</f>
        <v>60</v>
      </c>
      <c r="J94" s="63">
        <f t="shared" si="8"/>
        <v>2</v>
      </c>
      <c r="K94" s="63">
        <f>VLOOKUP(H94,Manutention!A:E, 3, FALSE) * J94</f>
        <v>2</v>
      </c>
      <c r="L94" s="63" t="s">
        <v>164</v>
      </c>
      <c r="M94" s="63">
        <f>ROUNDUP(K94/VLOOKUP(L94,Camion!A:D, 3, FALSE),0)</f>
        <v>1</v>
      </c>
      <c r="N94" s="63">
        <f>INT(K94/VLOOKUP(L94,Camion!A:D, 3, FALSE))</f>
        <v>0</v>
      </c>
      <c r="O94" s="64">
        <f>ROUND(K94/VLOOKUP(L94,Camion!A:D, 3, FALSE) - N94,2)</f>
        <v>0.22</v>
      </c>
      <c r="P94" s="63" t="s">
        <v>129</v>
      </c>
    </row>
    <row r="95" spans="1:16" x14ac:dyDescent="0.25">
      <c r="A95" s="7">
        <v>2</v>
      </c>
      <c r="B95" s="62" t="s">
        <v>184</v>
      </c>
      <c r="C95" s="63" t="s">
        <v>1</v>
      </c>
      <c r="D95" s="63" t="s">
        <v>128</v>
      </c>
      <c r="E95" s="63" t="s">
        <v>76</v>
      </c>
      <c r="F95" s="63" t="s">
        <v>127</v>
      </c>
      <c r="G95" s="63">
        <v>49</v>
      </c>
      <c r="H95" s="63" t="s">
        <v>131</v>
      </c>
      <c r="I95" s="63">
        <f>INDEX(Matériel!A:Z, MATCH(E95, Matériel!A:A, 0), MATCH(H95, INDEX(Matériel!A:Z, MATCH(E95, Matériel!A:A, 0), 0), 0) + 1)</f>
        <v>100</v>
      </c>
      <c r="J95" s="63">
        <f t="shared" si="8"/>
        <v>1</v>
      </c>
      <c r="K95" s="63">
        <f>VLOOKUP(H95,Manutention!A:E, 3, FALSE) * J95</f>
        <v>1</v>
      </c>
      <c r="L95" s="63" t="s">
        <v>164</v>
      </c>
      <c r="M95" s="63">
        <f>ROUNDUP(K95/VLOOKUP(L95,Camion!A:D, 3, FALSE),0)</f>
        <v>1</v>
      </c>
      <c r="N95" s="63">
        <f>INT(K95/VLOOKUP(L95,Camion!A:D, 3, FALSE))</f>
        <v>0</v>
      </c>
      <c r="O95" s="64">
        <f>ROUND(K95/VLOOKUP(L95,Camion!A:D, 3, FALSE) - N95,2)</f>
        <v>0.11</v>
      </c>
      <c r="P95" s="63" t="s">
        <v>129</v>
      </c>
    </row>
    <row r="96" spans="1:16" x14ac:dyDescent="0.25">
      <c r="A96" s="7">
        <v>2</v>
      </c>
      <c r="B96" s="62" t="s">
        <v>184</v>
      </c>
      <c r="C96" s="63" t="s">
        <v>1</v>
      </c>
      <c r="D96" s="63" t="s">
        <v>135</v>
      </c>
      <c r="E96" s="63" t="s">
        <v>77</v>
      </c>
      <c r="F96" s="63" t="s">
        <v>127</v>
      </c>
      <c r="G96" s="63">
        <v>409</v>
      </c>
      <c r="H96" s="63" t="s">
        <v>131</v>
      </c>
      <c r="I96" s="63">
        <f>INDEX(Matériel!A:Z, MATCH(E96, Matériel!A:A, 0), MATCH(H96, INDEX(Matériel!A:Z, MATCH(E96, Matériel!A:A, 0), 0), 0) + 1)</f>
        <v>20</v>
      </c>
      <c r="J96" s="63">
        <f t="shared" si="8"/>
        <v>21</v>
      </c>
      <c r="K96" s="63">
        <f>VLOOKUP(H96,Manutention!A:E, 3, FALSE) * J96</f>
        <v>21</v>
      </c>
      <c r="L96" s="63" t="s">
        <v>168</v>
      </c>
      <c r="M96" s="63">
        <f>ROUNDUP(K96/VLOOKUP(L96,Camion!A:D, 3, FALSE),0)</f>
        <v>1</v>
      </c>
      <c r="N96" s="63">
        <f>INT(K96/VLOOKUP(L96,Camion!A:D, 3, FALSE))</f>
        <v>0</v>
      </c>
      <c r="O96" s="64">
        <f>ROUND(K96/VLOOKUP(L96,Camion!A:D, 3, FALSE) - N96,2)</f>
        <v>0.62</v>
      </c>
      <c r="P96" s="63" t="s">
        <v>129</v>
      </c>
    </row>
    <row r="97" spans="1:16" x14ac:dyDescent="0.25">
      <c r="A97" s="7">
        <v>2</v>
      </c>
      <c r="B97" s="62" t="s">
        <v>184</v>
      </c>
      <c r="C97" s="63" t="s">
        <v>1</v>
      </c>
      <c r="D97" s="63" t="s">
        <v>135</v>
      </c>
      <c r="E97" s="63" t="s">
        <v>78</v>
      </c>
      <c r="F97" s="63" t="s">
        <v>127</v>
      </c>
      <c r="G97" s="63">
        <v>8</v>
      </c>
      <c r="H97" s="63" t="s">
        <v>133</v>
      </c>
      <c r="I97" s="63">
        <f>INDEX(Matériel!A:Z, MATCH(E97, Matériel!A:A, 0), MATCH(H97, INDEX(Matériel!A:Z, MATCH(E97, Matériel!A:A, 0), 0), 0) + 1)</f>
        <v>1</v>
      </c>
      <c r="J97" s="63">
        <f t="shared" si="8"/>
        <v>8</v>
      </c>
      <c r="K97" s="63">
        <f>VLOOKUP(H97,Manutention!A:E, 3, FALSE) * J97</f>
        <v>16</v>
      </c>
      <c r="L97" s="63" t="s">
        <v>166</v>
      </c>
      <c r="M97" s="63">
        <f>ROUNDUP(K97/VLOOKUP(L97,Camion!A:D, 3, FALSE),0)</f>
        <v>1</v>
      </c>
      <c r="N97" s="63">
        <f>INT(K97/VLOOKUP(L97,Camion!A:D, 3, FALSE))</f>
        <v>0</v>
      </c>
      <c r="O97" s="64">
        <f>ROUND(K97/VLOOKUP(L97,Camion!A:D, 3, FALSE) - N97,2)</f>
        <v>0.94</v>
      </c>
      <c r="P97" s="63" t="s">
        <v>129</v>
      </c>
    </row>
    <row r="98" spans="1:16" x14ac:dyDescent="0.25">
      <c r="A98" s="7">
        <v>2</v>
      </c>
      <c r="B98" s="62" t="s">
        <v>184</v>
      </c>
      <c r="C98" s="63" t="s">
        <v>1</v>
      </c>
      <c r="D98" s="63" t="s">
        <v>135</v>
      </c>
      <c r="E98" s="63" t="s">
        <v>79</v>
      </c>
      <c r="F98" s="63" t="s">
        <v>127</v>
      </c>
      <c r="G98" s="63">
        <v>6</v>
      </c>
      <c r="H98" s="63" t="s">
        <v>133</v>
      </c>
      <c r="I98" s="63">
        <f>INDEX(Matériel!A:Z, MATCH(E98, Matériel!A:A, 0), MATCH(H98, INDEX(Matériel!A:Z, MATCH(E98, Matériel!A:A, 0), 0), 0) + 1)</f>
        <v>1</v>
      </c>
      <c r="J98" s="63">
        <f t="shared" si="8"/>
        <v>6</v>
      </c>
      <c r="K98" s="63">
        <f>VLOOKUP(H98,Manutention!A:E, 3, FALSE) * J98</f>
        <v>12</v>
      </c>
      <c r="L98" s="63" t="s">
        <v>165</v>
      </c>
      <c r="M98" s="63">
        <f>ROUNDUP(K98/VLOOKUP(L98,Camion!A:D, 3, FALSE),0)</f>
        <v>1</v>
      </c>
      <c r="N98" s="63">
        <f>INT(K98/VLOOKUP(L98,Camion!A:D, 3, FALSE))</f>
        <v>1</v>
      </c>
      <c r="O98" s="64">
        <f>ROUND(K98/VLOOKUP(L98,Camion!A:D, 3, FALSE) - N98,2)</f>
        <v>0</v>
      </c>
      <c r="P98" s="63" t="s">
        <v>129</v>
      </c>
    </row>
    <row r="99" spans="1:16" x14ac:dyDescent="0.25">
      <c r="A99" s="7">
        <v>2</v>
      </c>
      <c r="B99" s="62" t="s">
        <v>184</v>
      </c>
      <c r="C99" s="63" t="s">
        <v>1</v>
      </c>
      <c r="D99" s="63" t="s">
        <v>128</v>
      </c>
      <c r="E99" s="63" t="s">
        <v>81</v>
      </c>
      <c r="F99" s="63" t="s">
        <v>127</v>
      </c>
      <c r="G99" s="63">
        <v>18</v>
      </c>
      <c r="H99" s="63" t="s">
        <v>131</v>
      </c>
      <c r="I99" s="63">
        <f>INDEX(Matériel!A:Z, MATCH(E99, Matériel!A:A, 0), MATCH(H99, INDEX(Matériel!A:Z, MATCH(E99, Matériel!A:A, 0), 0), 0) + 1)</f>
        <v>100</v>
      </c>
      <c r="J99" s="63">
        <f t="shared" si="8"/>
        <v>1</v>
      </c>
      <c r="K99" s="63">
        <f>VLOOKUP(H99,Manutention!A:E, 3, FALSE) * J99</f>
        <v>1</v>
      </c>
      <c r="L99" s="63" t="s">
        <v>164</v>
      </c>
      <c r="M99" s="63">
        <f>ROUNDUP(K99/VLOOKUP(L99,Camion!A:D, 3, FALSE),0)</f>
        <v>1</v>
      </c>
      <c r="N99" s="63">
        <f>INT(K99/VLOOKUP(L99,Camion!A:D, 3, FALSE))</f>
        <v>0</v>
      </c>
      <c r="O99" s="64">
        <f>ROUND(K99/VLOOKUP(L99,Camion!A:D, 3, FALSE) - N99,2)</f>
        <v>0.11</v>
      </c>
      <c r="P99" s="63" t="s">
        <v>130</v>
      </c>
    </row>
    <row r="100" spans="1:16" x14ac:dyDescent="0.25">
      <c r="A100" s="7">
        <v>2</v>
      </c>
      <c r="B100" s="5" t="s">
        <v>184</v>
      </c>
      <c r="C100" s="65"/>
      <c r="D100" s="65"/>
      <c r="E100" s="65" t="s">
        <v>187</v>
      </c>
      <c r="F100" s="65"/>
      <c r="G100" s="65"/>
      <c r="H100" s="65" t="s">
        <v>131</v>
      </c>
      <c r="I100" s="65"/>
      <c r="J100" s="65"/>
      <c r="K100" s="65">
        <f>SUMIFS(K:K, A:A, 2, B:B, "Z1 Z2", P:P, "Oui", D:D, "Production")</f>
        <v>1</v>
      </c>
      <c r="L100" s="65" t="s">
        <v>164</v>
      </c>
      <c r="M100" s="65">
        <f>ROUNDUP(K100/VLOOKUP(L100,Camion!A:D, 3, FALSE),0)</f>
        <v>1</v>
      </c>
      <c r="N100" s="65">
        <f>INT(K100/VLOOKUP(L100,Camion!A:D, 3, FALSE))</f>
        <v>0</v>
      </c>
      <c r="O100" s="66">
        <f>ROUND(K100/VLOOKUP(L100,Camion!A:D, 3, FALSE) - N100,2)</f>
        <v>0.11</v>
      </c>
      <c r="P100" s="65"/>
    </row>
    <row r="101" spans="1:16" x14ac:dyDescent="0.25">
      <c r="A101" s="7">
        <v>2</v>
      </c>
      <c r="B101" s="5" t="s">
        <v>184</v>
      </c>
      <c r="C101" s="65"/>
      <c r="D101" s="65"/>
      <c r="E101" s="65" t="s">
        <v>188</v>
      </c>
      <c r="F101" s="65"/>
      <c r="G101" s="65"/>
      <c r="H101" s="65" t="s">
        <v>131</v>
      </c>
      <c r="I101" s="65"/>
      <c r="J101" s="65"/>
      <c r="K101" s="65">
        <f>SUMIFS(K:K, A:A, 2, B:B, "Z1 Z2", P:P, "Oui", D:D, "Terminaux")</f>
        <v>51</v>
      </c>
      <c r="L101" s="65" t="s">
        <v>168</v>
      </c>
      <c r="M101" s="65">
        <f>ROUNDUP(K101/VLOOKUP(L101,Camion!A:D, 3, FALSE),0)</f>
        <v>2</v>
      </c>
      <c r="N101" s="65">
        <f>INT(K101/VLOOKUP(L101,Camion!A:D, 3, FALSE))</f>
        <v>1</v>
      </c>
      <c r="O101" s="66">
        <f>ROUND(K101/VLOOKUP(L101,Camion!A:D, 3, FALSE) - N101,2)</f>
        <v>0.5</v>
      </c>
      <c r="P101" s="65"/>
    </row>
    <row r="102" spans="1:16" x14ac:dyDescent="0.25">
      <c r="A102" s="7">
        <v>2</v>
      </c>
      <c r="B102" s="62" t="s">
        <v>185</v>
      </c>
      <c r="C102" s="63" t="s">
        <v>1</v>
      </c>
      <c r="D102" s="63" t="s">
        <v>128</v>
      </c>
      <c r="E102" s="63" t="s">
        <v>71</v>
      </c>
      <c r="F102" s="63" t="s">
        <v>138</v>
      </c>
      <c r="G102" s="63">
        <v>625</v>
      </c>
      <c r="H102" s="63" t="s">
        <v>139</v>
      </c>
      <c r="I102" s="63">
        <f>INDEX(Matériel!A:Z, MATCH(E102, Matériel!A:A, 0), MATCH(H102, INDEX(Matériel!A:Z, MATCH(E102, Matériel!A:A, 0), 0), 0) + 1)</f>
        <v>150</v>
      </c>
      <c r="J102" s="63">
        <f t="shared" ref="J102:J109" si="9">ROUNDUP(G102 / I102, 0)</f>
        <v>5</v>
      </c>
      <c r="K102" s="63">
        <f>VLOOKUP(H102,Manutention!A:E, 3, FALSE) * J102</f>
        <v>15</v>
      </c>
      <c r="L102" s="63" t="s">
        <v>166</v>
      </c>
      <c r="M102" s="63">
        <f>ROUNDUP(K102/VLOOKUP(L102,Camion!A:D, 3, FALSE),0)</f>
        <v>1</v>
      </c>
      <c r="N102" s="63">
        <f>INT(K102/VLOOKUP(L102,Camion!A:D, 3, FALSE))</f>
        <v>0</v>
      </c>
      <c r="O102" s="64">
        <f>ROUND(K102/VLOOKUP(L102,Camion!A:D, 3, FALSE) - N102,2)</f>
        <v>0.88</v>
      </c>
      <c r="P102" s="63" t="s">
        <v>130</v>
      </c>
    </row>
    <row r="103" spans="1:16" x14ac:dyDescent="0.25">
      <c r="A103" s="7">
        <v>2</v>
      </c>
      <c r="B103" s="62" t="s">
        <v>185</v>
      </c>
      <c r="C103" s="63" t="s">
        <v>1</v>
      </c>
      <c r="D103" s="63" t="s">
        <v>135</v>
      </c>
      <c r="E103" s="63" t="s">
        <v>72</v>
      </c>
      <c r="F103" s="63" t="s">
        <v>138</v>
      </c>
      <c r="G103" s="63">
        <v>1912</v>
      </c>
      <c r="H103" s="63" t="s">
        <v>143</v>
      </c>
      <c r="I103" s="63">
        <f>INDEX(Matériel!A:Z, MATCH(E103, Matériel!A:A, 0), MATCH(H103, INDEX(Matériel!A:Z, MATCH(E103, Matériel!A:A, 0), 0), 0) + 1)</f>
        <v>1000</v>
      </c>
      <c r="J103" s="63">
        <f t="shared" si="9"/>
        <v>2</v>
      </c>
      <c r="K103" s="63">
        <f>VLOOKUP(H103,Manutention!A:E, 3, FALSE) * J103</f>
        <v>2</v>
      </c>
      <c r="L103" s="63" t="s">
        <v>164</v>
      </c>
      <c r="M103" s="63">
        <f>ROUNDUP(K103/VLOOKUP(L103,Camion!A:D, 3, FALSE),0)</f>
        <v>1</v>
      </c>
      <c r="N103" s="63">
        <f>INT(K103/VLOOKUP(L103,Camion!A:D, 3, FALSE))</f>
        <v>0</v>
      </c>
      <c r="O103" s="64">
        <f>ROUND(K103/VLOOKUP(L103,Camion!A:D, 3, FALSE) - N103,2)</f>
        <v>0.22</v>
      </c>
      <c r="P103" s="63" t="s">
        <v>130</v>
      </c>
    </row>
    <row r="104" spans="1:16" x14ac:dyDescent="0.25">
      <c r="A104" s="7">
        <v>2</v>
      </c>
      <c r="B104" s="62" t="s">
        <v>185</v>
      </c>
      <c r="C104" s="63" t="s">
        <v>1</v>
      </c>
      <c r="D104" s="63" t="s">
        <v>135</v>
      </c>
      <c r="E104" s="63" t="s">
        <v>75</v>
      </c>
      <c r="F104" s="63" t="s">
        <v>127</v>
      </c>
      <c r="G104" s="63">
        <v>98</v>
      </c>
      <c r="H104" s="63" t="s">
        <v>136</v>
      </c>
      <c r="I104" s="63">
        <f>INDEX(Matériel!A:Z, MATCH(E104, Matériel!A:A, 0), MATCH(H104, INDEX(Matériel!A:Z, MATCH(E104, Matériel!A:A, 0), 0), 0) + 1)</f>
        <v>60</v>
      </c>
      <c r="J104" s="63">
        <f t="shared" si="9"/>
        <v>2</v>
      </c>
      <c r="K104" s="63">
        <f>VLOOKUP(H104,Manutention!A:E, 3, FALSE) * J104</f>
        <v>2</v>
      </c>
      <c r="L104" s="63" t="s">
        <v>164</v>
      </c>
      <c r="M104" s="63">
        <f>ROUNDUP(K104/VLOOKUP(L104,Camion!A:D, 3, FALSE),0)</f>
        <v>1</v>
      </c>
      <c r="N104" s="63">
        <f>INT(K104/VLOOKUP(L104,Camion!A:D, 3, FALSE))</f>
        <v>0</v>
      </c>
      <c r="O104" s="64">
        <f>ROUND(K104/VLOOKUP(L104,Camion!A:D, 3, FALSE) - N104,2)</f>
        <v>0.22</v>
      </c>
      <c r="P104" s="63" t="s">
        <v>129</v>
      </c>
    </row>
    <row r="105" spans="1:16" x14ac:dyDescent="0.25">
      <c r="A105" s="7">
        <v>2</v>
      </c>
      <c r="B105" s="62" t="s">
        <v>185</v>
      </c>
      <c r="C105" s="63" t="s">
        <v>1</v>
      </c>
      <c r="D105" s="63" t="s">
        <v>128</v>
      </c>
      <c r="E105" s="63" t="s">
        <v>76</v>
      </c>
      <c r="F105" s="63" t="s">
        <v>127</v>
      </c>
      <c r="G105" s="63">
        <v>49</v>
      </c>
      <c r="H105" s="63" t="s">
        <v>131</v>
      </c>
      <c r="I105" s="63">
        <f>INDEX(Matériel!A:Z, MATCH(E105, Matériel!A:A, 0), MATCH(H105, INDEX(Matériel!A:Z, MATCH(E105, Matériel!A:A, 0), 0), 0) + 1)</f>
        <v>100</v>
      </c>
      <c r="J105" s="63">
        <f t="shared" si="9"/>
        <v>1</v>
      </c>
      <c r="K105" s="63">
        <f>VLOOKUP(H105,Manutention!A:E, 3, FALSE) * J105</f>
        <v>1</v>
      </c>
      <c r="L105" s="63" t="s">
        <v>164</v>
      </c>
      <c r="M105" s="63">
        <f>ROUNDUP(K105/VLOOKUP(L105,Camion!A:D, 3, FALSE),0)</f>
        <v>1</v>
      </c>
      <c r="N105" s="63">
        <f>INT(K105/VLOOKUP(L105,Camion!A:D, 3, FALSE))</f>
        <v>0</v>
      </c>
      <c r="O105" s="64">
        <f>ROUND(K105/VLOOKUP(L105,Camion!A:D, 3, FALSE) - N105,2)</f>
        <v>0.11</v>
      </c>
      <c r="P105" s="63" t="s">
        <v>129</v>
      </c>
    </row>
    <row r="106" spans="1:16" x14ac:dyDescent="0.25">
      <c r="A106" s="7">
        <v>2</v>
      </c>
      <c r="B106" s="62" t="s">
        <v>185</v>
      </c>
      <c r="C106" s="63" t="s">
        <v>1</v>
      </c>
      <c r="D106" s="63" t="s">
        <v>135</v>
      </c>
      <c r="E106" s="63" t="s">
        <v>77</v>
      </c>
      <c r="F106" s="63" t="s">
        <v>127</v>
      </c>
      <c r="G106" s="63">
        <v>409</v>
      </c>
      <c r="H106" s="63" t="s">
        <v>131</v>
      </c>
      <c r="I106" s="63">
        <f>INDEX(Matériel!A:Z, MATCH(E106, Matériel!A:A, 0), MATCH(H106, INDEX(Matériel!A:Z, MATCH(E106, Matériel!A:A, 0), 0), 0) + 1)</f>
        <v>20</v>
      </c>
      <c r="J106" s="63">
        <f t="shared" si="9"/>
        <v>21</v>
      </c>
      <c r="K106" s="63">
        <f>VLOOKUP(H106,Manutention!A:E, 3, FALSE) * J106</f>
        <v>21</v>
      </c>
      <c r="L106" s="63" t="s">
        <v>168</v>
      </c>
      <c r="M106" s="63">
        <f>ROUNDUP(K106/VLOOKUP(L106,Camion!A:D, 3, FALSE),0)</f>
        <v>1</v>
      </c>
      <c r="N106" s="63">
        <f>INT(K106/VLOOKUP(L106,Camion!A:D, 3, FALSE))</f>
        <v>0</v>
      </c>
      <c r="O106" s="64">
        <f>ROUND(K106/VLOOKUP(L106,Camion!A:D, 3, FALSE) - N106,2)</f>
        <v>0.62</v>
      </c>
      <c r="P106" s="63" t="s">
        <v>129</v>
      </c>
    </row>
    <row r="107" spans="1:16" x14ac:dyDescent="0.25">
      <c r="A107" s="7">
        <v>2</v>
      </c>
      <c r="B107" s="62" t="s">
        <v>185</v>
      </c>
      <c r="C107" s="63" t="s">
        <v>1</v>
      </c>
      <c r="D107" s="63" t="s">
        <v>135</v>
      </c>
      <c r="E107" s="63" t="s">
        <v>78</v>
      </c>
      <c r="F107" s="63" t="s">
        <v>127</v>
      </c>
      <c r="G107" s="63">
        <v>8</v>
      </c>
      <c r="H107" s="63" t="s">
        <v>133</v>
      </c>
      <c r="I107" s="63">
        <f>INDEX(Matériel!A:Z, MATCH(E107, Matériel!A:A, 0), MATCH(H107, INDEX(Matériel!A:Z, MATCH(E107, Matériel!A:A, 0), 0), 0) + 1)</f>
        <v>1</v>
      </c>
      <c r="J107" s="63">
        <f t="shared" si="9"/>
        <v>8</v>
      </c>
      <c r="K107" s="63">
        <f>VLOOKUP(H107,Manutention!A:E, 3, FALSE) * J107</f>
        <v>16</v>
      </c>
      <c r="L107" s="63" t="s">
        <v>166</v>
      </c>
      <c r="M107" s="63">
        <f>ROUNDUP(K107/VLOOKUP(L107,Camion!A:D, 3, FALSE),0)</f>
        <v>1</v>
      </c>
      <c r="N107" s="63">
        <f>INT(K107/VLOOKUP(L107,Camion!A:D, 3, FALSE))</f>
        <v>0</v>
      </c>
      <c r="O107" s="64">
        <f>ROUND(K107/VLOOKUP(L107,Camion!A:D, 3, FALSE) - N107,2)</f>
        <v>0.94</v>
      </c>
      <c r="P107" s="63" t="s">
        <v>129</v>
      </c>
    </row>
    <row r="108" spans="1:16" x14ac:dyDescent="0.25">
      <c r="A108" s="7">
        <v>2</v>
      </c>
      <c r="B108" s="62" t="s">
        <v>185</v>
      </c>
      <c r="C108" s="63" t="s">
        <v>1</v>
      </c>
      <c r="D108" s="63" t="s">
        <v>135</v>
      </c>
      <c r="E108" s="63" t="s">
        <v>79</v>
      </c>
      <c r="F108" s="63" t="s">
        <v>127</v>
      </c>
      <c r="G108" s="63">
        <v>6</v>
      </c>
      <c r="H108" s="63" t="s">
        <v>133</v>
      </c>
      <c r="I108" s="63">
        <f>INDEX(Matériel!A:Z, MATCH(E108, Matériel!A:A, 0), MATCH(H108, INDEX(Matériel!A:Z, MATCH(E108, Matériel!A:A, 0), 0), 0) + 1)</f>
        <v>1</v>
      </c>
      <c r="J108" s="63">
        <f t="shared" si="9"/>
        <v>6</v>
      </c>
      <c r="K108" s="63">
        <f>VLOOKUP(H108,Manutention!A:E, 3, FALSE) * J108</f>
        <v>12</v>
      </c>
      <c r="L108" s="63" t="s">
        <v>165</v>
      </c>
      <c r="M108" s="63">
        <f>ROUNDUP(K108/VLOOKUP(L108,Camion!A:D, 3, FALSE),0)</f>
        <v>1</v>
      </c>
      <c r="N108" s="63">
        <f>INT(K108/VLOOKUP(L108,Camion!A:D, 3, FALSE))</f>
        <v>1</v>
      </c>
      <c r="O108" s="64">
        <f>ROUND(K108/VLOOKUP(L108,Camion!A:D, 3, FALSE) - N108,2)</f>
        <v>0</v>
      </c>
      <c r="P108" s="63" t="s">
        <v>129</v>
      </c>
    </row>
    <row r="109" spans="1:16" x14ac:dyDescent="0.25">
      <c r="A109" s="7">
        <v>2</v>
      </c>
      <c r="B109" s="62" t="s">
        <v>185</v>
      </c>
      <c r="C109" s="63" t="s">
        <v>1</v>
      </c>
      <c r="D109" s="63" t="s">
        <v>128</v>
      </c>
      <c r="E109" s="63" t="s">
        <v>81</v>
      </c>
      <c r="F109" s="63" t="s">
        <v>127</v>
      </c>
      <c r="G109" s="63">
        <v>18</v>
      </c>
      <c r="H109" s="63" t="s">
        <v>131</v>
      </c>
      <c r="I109" s="63">
        <f>INDEX(Matériel!A:Z, MATCH(E109, Matériel!A:A, 0), MATCH(H109, INDEX(Matériel!A:Z, MATCH(E109, Matériel!A:A, 0), 0), 0) + 1)</f>
        <v>100</v>
      </c>
      <c r="J109" s="63">
        <f t="shared" si="9"/>
        <v>1</v>
      </c>
      <c r="K109" s="63">
        <f>VLOOKUP(H109,Manutention!A:E, 3, FALSE) * J109</f>
        <v>1</v>
      </c>
      <c r="L109" s="63" t="s">
        <v>164</v>
      </c>
      <c r="M109" s="63">
        <f>ROUNDUP(K109/VLOOKUP(L109,Camion!A:D, 3, FALSE),0)</f>
        <v>1</v>
      </c>
      <c r="N109" s="63">
        <f>INT(K109/VLOOKUP(L109,Camion!A:D, 3, FALSE))</f>
        <v>0</v>
      </c>
      <c r="O109" s="64">
        <f>ROUND(K109/VLOOKUP(L109,Camion!A:D, 3, FALSE) - N109,2)</f>
        <v>0.11</v>
      </c>
      <c r="P109" s="63" t="s">
        <v>130</v>
      </c>
    </row>
    <row r="110" spans="1:16" x14ac:dyDescent="0.25">
      <c r="A110" s="7">
        <v>2</v>
      </c>
      <c r="B110" s="5" t="s">
        <v>185</v>
      </c>
      <c r="C110" s="65"/>
      <c r="D110" s="65"/>
      <c r="E110" s="65" t="s">
        <v>187</v>
      </c>
      <c r="F110" s="65"/>
      <c r="G110" s="65"/>
      <c r="H110" s="65" t="s">
        <v>131</v>
      </c>
      <c r="I110" s="65"/>
      <c r="J110" s="65"/>
      <c r="K110" s="65">
        <f>SUMIFS(K:K, A:A, 2, B:B, "Z3 Z4", P:P, "Oui", D:D, "Production")</f>
        <v>1</v>
      </c>
      <c r="L110" s="65" t="s">
        <v>164</v>
      </c>
      <c r="M110" s="65">
        <f>ROUNDUP(K110/VLOOKUP(L110,Camion!A:D, 3, FALSE),0)</f>
        <v>1</v>
      </c>
      <c r="N110" s="65">
        <f>INT(K110/VLOOKUP(L110,Camion!A:D, 3, FALSE))</f>
        <v>0</v>
      </c>
      <c r="O110" s="66">
        <f>ROUND(K110/VLOOKUP(L110,Camion!A:D, 3, FALSE) - N110,2)</f>
        <v>0.11</v>
      </c>
      <c r="P110" s="65"/>
    </row>
    <row r="111" spans="1:16" x14ac:dyDescent="0.25">
      <c r="A111" s="7">
        <v>2</v>
      </c>
      <c r="B111" s="5" t="s">
        <v>185</v>
      </c>
      <c r="C111" s="65"/>
      <c r="D111" s="65"/>
      <c r="E111" s="65" t="s">
        <v>188</v>
      </c>
      <c r="F111" s="65"/>
      <c r="G111" s="65"/>
      <c r="H111" s="65" t="s">
        <v>131</v>
      </c>
      <c r="I111" s="65"/>
      <c r="J111" s="65"/>
      <c r="K111" s="65">
        <f>SUMIFS(K:K, A:A, 2, B:B, "Z3 Z4", P:P, "Oui", D:D, "Terminaux")</f>
        <v>51</v>
      </c>
      <c r="L111" s="65" t="s">
        <v>168</v>
      </c>
      <c r="M111" s="65">
        <f>ROUNDUP(K111/VLOOKUP(L111,Camion!A:D, 3, FALSE),0)</f>
        <v>2</v>
      </c>
      <c r="N111" s="65">
        <f>INT(K111/VLOOKUP(L111,Camion!A:D, 3, FALSE))</f>
        <v>1</v>
      </c>
      <c r="O111" s="66">
        <f>ROUND(K111/VLOOKUP(L111,Camion!A:D, 3, FALSE) - N111,2)</f>
        <v>0.5</v>
      </c>
      <c r="P111" s="65"/>
    </row>
    <row r="112" spans="1:16" x14ac:dyDescent="0.25">
      <c r="A112" s="7">
        <v>3</v>
      </c>
      <c r="B112" s="62" t="s">
        <v>184</v>
      </c>
      <c r="C112" s="63" t="s">
        <v>1</v>
      </c>
      <c r="D112" s="63" t="s">
        <v>128</v>
      </c>
      <c r="E112" s="63" t="s">
        <v>71</v>
      </c>
      <c r="F112" s="63" t="s">
        <v>138</v>
      </c>
      <c r="G112" s="63">
        <v>541</v>
      </c>
      <c r="H112" s="63" t="s">
        <v>139</v>
      </c>
      <c r="I112" s="63">
        <f>INDEX(Matériel!A:Z, MATCH(E112, Matériel!A:A, 0), MATCH(H112, INDEX(Matériel!A:Z, MATCH(E112, Matériel!A:A, 0), 0), 0) + 1)</f>
        <v>150</v>
      </c>
      <c r="J112" s="63">
        <f t="shared" ref="J112:J119" si="10">ROUNDUP(G112 / I112, 0)</f>
        <v>4</v>
      </c>
      <c r="K112" s="63">
        <f>VLOOKUP(H112,Manutention!A:E, 3, FALSE) * J112</f>
        <v>12</v>
      </c>
      <c r="L112" s="63" t="s">
        <v>165</v>
      </c>
      <c r="M112" s="63">
        <f>ROUNDUP(K112/VLOOKUP(L112,Camion!A:D, 3, FALSE),0)</f>
        <v>1</v>
      </c>
      <c r="N112" s="63">
        <f>INT(K112/VLOOKUP(L112,Camion!A:D, 3, FALSE))</f>
        <v>1</v>
      </c>
      <c r="O112" s="64">
        <f>ROUND(K112/VLOOKUP(L112,Camion!A:D, 3, FALSE) - N112,2)</f>
        <v>0</v>
      </c>
      <c r="P112" s="63" t="s">
        <v>130</v>
      </c>
    </row>
    <row r="113" spans="1:16" x14ac:dyDescent="0.25">
      <c r="A113" s="7">
        <v>3</v>
      </c>
      <c r="B113" s="62" t="s">
        <v>184</v>
      </c>
      <c r="C113" s="63" t="s">
        <v>1</v>
      </c>
      <c r="D113" s="63" t="s">
        <v>135</v>
      </c>
      <c r="E113" s="63" t="s">
        <v>72</v>
      </c>
      <c r="F113" s="63" t="s">
        <v>138</v>
      </c>
      <c r="G113" s="63">
        <v>1657</v>
      </c>
      <c r="H113" s="63" t="s">
        <v>143</v>
      </c>
      <c r="I113" s="63">
        <f>INDEX(Matériel!A:Z, MATCH(E113, Matériel!A:A, 0), MATCH(H113, INDEX(Matériel!A:Z, MATCH(E113, Matériel!A:A, 0), 0), 0) + 1)</f>
        <v>1000</v>
      </c>
      <c r="J113" s="63">
        <f t="shared" si="10"/>
        <v>2</v>
      </c>
      <c r="K113" s="63">
        <f>VLOOKUP(H113,Manutention!A:E, 3, FALSE) * J113</f>
        <v>2</v>
      </c>
      <c r="L113" s="63" t="s">
        <v>164</v>
      </c>
      <c r="M113" s="63">
        <f>ROUNDUP(K113/VLOOKUP(L113,Camion!A:D, 3, FALSE),0)</f>
        <v>1</v>
      </c>
      <c r="N113" s="63">
        <f>INT(K113/VLOOKUP(L113,Camion!A:D, 3, FALSE))</f>
        <v>0</v>
      </c>
      <c r="O113" s="64">
        <f>ROUND(K113/VLOOKUP(L113,Camion!A:D, 3, FALSE) - N113,2)</f>
        <v>0.22</v>
      </c>
      <c r="P113" s="63" t="s">
        <v>130</v>
      </c>
    </row>
    <row r="114" spans="1:16" x14ac:dyDescent="0.25">
      <c r="A114" s="7">
        <v>3</v>
      </c>
      <c r="B114" s="62" t="s">
        <v>184</v>
      </c>
      <c r="C114" s="63" t="s">
        <v>1</v>
      </c>
      <c r="D114" s="63" t="s">
        <v>135</v>
      </c>
      <c r="E114" s="63" t="s">
        <v>75</v>
      </c>
      <c r="F114" s="63" t="s">
        <v>127</v>
      </c>
      <c r="G114" s="63">
        <v>85</v>
      </c>
      <c r="H114" s="63" t="s">
        <v>136</v>
      </c>
      <c r="I114" s="63">
        <f>INDEX(Matériel!A:Z, MATCH(E114, Matériel!A:A, 0), MATCH(H114, INDEX(Matériel!A:Z, MATCH(E114, Matériel!A:A, 0), 0), 0) + 1)</f>
        <v>60</v>
      </c>
      <c r="J114" s="63">
        <f t="shared" si="10"/>
        <v>2</v>
      </c>
      <c r="K114" s="63">
        <f>VLOOKUP(H114,Manutention!A:E, 3, FALSE) * J114</f>
        <v>2</v>
      </c>
      <c r="L114" s="63" t="s">
        <v>164</v>
      </c>
      <c r="M114" s="63">
        <f>ROUNDUP(K114/VLOOKUP(L114,Camion!A:D, 3, FALSE),0)</f>
        <v>1</v>
      </c>
      <c r="N114" s="63">
        <f>INT(K114/VLOOKUP(L114,Camion!A:D, 3, FALSE))</f>
        <v>0</v>
      </c>
      <c r="O114" s="64">
        <f>ROUND(K114/VLOOKUP(L114,Camion!A:D, 3, FALSE) - N114,2)</f>
        <v>0.22</v>
      </c>
      <c r="P114" s="63" t="s">
        <v>129</v>
      </c>
    </row>
    <row r="115" spans="1:16" x14ac:dyDescent="0.25">
      <c r="A115" s="7">
        <v>3</v>
      </c>
      <c r="B115" s="62" t="s">
        <v>184</v>
      </c>
      <c r="C115" s="63" t="s">
        <v>1</v>
      </c>
      <c r="D115" s="63" t="s">
        <v>128</v>
      </c>
      <c r="E115" s="63" t="s">
        <v>76</v>
      </c>
      <c r="F115" s="63" t="s">
        <v>127</v>
      </c>
      <c r="G115" s="63">
        <v>42</v>
      </c>
      <c r="H115" s="63" t="s">
        <v>131</v>
      </c>
      <c r="I115" s="63">
        <f>INDEX(Matériel!A:Z, MATCH(E115, Matériel!A:A, 0), MATCH(H115, INDEX(Matériel!A:Z, MATCH(E115, Matériel!A:A, 0), 0), 0) + 1)</f>
        <v>100</v>
      </c>
      <c r="J115" s="63">
        <f t="shared" si="10"/>
        <v>1</v>
      </c>
      <c r="K115" s="63">
        <f>VLOOKUP(H115,Manutention!A:E, 3, FALSE) * J115</f>
        <v>1</v>
      </c>
      <c r="L115" s="63" t="s">
        <v>164</v>
      </c>
      <c r="M115" s="63">
        <f>ROUNDUP(K115/VLOOKUP(L115,Camion!A:D, 3, FALSE),0)</f>
        <v>1</v>
      </c>
      <c r="N115" s="63">
        <f>INT(K115/VLOOKUP(L115,Camion!A:D, 3, FALSE))</f>
        <v>0</v>
      </c>
      <c r="O115" s="64">
        <f>ROUND(K115/VLOOKUP(L115,Camion!A:D, 3, FALSE) - N115,2)</f>
        <v>0.11</v>
      </c>
      <c r="P115" s="63" t="s">
        <v>129</v>
      </c>
    </row>
    <row r="116" spans="1:16" x14ac:dyDescent="0.25">
      <c r="A116" s="7">
        <v>3</v>
      </c>
      <c r="B116" s="62" t="s">
        <v>184</v>
      </c>
      <c r="C116" s="63" t="s">
        <v>1</v>
      </c>
      <c r="D116" s="63" t="s">
        <v>135</v>
      </c>
      <c r="E116" s="63" t="s">
        <v>77</v>
      </c>
      <c r="F116" s="63" t="s">
        <v>127</v>
      </c>
      <c r="G116" s="63">
        <v>354</v>
      </c>
      <c r="H116" s="63" t="s">
        <v>131</v>
      </c>
      <c r="I116" s="63">
        <f>INDEX(Matériel!A:Z, MATCH(E116, Matériel!A:A, 0), MATCH(H116, INDEX(Matériel!A:Z, MATCH(E116, Matériel!A:A, 0), 0), 0) + 1)</f>
        <v>20</v>
      </c>
      <c r="J116" s="63">
        <f t="shared" si="10"/>
        <v>18</v>
      </c>
      <c r="K116" s="63">
        <f>VLOOKUP(H116,Manutention!A:E, 3, FALSE) * J116</f>
        <v>18</v>
      </c>
      <c r="L116" s="63" t="s">
        <v>167</v>
      </c>
      <c r="M116" s="63">
        <f>ROUNDUP(K116/VLOOKUP(L116,Camion!A:D, 3, FALSE),0)</f>
        <v>1</v>
      </c>
      <c r="N116" s="63">
        <f>INT(K116/VLOOKUP(L116,Camion!A:D, 3, FALSE))</f>
        <v>0</v>
      </c>
      <c r="O116" s="64">
        <f>ROUND(K116/VLOOKUP(L116,Camion!A:D, 3, FALSE) - N116,2)</f>
        <v>0.9</v>
      </c>
      <c r="P116" s="63" t="s">
        <v>129</v>
      </c>
    </row>
    <row r="117" spans="1:16" x14ac:dyDescent="0.25">
      <c r="A117" s="7">
        <v>3</v>
      </c>
      <c r="B117" s="62" t="s">
        <v>184</v>
      </c>
      <c r="C117" s="63" t="s">
        <v>1</v>
      </c>
      <c r="D117" s="63" t="s">
        <v>135</v>
      </c>
      <c r="E117" s="63" t="s">
        <v>78</v>
      </c>
      <c r="F117" s="63" t="s">
        <v>127</v>
      </c>
      <c r="G117" s="63">
        <v>7</v>
      </c>
      <c r="H117" s="63" t="s">
        <v>133</v>
      </c>
      <c r="I117" s="63">
        <f>INDEX(Matériel!A:Z, MATCH(E117, Matériel!A:A, 0), MATCH(H117, INDEX(Matériel!A:Z, MATCH(E117, Matériel!A:A, 0), 0), 0) + 1)</f>
        <v>1</v>
      </c>
      <c r="J117" s="63">
        <f t="shared" si="10"/>
        <v>7</v>
      </c>
      <c r="K117" s="63">
        <f>VLOOKUP(H117,Manutention!A:E, 3, FALSE) * J117</f>
        <v>14</v>
      </c>
      <c r="L117" s="63" t="s">
        <v>166</v>
      </c>
      <c r="M117" s="63">
        <f>ROUNDUP(K117/VLOOKUP(L117,Camion!A:D, 3, FALSE),0)</f>
        <v>1</v>
      </c>
      <c r="N117" s="63">
        <f>INT(K117/VLOOKUP(L117,Camion!A:D, 3, FALSE))</f>
        <v>0</v>
      </c>
      <c r="O117" s="64">
        <f>ROUND(K117/VLOOKUP(L117,Camion!A:D, 3, FALSE) - N117,2)</f>
        <v>0.82</v>
      </c>
      <c r="P117" s="63" t="s">
        <v>129</v>
      </c>
    </row>
    <row r="118" spans="1:16" x14ac:dyDescent="0.25">
      <c r="A118" s="7">
        <v>3</v>
      </c>
      <c r="B118" s="62" t="s">
        <v>184</v>
      </c>
      <c r="C118" s="63" t="s">
        <v>1</v>
      </c>
      <c r="D118" s="63" t="s">
        <v>135</v>
      </c>
      <c r="E118" s="63" t="s">
        <v>79</v>
      </c>
      <c r="F118" s="63" t="s">
        <v>127</v>
      </c>
      <c r="G118" s="63">
        <v>5</v>
      </c>
      <c r="H118" s="63" t="s">
        <v>133</v>
      </c>
      <c r="I118" s="63">
        <f>INDEX(Matériel!A:Z, MATCH(E118, Matériel!A:A, 0), MATCH(H118, INDEX(Matériel!A:Z, MATCH(E118, Matériel!A:A, 0), 0), 0) + 1)</f>
        <v>1</v>
      </c>
      <c r="J118" s="63">
        <f t="shared" si="10"/>
        <v>5</v>
      </c>
      <c r="K118" s="63">
        <f>VLOOKUP(H118,Manutention!A:E, 3, FALSE) * J118</f>
        <v>10</v>
      </c>
      <c r="L118" s="63" t="s">
        <v>165</v>
      </c>
      <c r="M118" s="63">
        <f>ROUNDUP(K118/VLOOKUP(L118,Camion!A:D, 3, FALSE),0)</f>
        <v>1</v>
      </c>
      <c r="N118" s="63">
        <f>INT(K118/VLOOKUP(L118,Camion!A:D, 3, FALSE))</f>
        <v>0</v>
      </c>
      <c r="O118" s="64">
        <f>ROUND(K118/VLOOKUP(L118,Camion!A:D, 3, FALSE) - N118,2)</f>
        <v>0.83</v>
      </c>
      <c r="P118" s="63" t="s">
        <v>129</v>
      </c>
    </row>
    <row r="119" spans="1:16" x14ac:dyDescent="0.25">
      <c r="A119" s="7">
        <v>3</v>
      </c>
      <c r="B119" s="62" t="s">
        <v>184</v>
      </c>
      <c r="C119" s="63" t="s">
        <v>1</v>
      </c>
      <c r="D119" s="63" t="s">
        <v>128</v>
      </c>
      <c r="E119" s="63" t="s">
        <v>81</v>
      </c>
      <c r="F119" s="63" t="s">
        <v>127</v>
      </c>
      <c r="G119" s="63">
        <v>16</v>
      </c>
      <c r="H119" s="63" t="s">
        <v>131</v>
      </c>
      <c r="I119" s="63">
        <f>INDEX(Matériel!A:Z, MATCH(E119, Matériel!A:A, 0), MATCH(H119, INDEX(Matériel!A:Z, MATCH(E119, Matériel!A:A, 0), 0), 0) + 1)</f>
        <v>100</v>
      </c>
      <c r="J119" s="63">
        <f t="shared" si="10"/>
        <v>1</v>
      </c>
      <c r="K119" s="63">
        <f>VLOOKUP(H119,Manutention!A:E, 3, FALSE) * J119</f>
        <v>1</v>
      </c>
      <c r="L119" s="63" t="s">
        <v>164</v>
      </c>
      <c r="M119" s="63">
        <f>ROUNDUP(K119/VLOOKUP(L119,Camion!A:D, 3, FALSE),0)</f>
        <v>1</v>
      </c>
      <c r="N119" s="63">
        <f>INT(K119/VLOOKUP(L119,Camion!A:D, 3, FALSE))</f>
        <v>0</v>
      </c>
      <c r="O119" s="64">
        <f>ROUND(K119/VLOOKUP(L119,Camion!A:D, 3, FALSE) - N119,2)</f>
        <v>0.11</v>
      </c>
      <c r="P119" s="63" t="s">
        <v>130</v>
      </c>
    </row>
    <row r="120" spans="1:16" x14ac:dyDescent="0.25">
      <c r="A120" s="7">
        <v>3</v>
      </c>
      <c r="B120" s="5" t="s">
        <v>184</v>
      </c>
      <c r="C120" s="65"/>
      <c r="D120" s="65"/>
      <c r="E120" s="65" t="s">
        <v>187</v>
      </c>
      <c r="F120" s="65"/>
      <c r="G120" s="65"/>
      <c r="H120" s="65" t="s">
        <v>131</v>
      </c>
      <c r="I120" s="65"/>
      <c r="J120" s="65"/>
      <c r="K120" s="65">
        <f>SUMIFS(K:K, A:A, 3, B:B, "Z1 Z2", P:P, "Oui", D:D, "Production")</f>
        <v>1</v>
      </c>
      <c r="L120" s="65" t="s">
        <v>164</v>
      </c>
      <c r="M120" s="65">
        <f>ROUNDUP(K120/VLOOKUP(L120,Camion!A:D, 3, FALSE),0)</f>
        <v>1</v>
      </c>
      <c r="N120" s="65">
        <f>INT(K120/VLOOKUP(L120,Camion!A:D, 3, FALSE))</f>
        <v>0</v>
      </c>
      <c r="O120" s="66">
        <f>ROUND(K120/VLOOKUP(L120,Camion!A:D, 3, FALSE) - N120,2)</f>
        <v>0.11</v>
      </c>
      <c r="P120" s="65"/>
    </row>
    <row r="121" spans="1:16" x14ac:dyDescent="0.25">
      <c r="A121" s="7">
        <v>3</v>
      </c>
      <c r="B121" s="5" t="s">
        <v>184</v>
      </c>
      <c r="C121" s="65"/>
      <c r="D121" s="65"/>
      <c r="E121" s="65" t="s">
        <v>188</v>
      </c>
      <c r="F121" s="65"/>
      <c r="G121" s="65"/>
      <c r="H121" s="65" t="s">
        <v>131</v>
      </c>
      <c r="I121" s="65"/>
      <c r="J121" s="65"/>
      <c r="K121" s="65">
        <f>SUMIFS(K:K, A:A, 3, B:B, "Z1 Z2", P:P, "Oui", D:D, "Terminaux")</f>
        <v>44</v>
      </c>
      <c r="L121" s="65" t="s">
        <v>168</v>
      </c>
      <c r="M121" s="65">
        <f>ROUNDUP(K121/VLOOKUP(L121,Camion!A:D, 3, FALSE),0)</f>
        <v>2</v>
      </c>
      <c r="N121" s="65">
        <f>INT(K121/VLOOKUP(L121,Camion!A:D, 3, FALSE))</f>
        <v>1</v>
      </c>
      <c r="O121" s="66">
        <f>ROUND(K121/VLOOKUP(L121,Camion!A:D, 3, FALSE) - N121,2)</f>
        <v>0.28999999999999998</v>
      </c>
      <c r="P121" s="65"/>
    </row>
    <row r="122" spans="1:16" x14ac:dyDescent="0.25">
      <c r="A122" s="7">
        <v>3</v>
      </c>
      <c r="B122" s="62" t="s">
        <v>185</v>
      </c>
      <c r="C122" s="63" t="s">
        <v>1</v>
      </c>
      <c r="D122" s="63" t="s">
        <v>128</v>
      </c>
      <c r="E122" s="63" t="s">
        <v>71</v>
      </c>
      <c r="F122" s="63" t="s">
        <v>138</v>
      </c>
      <c r="G122" s="63">
        <v>533</v>
      </c>
      <c r="H122" s="63" t="s">
        <v>139</v>
      </c>
      <c r="I122" s="63">
        <f>INDEX(Matériel!A:Z, MATCH(E122, Matériel!A:A, 0), MATCH(H122, INDEX(Matériel!A:Z, MATCH(E122, Matériel!A:A, 0), 0), 0) + 1)</f>
        <v>150</v>
      </c>
      <c r="J122" s="63">
        <f t="shared" ref="J122:J129" si="11">ROUNDUP(G122 / I122, 0)</f>
        <v>4</v>
      </c>
      <c r="K122" s="63">
        <f>VLOOKUP(H122,Manutention!A:E, 3, FALSE) * J122</f>
        <v>12</v>
      </c>
      <c r="L122" s="63" t="s">
        <v>165</v>
      </c>
      <c r="M122" s="63">
        <f>ROUNDUP(K122/VLOOKUP(L122,Camion!A:D, 3, FALSE),0)</f>
        <v>1</v>
      </c>
      <c r="N122" s="63">
        <f>INT(K122/VLOOKUP(L122,Camion!A:D, 3, FALSE))</f>
        <v>1</v>
      </c>
      <c r="O122" s="64">
        <f>ROUND(K122/VLOOKUP(L122,Camion!A:D, 3, FALSE) - N122,2)</f>
        <v>0</v>
      </c>
      <c r="P122" s="63" t="s">
        <v>130</v>
      </c>
    </row>
    <row r="123" spans="1:16" x14ac:dyDescent="0.25">
      <c r="A123" s="7">
        <v>3</v>
      </c>
      <c r="B123" s="62" t="s">
        <v>185</v>
      </c>
      <c r="C123" s="63" t="s">
        <v>1</v>
      </c>
      <c r="D123" s="63" t="s">
        <v>135</v>
      </c>
      <c r="E123" s="63" t="s">
        <v>72</v>
      </c>
      <c r="F123" s="63" t="s">
        <v>138</v>
      </c>
      <c r="G123" s="63">
        <v>1632</v>
      </c>
      <c r="H123" s="63" t="s">
        <v>143</v>
      </c>
      <c r="I123" s="63">
        <f>INDEX(Matériel!A:Z, MATCH(E123, Matériel!A:A, 0), MATCH(H123, INDEX(Matériel!A:Z, MATCH(E123, Matériel!A:A, 0), 0), 0) + 1)</f>
        <v>1000</v>
      </c>
      <c r="J123" s="63">
        <f t="shared" si="11"/>
        <v>2</v>
      </c>
      <c r="K123" s="63">
        <f>VLOOKUP(H123,Manutention!A:E, 3, FALSE) * J123</f>
        <v>2</v>
      </c>
      <c r="L123" s="63" t="s">
        <v>164</v>
      </c>
      <c r="M123" s="63">
        <f>ROUNDUP(K123/VLOOKUP(L123,Camion!A:D, 3, FALSE),0)</f>
        <v>1</v>
      </c>
      <c r="N123" s="63">
        <f>INT(K123/VLOOKUP(L123,Camion!A:D, 3, FALSE))</f>
        <v>0</v>
      </c>
      <c r="O123" s="64">
        <f>ROUND(K123/VLOOKUP(L123,Camion!A:D, 3, FALSE) - N123,2)</f>
        <v>0.22</v>
      </c>
      <c r="P123" s="63" t="s">
        <v>130</v>
      </c>
    </row>
    <row r="124" spans="1:16" x14ac:dyDescent="0.25">
      <c r="A124" s="7">
        <v>3</v>
      </c>
      <c r="B124" s="62" t="s">
        <v>185</v>
      </c>
      <c r="C124" s="63" t="s">
        <v>1</v>
      </c>
      <c r="D124" s="63" t="s">
        <v>135</v>
      </c>
      <c r="E124" s="63" t="s">
        <v>75</v>
      </c>
      <c r="F124" s="63" t="s">
        <v>127</v>
      </c>
      <c r="G124" s="63">
        <v>84</v>
      </c>
      <c r="H124" s="63" t="s">
        <v>136</v>
      </c>
      <c r="I124" s="63">
        <f>INDEX(Matériel!A:Z, MATCH(E124, Matériel!A:A, 0), MATCH(H124, INDEX(Matériel!A:Z, MATCH(E124, Matériel!A:A, 0), 0), 0) + 1)</f>
        <v>60</v>
      </c>
      <c r="J124" s="63">
        <f t="shared" si="11"/>
        <v>2</v>
      </c>
      <c r="K124" s="63">
        <f>VLOOKUP(H124,Manutention!A:E, 3, FALSE) * J124</f>
        <v>2</v>
      </c>
      <c r="L124" s="63" t="s">
        <v>164</v>
      </c>
      <c r="M124" s="63">
        <f>ROUNDUP(K124/VLOOKUP(L124,Camion!A:D, 3, FALSE),0)</f>
        <v>1</v>
      </c>
      <c r="N124" s="63">
        <f>INT(K124/VLOOKUP(L124,Camion!A:D, 3, FALSE))</f>
        <v>0</v>
      </c>
      <c r="O124" s="64">
        <f>ROUND(K124/VLOOKUP(L124,Camion!A:D, 3, FALSE) - N124,2)</f>
        <v>0.22</v>
      </c>
      <c r="P124" s="63" t="s">
        <v>129</v>
      </c>
    </row>
    <row r="125" spans="1:16" x14ac:dyDescent="0.25">
      <c r="A125" s="7">
        <v>3</v>
      </c>
      <c r="B125" s="62" t="s">
        <v>185</v>
      </c>
      <c r="C125" s="63" t="s">
        <v>1</v>
      </c>
      <c r="D125" s="63" t="s">
        <v>128</v>
      </c>
      <c r="E125" s="63" t="s">
        <v>76</v>
      </c>
      <c r="F125" s="63" t="s">
        <v>127</v>
      </c>
      <c r="G125" s="63">
        <v>42</v>
      </c>
      <c r="H125" s="63" t="s">
        <v>131</v>
      </c>
      <c r="I125" s="63">
        <f>INDEX(Matériel!A:Z, MATCH(E125, Matériel!A:A, 0), MATCH(H125, INDEX(Matériel!A:Z, MATCH(E125, Matériel!A:A, 0), 0), 0) + 1)</f>
        <v>100</v>
      </c>
      <c r="J125" s="63">
        <f t="shared" si="11"/>
        <v>1</v>
      </c>
      <c r="K125" s="63">
        <f>VLOOKUP(H125,Manutention!A:E, 3, FALSE) * J125</f>
        <v>1</v>
      </c>
      <c r="L125" s="63" t="s">
        <v>164</v>
      </c>
      <c r="M125" s="63">
        <f>ROUNDUP(K125/VLOOKUP(L125,Camion!A:D, 3, FALSE),0)</f>
        <v>1</v>
      </c>
      <c r="N125" s="63">
        <f>INT(K125/VLOOKUP(L125,Camion!A:D, 3, FALSE))</f>
        <v>0</v>
      </c>
      <c r="O125" s="64">
        <f>ROUND(K125/VLOOKUP(L125,Camion!A:D, 3, FALSE) - N125,2)</f>
        <v>0.11</v>
      </c>
      <c r="P125" s="63" t="s">
        <v>129</v>
      </c>
    </row>
    <row r="126" spans="1:16" x14ac:dyDescent="0.25">
      <c r="A126" s="7">
        <v>3</v>
      </c>
      <c r="B126" s="62" t="s">
        <v>185</v>
      </c>
      <c r="C126" s="63" t="s">
        <v>1</v>
      </c>
      <c r="D126" s="63" t="s">
        <v>135</v>
      </c>
      <c r="E126" s="63" t="s">
        <v>77</v>
      </c>
      <c r="F126" s="63" t="s">
        <v>127</v>
      </c>
      <c r="G126" s="63">
        <v>349</v>
      </c>
      <c r="H126" s="63" t="s">
        <v>131</v>
      </c>
      <c r="I126" s="63">
        <f>INDEX(Matériel!A:Z, MATCH(E126, Matériel!A:A, 0), MATCH(H126, INDEX(Matériel!A:Z, MATCH(E126, Matériel!A:A, 0), 0), 0) + 1)</f>
        <v>20</v>
      </c>
      <c r="J126" s="63">
        <f t="shared" si="11"/>
        <v>18</v>
      </c>
      <c r="K126" s="63">
        <f>VLOOKUP(H126,Manutention!A:E, 3, FALSE) * J126</f>
        <v>18</v>
      </c>
      <c r="L126" s="63" t="s">
        <v>167</v>
      </c>
      <c r="M126" s="63">
        <f>ROUNDUP(K126/VLOOKUP(L126,Camion!A:D, 3, FALSE),0)</f>
        <v>1</v>
      </c>
      <c r="N126" s="63">
        <f>INT(K126/VLOOKUP(L126,Camion!A:D, 3, FALSE))</f>
        <v>0</v>
      </c>
      <c r="O126" s="64">
        <f>ROUND(K126/VLOOKUP(L126,Camion!A:D, 3, FALSE) - N126,2)</f>
        <v>0.9</v>
      </c>
      <c r="P126" s="63" t="s">
        <v>129</v>
      </c>
    </row>
    <row r="127" spans="1:16" x14ac:dyDescent="0.25">
      <c r="A127" s="7">
        <v>3</v>
      </c>
      <c r="B127" s="62" t="s">
        <v>185</v>
      </c>
      <c r="C127" s="63" t="s">
        <v>1</v>
      </c>
      <c r="D127" s="63" t="s">
        <v>135</v>
      </c>
      <c r="E127" s="63" t="s">
        <v>78</v>
      </c>
      <c r="F127" s="63" t="s">
        <v>127</v>
      </c>
      <c r="G127" s="63">
        <v>7</v>
      </c>
      <c r="H127" s="63" t="s">
        <v>133</v>
      </c>
      <c r="I127" s="63">
        <f>INDEX(Matériel!A:Z, MATCH(E127, Matériel!A:A, 0), MATCH(H127, INDEX(Matériel!A:Z, MATCH(E127, Matériel!A:A, 0), 0), 0) + 1)</f>
        <v>1</v>
      </c>
      <c r="J127" s="63">
        <f t="shared" si="11"/>
        <v>7</v>
      </c>
      <c r="K127" s="63">
        <f>VLOOKUP(H127,Manutention!A:E, 3, FALSE) * J127</f>
        <v>14</v>
      </c>
      <c r="L127" s="63" t="s">
        <v>166</v>
      </c>
      <c r="M127" s="63">
        <f>ROUNDUP(K127/VLOOKUP(L127,Camion!A:D, 3, FALSE),0)</f>
        <v>1</v>
      </c>
      <c r="N127" s="63">
        <f>INT(K127/VLOOKUP(L127,Camion!A:D, 3, FALSE))</f>
        <v>0</v>
      </c>
      <c r="O127" s="64">
        <f>ROUND(K127/VLOOKUP(L127,Camion!A:D, 3, FALSE) - N127,2)</f>
        <v>0.82</v>
      </c>
      <c r="P127" s="63" t="s">
        <v>129</v>
      </c>
    </row>
    <row r="128" spans="1:16" x14ac:dyDescent="0.25">
      <c r="A128" s="7">
        <v>3</v>
      </c>
      <c r="B128" s="62" t="s">
        <v>185</v>
      </c>
      <c r="C128" s="63" t="s">
        <v>1</v>
      </c>
      <c r="D128" s="63" t="s">
        <v>135</v>
      </c>
      <c r="E128" s="63" t="s">
        <v>79</v>
      </c>
      <c r="F128" s="63" t="s">
        <v>127</v>
      </c>
      <c r="G128" s="63">
        <v>5</v>
      </c>
      <c r="H128" s="63" t="s">
        <v>133</v>
      </c>
      <c r="I128" s="63">
        <f>INDEX(Matériel!A:Z, MATCH(E128, Matériel!A:A, 0), MATCH(H128, INDEX(Matériel!A:Z, MATCH(E128, Matériel!A:A, 0), 0), 0) + 1)</f>
        <v>1</v>
      </c>
      <c r="J128" s="63">
        <f t="shared" si="11"/>
        <v>5</v>
      </c>
      <c r="K128" s="63">
        <f>VLOOKUP(H128,Manutention!A:E, 3, FALSE) * J128</f>
        <v>10</v>
      </c>
      <c r="L128" s="63" t="s">
        <v>165</v>
      </c>
      <c r="M128" s="63">
        <f>ROUNDUP(K128/VLOOKUP(L128,Camion!A:D, 3, FALSE),0)</f>
        <v>1</v>
      </c>
      <c r="N128" s="63">
        <f>INT(K128/VLOOKUP(L128,Camion!A:D, 3, FALSE))</f>
        <v>0</v>
      </c>
      <c r="O128" s="64">
        <f>ROUND(K128/VLOOKUP(L128,Camion!A:D, 3, FALSE) - N128,2)</f>
        <v>0.83</v>
      </c>
      <c r="P128" s="63" t="s">
        <v>129</v>
      </c>
    </row>
    <row r="129" spans="1:16" x14ac:dyDescent="0.25">
      <c r="A129" s="7">
        <v>3</v>
      </c>
      <c r="B129" s="62" t="s">
        <v>185</v>
      </c>
      <c r="C129" s="63" t="s">
        <v>1</v>
      </c>
      <c r="D129" s="63" t="s">
        <v>128</v>
      </c>
      <c r="E129" s="63" t="s">
        <v>81</v>
      </c>
      <c r="F129" s="63" t="s">
        <v>127</v>
      </c>
      <c r="G129" s="63">
        <v>16</v>
      </c>
      <c r="H129" s="63" t="s">
        <v>131</v>
      </c>
      <c r="I129" s="63">
        <f>INDEX(Matériel!A:Z, MATCH(E129, Matériel!A:A, 0), MATCH(H129, INDEX(Matériel!A:Z, MATCH(E129, Matériel!A:A, 0), 0), 0) + 1)</f>
        <v>100</v>
      </c>
      <c r="J129" s="63">
        <f t="shared" si="11"/>
        <v>1</v>
      </c>
      <c r="K129" s="63">
        <f>VLOOKUP(H129,Manutention!A:E, 3, FALSE) * J129</f>
        <v>1</v>
      </c>
      <c r="L129" s="63" t="s">
        <v>164</v>
      </c>
      <c r="M129" s="63">
        <f>ROUNDUP(K129/VLOOKUP(L129,Camion!A:D, 3, FALSE),0)</f>
        <v>1</v>
      </c>
      <c r="N129" s="63">
        <f>INT(K129/VLOOKUP(L129,Camion!A:D, 3, FALSE))</f>
        <v>0</v>
      </c>
      <c r="O129" s="64">
        <f>ROUND(K129/VLOOKUP(L129,Camion!A:D, 3, FALSE) - N129,2)</f>
        <v>0.11</v>
      </c>
      <c r="P129" s="63" t="s">
        <v>130</v>
      </c>
    </row>
    <row r="130" spans="1:16" x14ac:dyDescent="0.25">
      <c r="A130" s="7">
        <v>3</v>
      </c>
      <c r="B130" s="5" t="s">
        <v>185</v>
      </c>
      <c r="C130" s="65"/>
      <c r="D130" s="65"/>
      <c r="E130" s="65" t="s">
        <v>187</v>
      </c>
      <c r="F130" s="65"/>
      <c r="G130" s="65"/>
      <c r="H130" s="65" t="s">
        <v>131</v>
      </c>
      <c r="I130" s="65"/>
      <c r="J130" s="65"/>
      <c r="K130" s="65">
        <f>SUMIFS(K:K, A:A, 3, B:B, "Z3 Z4", P:P, "Oui", D:D, "Production")</f>
        <v>1</v>
      </c>
      <c r="L130" s="65" t="s">
        <v>164</v>
      </c>
      <c r="M130" s="65">
        <f>ROUNDUP(K130/VLOOKUP(L130,Camion!A:D, 3, FALSE),0)</f>
        <v>1</v>
      </c>
      <c r="N130" s="65">
        <f>INT(K130/VLOOKUP(L130,Camion!A:D, 3, FALSE))</f>
        <v>0</v>
      </c>
      <c r="O130" s="66">
        <f>ROUND(K130/VLOOKUP(L130,Camion!A:D, 3, FALSE) - N130,2)</f>
        <v>0.11</v>
      </c>
      <c r="P130" s="65"/>
    </row>
    <row r="131" spans="1:16" x14ac:dyDescent="0.25">
      <c r="A131" s="7">
        <v>3</v>
      </c>
      <c r="B131" s="5" t="s">
        <v>185</v>
      </c>
      <c r="C131" s="65"/>
      <c r="D131" s="65"/>
      <c r="E131" s="65" t="s">
        <v>188</v>
      </c>
      <c r="F131" s="65"/>
      <c r="G131" s="65"/>
      <c r="H131" s="65" t="s">
        <v>131</v>
      </c>
      <c r="I131" s="65"/>
      <c r="J131" s="65"/>
      <c r="K131" s="65">
        <f>SUMIFS(K:K, A:A, 3, B:B, "Z3 Z4", P:P, "Oui", D:D, "Terminaux")</f>
        <v>44</v>
      </c>
      <c r="L131" s="65" t="s">
        <v>168</v>
      </c>
      <c r="M131" s="65">
        <f>ROUNDUP(K131/VLOOKUP(L131,Camion!A:D, 3, FALSE),0)</f>
        <v>2</v>
      </c>
      <c r="N131" s="65">
        <f>INT(K131/VLOOKUP(L131,Camion!A:D, 3, FALSE))</f>
        <v>1</v>
      </c>
      <c r="O131" s="66">
        <f>ROUND(K131/VLOOKUP(L131,Camion!A:D, 3, FALSE) - N131,2)</f>
        <v>0.28999999999999998</v>
      </c>
      <c r="P131" s="65"/>
    </row>
    <row r="132" spans="1:16" x14ac:dyDescent="0.25">
      <c r="A132" s="7">
        <v>4</v>
      </c>
      <c r="B132" s="62" t="s">
        <v>184</v>
      </c>
      <c r="C132" s="63" t="s">
        <v>1</v>
      </c>
      <c r="D132" s="63" t="s">
        <v>128</v>
      </c>
      <c r="E132" s="63" t="s">
        <v>71</v>
      </c>
      <c r="F132" s="63" t="s">
        <v>138</v>
      </c>
      <c r="G132" s="63">
        <v>525</v>
      </c>
      <c r="H132" s="63" t="s">
        <v>139</v>
      </c>
      <c r="I132" s="63">
        <f>INDEX(Matériel!A:Z, MATCH(E132, Matériel!A:A, 0), MATCH(H132, INDEX(Matériel!A:Z, MATCH(E132, Matériel!A:A, 0), 0), 0) + 1)</f>
        <v>150</v>
      </c>
      <c r="J132" s="63">
        <f t="shared" ref="J132:J139" si="12">ROUNDUP(G132 / I132, 0)</f>
        <v>4</v>
      </c>
      <c r="K132" s="63">
        <f>VLOOKUP(H132,Manutention!A:E, 3, FALSE) * J132</f>
        <v>12</v>
      </c>
      <c r="L132" s="63" t="s">
        <v>165</v>
      </c>
      <c r="M132" s="63">
        <f>ROUNDUP(K132/VLOOKUP(L132,Camion!A:D, 3, FALSE),0)</f>
        <v>1</v>
      </c>
      <c r="N132" s="63">
        <f>INT(K132/VLOOKUP(L132,Camion!A:D, 3, FALSE))</f>
        <v>1</v>
      </c>
      <c r="O132" s="64">
        <f>ROUND(K132/VLOOKUP(L132,Camion!A:D, 3, FALSE) - N132,2)</f>
        <v>0</v>
      </c>
      <c r="P132" s="63" t="s">
        <v>130</v>
      </c>
    </row>
    <row r="133" spans="1:16" x14ac:dyDescent="0.25">
      <c r="A133" s="7">
        <v>4</v>
      </c>
      <c r="B133" s="62" t="s">
        <v>184</v>
      </c>
      <c r="C133" s="63" t="s">
        <v>1</v>
      </c>
      <c r="D133" s="63" t="s">
        <v>135</v>
      </c>
      <c r="E133" s="63" t="s">
        <v>72</v>
      </c>
      <c r="F133" s="63" t="s">
        <v>138</v>
      </c>
      <c r="G133" s="63">
        <v>1608</v>
      </c>
      <c r="H133" s="63" t="s">
        <v>143</v>
      </c>
      <c r="I133" s="63">
        <f>INDEX(Matériel!A:Z, MATCH(E133, Matériel!A:A, 0), MATCH(H133, INDEX(Matériel!A:Z, MATCH(E133, Matériel!A:A, 0), 0), 0) + 1)</f>
        <v>1000</v>
      </c>
      <c r="J133" s="63">
        <f t="shared" si="12"/>
        <v>2</v>
      </c>
      <c r="K133" s="63">
        <f>VLOOKUP(H133,Manutention!A:E, 3, FALSE) * J133</f>
        <v>2</v>
      </c>
      <c r="L133" s="63" t="s">
        <v>164</v>
      </c>
      <c r="M133" s="63">
        <f>ROUNDUP(K133/VLOOKUP(L133,Camion!A:D, 3, FALSE),0)</f>
        <v>1</v>
      </c>
      <c r="N133" s="63">
        <f>INT(K133/VLOOKUP(L133,Camion!A:D, 3, FALSE))</f>
        <v>0</v>
      </c>
      <c r="O133" s="64">
        <f>ROUND(K133/VLOOKUP(L133,Camion!A:D, 3, FALSE) - N133,2)</f>
        <v>0.22</v>
      </c>
      <c r="P133" s="63" t="s">
        <v>130</v>
      </c>
    </row>
    <row r="134" spans="1:16" x14ac:dyDescent="0.25">
      <c r="A134" s="7">
        <v>4</v>
      </c>
      <c r="B134" s="62" t="s">
        <v>184</v>
      </c>
      <c r="C134" s="63" t="s">
        <v>1</v>
      </c>
      <c r="D134" s="63" t="s">
        <v>135</v>
      </c>
      <c r="E134" s="63" t="s">
        <v>75</v>
      </c>
      <c r="F134" s="63" t="s">
        <v>127</v>
      </c>
      <c r="G134" s="63">
        <v>82</v>
      </c>
      <c r="H134" s="63" t="s">
        <v>136</v>
      </c>
      <c r="I134" s="63">
        <f>INDEX(Matériel!A:Z, MATCH(E134, Matériel!A:A, 0), MATCH(H134, INDEX(Matériel!A:Z, MATCH(E134, Matériel!A:A, 0), 0), 0) + 1)</f>
        <v>60</v>
      </c>
      <c r="J134" s="63">
        <f t="shared" si="12"/>
        <v>2</v>
      </c>
      <c r="K134" s="63">
        <f>VLOOKUP(H134,Manutention!A:E, 3, FALSE) * J134</f>
        <v>2</v>
      </c>
      <c r="L134" s="63" t="s">
        <v>164</v>
      </c>
      <c r="M134" s="63">
        <f>ROUNDUP(K134/VLOOKUP(L134,Camion!A:D, 3, FALSE),0)</f>
        <v>1</v>
      </c>
      <c r="N134" s="63">
        <f>INT(K134/VLOOKUP(L134,Camion!A:D, 3, FALSE))</f>
        <v>0</v>
      </c>
      <c r="O134" s="64">
        <f>ROUND(K134/VLOOKUP(L134,Camion!A:D, 3, FALSE) - N134,2)</f>
        <v>0.22</v>
      </c>
      <c r="P134" s="63" t="s">
        <v>129</v>
      </c>
    </row>
    <row r="135" spans="1:16" x14ac:dyDescent="0.25">
      <c r="A135" s="7">
        <v>4</v>
      </c>
      <c r="B135" s="62" t="s">
        <v>184</v>
      </c>
      <c r="C135" s="63" t="s">
        <v>1</v>
      </c>
      <c r="D135" s="63" t="s">
        <v>128</v>
      </c>
      <c r="E135" s="63" t="s">
        <v>76</v>
      </c>
      <c r="F135" s="63" t="s">
        <v>127</v>
      </c>
      <c r="G135" s="63">
        <v>41</v>
      </c>
      <c r="H135" s="63" t="s">
        <v>131</v>
      </c>
      <c r="I135" s="63">
        <f>INDEX(Matériel!A:Z, MATCH(E135, Matériel!A:A, 0), MATCH(H135, INDEX(Matériel!A:Z, MATCH(E135, Matériel!A:A, 0), 0), 0) + 1)</f>
        <v>100</v>
      </c>
      <c r="J135" s="63">
        <f t="shared" si="12"/>
        <v>1</v>
      </c>
      <c r="K135" s="63">
        <f>VLOOKUP(H135,Manutention!A:E, 3, FALSE) * J135</f>
        <v>1</v>
      </c>
      <c r="L135" s="63" t="s">
        <v>164</v>
      </c>
      <c r="M135" s="63">
        <f>ROUNDUP(K135/VLOOKUP(L135,Camion!A:D, 3, FALSE),0)</f>
        <v>1</v>
      </c>
      <c r="N135" s="63">
        <f>INT(K135/VLOOKUP(L135,Camion!A:D, 3, FALSE))</f>
        <v>0</v>
      </c>
      <c r="O135" s="64">
        <f>ROUND(K135/VLOOKUP(L135,Camion!A:D, 3, FALSE) - N135,2)</f>
        <v>0.11</v>
      </c>
      <c r="P135" s="63" t="s">
        <v>129</v>
      </c>
    </row>
    <row r="136" spans="1:16" x14ac:dyDescent="0.25">
      <c r="A136" s="7">
        <v>4</v>
      </c>
      <c r="B136" s="62" t="s">
        <v>184</v>
      </c>
      <c r="C136" s="63" t="s">
        <v>1</v>
      </c>
      <c r="D136" s="63" t="s">
        <v>135</v>
      </c>
      <c r="E136" s="63" t="s">
        <v>77</v>
      </c>
      <c r="F136" s="63" t="s">
        <v>127</v>
      </c>
      <c r="G136" s="63">
        <v>344</v>
      </c>
      <c r="H136" s="63" t="s">
        <v>131</v>
      </c>
      <c r="I136" s="63">
        <f>INDEX(Matériel!A:Z, MATCH(E136, Matériel!A:A, 0), MATCH(H136, INDEX(Matériel!A:Z, MATCH(E136, Matériel!A:A, 0), 0), 0) + 1)</f>
        <v>20</v>
      </c>
      <c r="J136" s="63">
        <f t="shared" si="12"/>
        <v>18</v>
      </c>
      <c r="K136" s="63">
        <f>VLOOKUP(H136,Manutention!A:E, 3, FALSE) * J136</f>
        <v>18</v>
      </c>
      <c r="L136" s="63" t="s">
        <v>167</v>
      </c>
      <c r="M136" s="63">
        <f>ROUNDUP(K136/VLOOKUP(L136,Camion!A:D, 3, FALSE),0)</f>
        <v>1</v>
      </c>
      <c r="N136" s="63">
        <f>INT(K136/VLOOKUP(L136,Camion!A:D, 3, FALSE))</f>
        <v>0</v>
      </c>
      <c r="O136" s="64">
        <f>ROUND(K136/VLOOKUP(L136,Camion!A:D, 3, FALSE) - N136,2)</f>
        <v>0.9</v>
      </c>
      <c r="P136" s="63" t="s">
        <v>129</v>
      </c>
    </row>
    <row r="137" spans="1:16" x14ac:dyDescent="0.25">
      <c r="A137" s="7">
        <v>4</v>
      </c>
      <c r="B137" s="62" t="s">
        <v>184</v>
      </c>
      <c r="C137" s="63" t="s">
        <v>1</v>
      </c>
      <c r="D137" s="63" t="s">
        <v>135</v>
      </c>
      <c r="E137" s="63" t="s">
        <v>78</v>
      </c>
      <c r="F137" s="63" t="s">
        <v>127</v>
      </c>
      <c r="G137" s="63">
        <v>7</v>
      </c>
      <c r="H137" s="63" t="s">
        <v>133</v>
      </c>
      <c r="I137" s="63">
        <f>INDEX(Matériel!A:Z, MATCH(E137, Matériel!A:A, 0), MATCH(H137, INDEX(Matériel!A:Z, MATCH(E137, Matériel!A:A, 0), 0), 0) + 1)</f>
        <v>1</v>
      </c>
      <c r="J137" s="63">
        <f t="shared" si="12"/>
        <v>7</v>
      </c>
      <c r="K137" s="63">
        <f>VLOOKUP(H137,Manutention!A:E, 3, FALSE) * J137</f>
        <v>14</v>
      </c>
      <c r="L137" s="63" t="s">
        <v>166</v>
      </c>
      <c r="M137" s="63">
        <f>ROUNDUP(K137/VLOOKUP(L137,Camion!A:D, 3, FALSE),0)</f>
        <v>1</v>
      </c>
      <c r="N137" s="63">
        <f>INT(K137/VLOOKUP(L137,Camion!A:D, 3, FALSE))</f>
        <v>0</v>
      </c>
      <c r="O137" s="64">
        <f>ROUND(K137/VLOOKUP(L137,Camion!A:D, 3, FALSE) - N137,2)</f>
        <v>0.82</v>
      </c>
      <c r="P137" s="63" t="s">
        <v>129</v>
      </c>
    </row>
    <row r="138" spans="1:16" x14ac:dyDescent="0.25">
      <c r="A138" s="7">
        <v>4</v>
      </c>
      <c r="B138" s="62" t="s">
        <v>184</v>
      </c>
      <c r="C138" s="63" t="s">
        <v>1</v>
      </c>
      <c r="D138" s="63" t="s">
        <v>135</v>
      </c>
      <c r="E138" s="63" t="s">
        <v>79</v>
      </c>
      <c r="F138" s="63" t="s">
        <v>127</v>
      </c>
      <c r="G138" s="63">
        <v>5</v>
      </c>
      <c r="H138" s="63" t="s">
        <v>133</v>
      </c>
      <c r="I138" s="63">
        <f>INDEX(Matériel!A:Z, MATCH(E138, Matériel!A:A, 0), MATCH(H138, INDEX(Matériel!A:Z, MATCH(E138, Matériel!A:A, 0), 0), 0) + 1)</f>
        <v>1</v>
      </c>
      <c r="J138" s="63">
        <f t="shared" si="12"/>
        <v>5</v>
      </c>
      <c r="K138" s="63">
        <f>VLOOKUP(H138,Manutention!A:E, 3, FALSE) * J138</f>
        <v>10</v>
      </c>
      <c r="L138" s="63" t="s">
        <v>165</v>
      </c>
      <c r="M138" s="63">
        <f>ROUNDUP(K138/VLOOKUP(L138,Camion!A:D, 3, FALSE),0)</f>
        <v>1</v>
      </c>
      <c r="N138" s="63">
        <f>INT(K138/VLOOKUP(L138,Camion!A:D, 3, FALSE))</f>
        <v>0</v>
      </c>
      <c r="O138" s="64">
        <f>ROUND(K138/VLOOKUP(L138,Camion!A:D, 3, FALSE) - N138,2)</f>
        <v>0.83</v>
      </c>
      <c r="P138" s="63" t="s">
        <v>129</v>
      </c>
    </row>
    <row r="139" spans="1:16" x14ac:dyDescent="0.25">
      <c r="A139" s="7">
        <v>4</v>
      </c>
      <c r="B139" s="62" t="s">
        <v>184</v>
      </c>
      <c r="C139" s="63" t="s">
        <v>1</v>
      </c>
      <c r="D139" s="63" t="s">
        <v>128</v>
      </c>
      <c r="E139" s="63" t="s">
        <v>81</v>
      </c>
      <c r="F139" s="63" t="s">
        <v>127</v>
      </c>
      <c r="G139" s="63">
        <v>15</v>
      </c>
      <c r="H139" s="63" t="s">
        <v>131</v>
      </c>
      <c r="I139" s="63">
        <f>INDEX(Matériel!A:Z, MATCH(E139, Matériel!A:A, 0), MATCH(H139, INDEX(Matériel!A:Z, MATCH(E139, Matériel!A:A, 0), 0), 0) + 1)</f>
        <v>100</v>
      </c>
      <c r="J139" s="63">
        <f t="shared" si="12"/>
        <v>1</v>
      </c>
      <c r="K139" s="63">
        <f>VLOOKUP(H139,Manutention!A:E, 3, FALSE) * J139</f>
        <v>1</v>
      </c>
      <c r="L139" s="63" t="s">
        <v>164</v>
      </c>
      <c r="M139" s="63">
        <f>ROUNDUP(K139/VLOOKUP(L139,Camion!A:D, 3, FALSE),0)</f>
        <v>1</v>
      </c>
      <c r="N139" s="63">
        <f>INT(K139/VLOOKUP(L139,Camion!A:D, 3, FALSE))</f>
        <v>0</v>
      </c>
      <c r="O139" s="64">
        <f>ROUND(K139/VLOOKUP(L139,Camion!A:D, 3, FALSE) - N139,2)</f>
        <v>0.11</v>
      </c>
      <c r="P139" s="63" t="s">
        <v>130</v>
      </c>
    </row>
    <row r="140" spans="1:16" x14ac:dyDescent="0.25">
      <c r="A140" s="7">
        <v>4</v>
      </c>
      <c r="B140" s="5" t="s">
        <v>184</v>
      </c>
      <c r="C140" s="65"/>
      <c r="D140" s="65"/>
      <c r="E140" s="65" t="s">
        <v>187</v>
      </c>
      <c r="F140" s="65"/>
      <c r="G140" s="65"/>
      <c r="H140" s="65" t="s">
        <v>131</v>
      </c>
      <c r="I140" s="65"/>
      <c r="J140" s="65"/>
      <c r="K140" s="65">
        <f>SUMIFS(K:K, A:A, 4, B:B, "Z1 Z2", P:P, "Oui", D:D, "Production")</f>
        <v>1</v>
      </c>
      <c r="L140" s="65" t="s">
        <v>164</v>
      </c>
      <c r="M140" s="65">
        <f>ROUNDUP(K140/VLOOKUP(L140,Camion!A:D, 3, FALSE),0)</f>
        <v>1</v>
      </c>
      <c r="N140" s="65">
        <f>INT(K140/VLOOKUP(L140,Camion!A:D, 3, FALSE))</f>
        <v>0</v>
      </c>
      <c r="O140" s="66">
        <f>ROUND(K140/VLOOKUP(L140,Camion!A:D, 3, FALSE) - N140,2)</f>
        <v>0.11</v>
      </c>
      <c r="P140" s="65"/>
    </row>
    <row r="141" spans="1:16" x14ac:dyDescent="0.25">
      <c r="A141" s="7">
        <v>4</v>
      </c>
      <c r="B141" s="5" t="s">
        <v>184</v>
      </c>
      <c r="C141" s="65"/>
      <c r="D141" s="65"/>
      <c r="E141" s="65" t="s">
        <v>188</v>
      </c>
      <c r="F141" s="65"/>
      <c r="G141" s="65"/>
      <c r="H141" s="65" t="s">
        <v>131</v>
      </c>
      <c r="I141" s="65"/>
      <c r="J141" s="65"/>
      <c r="K141" s="65">
        <f>SUMIFS(K:K, A:A, 4, B:B, "Z1 Z2", P:P, "Oui", D:D, "Terminaux")</f>
        <v>44</v>
      </c>
      <c r="L141" s="65" t="s">
        <v>168</v>
      </c>
      <c r="M141" s="65">
        <f>ROUNDUP(K141/VLOOKUP(L141,Camion!A:D, 3, FALSE),0)</f>
        <v>2</v>
      </c>
      <c r="N141" s="65">
        <f>INT(K141/VLOOKUP(L141,Camion!A:D, 3, FALSE))</f>
        <v>1</v>
      </c>
      <c r="O141" s="66">
        <f>ROUND(K141/VLOOKUP(L141,Camion!A:D, 3, FALSE) - N141,2)</f>
        <v>0.28999999999999998</v>
      </c>
      <c r="P141" s="65"/>
    </row>
    <row r="142" spans="1:16" x14ac:dyDescent="0.25">
      <c r="A142" s="7">
        <v>4</v>
      </c>
      <c r="B142" s="62" t="s">
        <v>185</v>
      </c>
      <c r="C142" s="63" t="s">
        <v>1</v>
      </c>
      <c r="D142" s="63" t="s">
        <v>128</v>
      </c>
      <c r="E142" s="63" t="s">
        <v>71</v>
      </c>
      <c r="F142" s="63" t="s">
        <v>138</v>
      </c>
      <c r="G142" s="63">
        <v>517</v>
      </c>
      <c r="H142" s="63" t="s">
        <v>139</v>
      </c>
      <c r="I142" s="63">
        <f>INDEX(Matériel!A:Z, MATCH(E142, Matériel!A:A, 0), MATCH(H142, INDEX(Matériel!A:Z, MATCH(E142, Matériel!A:A, 0), 0), 0) + 1)</f>
        <v>150</v>
      </c>
      <c r="J142" s="63">
        <f t="shared" ref="J142:J149" si="13">ROUNDUP(G142 / I142, 0)</f>
        <v>4</v>
      </c>
      <c r="K142" s="63">
        <f>VLOOKUP(H142,Manutention!A:E, 3, FALSE) * J142</f>
        <v>12</v>
      </c>
      <c r="L142" s="63" t="s">
        <v>165</v>
      </c>
      <c r="M142" s="63">
        <f>ROUNDUP(K142/VLOOKUP(L142,Camion!A:D, 3, FALSE),0)</f>
        <v>1</v>
      </c>
      <c r="N142" s="63">
        <f>INT(K142/VLOOKUP(L142,Camion!A:D, 3, FALSE))</f>
        <v>1</v>
      </c>
      <c r="O142" s="64">
        <f>ROUND(K142/VLOOKUP(L142,Camion!A:D, 3, FALSE) - N142,2)</f>
        <v>0</v>
      </c>
      <c r="P142" s="63" t="s">
        <v>130</v>
      </c>
    </row>
    <row r="143" spans="1:16" x14ac:dyDescent="0.25">
      <c r="A143" s="7">
        <v>4</v>
      </c>
      <c r="B143" s="62" t="s">
        <v>185</v>
      </c>
      <c r="C143" s="63" t="s">
        <v>1</v>
      </c>
      <c r="D143" s="63" t="s">
        <v>135</v>
      </c>
      <c r="E143" s="63" t="s">
        <v>72</v>
      </c>
      <c r="F143" s="63" t="s">
        <v>138</v>
      </c>
      <c r="G143" s="63">
        <v>1583</v>
      </c>
      <c r="H143" s="63" t="s">
        <v>143</v>
      </c>
      <c r="I143" s="63">
        <f>INDEX(Matériel!A:Z, MATCH(E143, Matériel!A:A, 0), MATCH(H143, INDEX(Matériel!A:Z, MATCH(E143, Matériel!A:A, 0), 0), 0) + 1)</f>
        <v>1000</v>
      </c>
      <c r="J143" s="63">
        <f t="shared" si="13"/>
        <v>2</v>
      </c>
      <c r="K143" s="63">
        <f>VLOOKUP(H143,Manutention!A:E, 3, FALSE) * J143</f>
        <v>2</v>
      </c>
      <c r="L143" s="63" t="s">
        <v>164</v>
      </c>
      <c r="M143" s="63">
        <f>ROUNDUP(K143/VLOOKUP(L143,Camion!A:D, 3, FALSE),0)</f>
        <v>1</v>
      </c>
      <c r="N143" s="63">
        <f>INT(K143/VLOOKUP(L143,Camion!A:D, 3, FALSE))</f>
        <v>0</v>
      </c>
      <c r="O143" s="64">
        <f>ROUND(K143/VLOOKUP(L143,Camion!A:D, 3, FALSE) - N143,2)</f>
        <v>0.22</v>
      </c>
      <c r="P143" s="63" t="s">
        <v>130</v>
      </c>
    </row>
    <row r="144" spans="1:16" x14ac:dyDescent="0.25">
      <c r="A144" s="7">
        <v>4</v>
      </c>
      <c r="B144" s="62" t="s">
        <v>185</v>
      </c>
      <c r="C144" s="63" t="s">
        <v>1</v>
      </c>
      <c r="D144" s="63" t="s">
        <v>135</v>
      </c>
      <c r="E144" s="63" t="s">
        <v>75</v>
      </c>
      <c r="F144" s="63" t="s">
        <v>127</v>
      </c>
      <c r="G144" s="63">
        <v>81</v>
      </c>
      <c r="H144" s="63" t="s">
        <v>136</v>
      </c>
      <c r="I144" s="63">
        <f>INDEX(Matériel!A:Z, MATCH(E144, Matériel!A:A, 0), MATCH(H144, INDEX(Matériel!A:Z, MATCH(E144, Matériel!A:A, 0), 0), 0) + 1)</f>
        <v>60</v>
      </c>
      <c r="J144" s="63">
        <f t="shared" si="13"/>
        <v>2</v>
      </c>
      <c r="K144" s="63">
        <f>VLOOKUP(H144,Manutention!A:E, 3, FALSE) * J144</f>
        <v>2</v>
      </c>
      <c r="L144" s="63" t="s">
        <v>164</v>
      </c>
      <c r="M144" s="63">
        <f>ROUNDUP(K144/VLOOKUP(L144,Camion!A:D, 3, FALSE),0)</f>
        <v>1</v>
      </c>
      <c r="N144" s="63">
        <f>INT(K144/VLOOKUP(L144,Camion!A:D, 3, FALSE))</f>
        <v>0</v>
      </c>
      <c r="O144" s="64">
        <f>ROUND(K144/VLOOKUP(L144,Camion!A:D, 3, FALSE) - N144,2)</f>
        <v>0.22</v>
      </c>
      <c r="P144" s="63" t="s">
        <v>129</v>
      </c>
    </row>
    <row r="145" spans="1:16" x14ac:dyDescent="0.25">
      <c r="A145" s="7">
        <v>4</v>
      </c>
      <c r="B145" s="62" t="s">
        <v>185</v>
      </c>
      <c r="C145" s="63" t="s">
        <v>1</v>
      </c>
      <c r="D145" s="63" t="s">
        <v>128</v>
      </c>
      <c r="E145" s="63" t="s">
        <v>76</v>
      </c>
      <c r="F145" s="63" t="s">
        <v>127</v>
      </c>
      <c r="G145" s="63">
        <v>40</v>
      </c>
      <c r="H145" s="63" t="s">
        <v>131</v>
      </c>
      <c r="I145" s="63">
        <f>INDEX(Matériel!A:Z, MATCH(E145, Matériel!A:A, 0), MATCH(H145, INDEX(Matériel!A:Z, MATCH(E145, Matériel!A:A, 0), 0), 0) + 1)</f>
        <v>100</v>
      </c>
      <c r="J145" s="63">
        <f t="shared" si="13"/>
        <v>1</v>
      </c>
      <c r="K145" s="63">
        <f>VLOOKUP(H145,Manutention!A:E, 3, FALSE) * J145</f>
        <v>1</v>
      </c>
      <c r="L145" s="63" t="s">
        <v>164</v>
      </c>
      <c r="M145" s="63">
        <f>ROUNDUP(K145/VLOOKUP(L145,Camion!A:D, 3, FALSE),0)</f>
        <v>1</v>
      </c>
      <c r="N145" s="63">
        <f>INT(K145/VLOOKUP(L145,Camion!A:D, 3, FALSE))</f>
        <v>0</v>
      </c>
      <c r="O145" s="64">
        <f>ROUND(K145/VLOOKUP(L145,Camion!A:D, 3, FALSE) - N145,2)</f>
        <v>0.11</v>
      </c>
      <c r="P145" s="63" t="s">
        <v>129</v>
      </c>
    </row>
    <row r="146" spans="1:16" x14ac:dyDescent="0.25">
      <c r="A146" s="7">
        <v>4</v>
      </c>
      <c r="B146" s="62" t="s">
        <v>185</v>
      </c>
      <c r="C146" s="63" t="s">
        <v>1</v>
      </c>
      <c r="D146" s="63" t="s">
        <v>135</v>
      </c>
      <c r="E146" s="63" t="s">
        <v>77</v>
      </c>
      <c r="F146" s="63" t="s">
        <v>127</v>
      </c>
      <c r="G146" s="63">
        <v>339</v>
      </c>
      <c r="H146" s="63" t="s">
        <v>131</v>
      </c>
      <c r="I146" s="63">
        <f>INDEX(Matériel!A:Z, MATCH(E146, Matériel!A:A, 0), MATCH(H146, INDEX(Matériel!A:Z, MATCH(E146, Matériel!A:A, 0), 0), 0) + 1)</f>
        <v>20</v>
      </c>
      <c r="J146" s="63">
        <f t="shared" si="13"/>
        <v>17</v>
      </c>
      <c r="K146" s="63">
        <f>VLOOKUP(H146,Manutention!A:E, 3, FALSE) * J146</f>
        <v>17</v>
      </c>
      <c r="L146" s="63" t="s">
        <v>166</v>
      </c>
      <c r="M146" s="63">
        <f>ROUNDUP(K146/VLOOKUP(L146,Camion!A:D, 3, FALSE),0)</f>
        <v>1</v>
      </c>
      <c r="N146" s="63">
        <f>INT(K146/VLOOKUP(L146,Camion!A:D, 3, FALSE))</f>
        <v>1</v>
      </c>
      <c r="O146" s="64">
        <f>ROUND(K146/VLOOKUP(L146,Camion!A:D, 3, FALSE) - N146,2)</f>
        <v>0</v>
      </c>
      <c r="P146" s="63" t="s">
        <v>129</v>
      </c>
    </row>
    <row r="147" spans="1:16" x14ac:dyDescent="0.25">
      <c r="A147" s="7">
        <v>4</v>
      </c>
      <c r="B147" s="62" t="s">
        <v>185</v>
      </c>
      <c r="C147" s="63" t="s">
        <v>1</v>
      </c>
      <c r="D147" s="63" t="s">
        <v>135</v>
      </c>
      <c r="E147" s="63" t="s">
        <v>78</v>
      </c>
      <c r="F147" s="63" t="s">
        <v>127</v>
      </c>
      <c r="G147" s="63">
        <v>7</v>
      </c>
      <c r="H147" s="63" t="s">
        <v>133</v>
      </c>
      <c r="I147" s="63">
        <f>INDEX(Matériel!A:Z, MATCH(E147, Matériel!A:A, 0), MATCH(H147, INDEX(Matériel!A:Z, MATCH(E147, Matériel!A:A, 0), 0), 0) + 1)</f>
        <v>1</v>
      </c>
      <c r="J147" s="63">
        <f t="shared" si="13"/>
        <v>7</v>
      </c>
      <c r="K147" s="63">
        <f>VLOOKUP(H147,Manutention!A:E, 3, FALSE) * J147</f>
        <v>14</v>
      </c>
      <c r="L147" s="63" t="s">
        <v>166</v>
      </c>
      <c r="M147" s="63">
        <f>ROUNDUP(K147/VLOOKUP(L147,Camion!A:D, 3, FALSE),0)</f>
        <v>1</v>
      </c>
      <c r="N147" s="63">
        <f>INT(K147/VLOOKUP(L147,Camion!A:D, 3, FALSE))</f>
        <v>0</v>
      </c>
      <c r="O147" s="64">
        <f>ROUND(K147/VLOOKUP(L147,Camion!A:D, 3, FALSE) - N147,2)</f>
        <v>0.82</v>
      </c>
      <c r="P147" s="63" t="s">
        <v>129</v>
      </c>
    </row>
    <row r="148" spans="1:16" x14ac:dyDescent="0.25">
      <c r="A148" s="7">
        <v>4</v>
      </c>
      <c r="B148" s="62" t="s">
        <v>185</v>
      </c>
      <c r="C148" s="63" t="s">
        <v>1</v>
      </c>
      <c r="D148" s="63" t="s">
        <v>135</v>
      </c>
      <c r="E148" s="63" t="s">
        <v>79</v>
      </c>
      <c r="F148" s="63" t="s">
        <v>127</v>
      </c>
      <c r="G148" s="63">
        <v>5</v>
      </c>
      <c r="H148" s="63" t="s">
        <v>133</v>
      </c>
      <c r="I148" s="63">
        <f>INDEX(Matériel!A:Z, MATCH(E148, Matériel!A:A, 0), MATCH(H148, INDEX(Matériel!A:Z, MATCH(E148, Matériel!A:A, 0), 0), 0) + 1)</f>
        <v>1</v>
      </c>
      <c r="J148" s="63">
        <f t="shared" si="13"/>
        <v>5</v>
      </c>
      <c r="K148" s="63">
        <f>VLOOKUP(H148,Manutention!A:E, 3, FALSE) * J148</f>
        <v>10</v>
      </c>
      <c r="L148" s="63" t="s">
        <v>165</v>
      </c>
      <c r="M148" s="63">
        <f>ROUNDUP(K148/VLOOKUP(L148,Camion!A:D, 3, FALSE),0)</f>
        <v>1</v>
      </c>
      <c r="N148" s="63">
        <f>INT(K148/VLOOKUP(L148,Camion!A:D, 3, FALSE))</f>
        <v>0</v>
      </c>
      <c r="O148" s="64">
        <f>ROUND(K148/VLOOKUP(L148,Camion!A:D, 3, FALSE) - N148,2)</f>
        <v>0.83</v>
      </c>
      <c r="P148" s="63" t="s">
        <v>129</v>
      </c>
    </row>
    <row r="149" spans="1:16" x14ac:dyDescent="0.25">
      <c r="A149" s="7">
        <v>4</v>
      </c>
      <c r="B149" s="62" t="s">
        <v>185</v>
      </c>
      <c r="C149" s="63" t="s">
        <v>1</v>
      </c>
      <c r="D149" s="63" t="s">
        <v>128</v>
      </c>
      <c r="E149" s="63" t="s">
        <v>81</v>
      </c>
      <c r="F149" s="63" t="s">
        <v>127</v>
      </c>
      <c r="G149" s="63">
        <v>15</v>
      </c>
      <c r="H149" s="63" t="s">
        <v>131</v>
      </c>
      <c r="I149" s="63">
        <f>INDEX(Matériel!A:Z, MATCH(E149, Matériel!A:A, 0), MATCH(H149, INDEX(Matériel!A:Z, MATCH(E149, Matériel!A:A, 0), 0), 0) + 1)</f>
        <v>100</v>
      </c>
      <c r="J149" s="63">
        <f t="shared" si="13"/>
        <v>1</v>
      </c>
      <c r="K149" s="63">
        <f>VLOOKUP(H149,Manutention!A:E, 3, FALSE) * J149</f>
        <v>1</v>
      </c>
      <c r="L149" s="63" t="s">
        <v>164</v>
      </c>
      <c r="M149" s="63">
        <f>ROUNDUP(K149/VLOOKUP(L149,Camion!A:D, 3, FALSE),0)</f>
        <v>1</v>
      </c>
      <c r="N149" s="63">
        <f>INT(K149/VLOOKUP(L149,Camion!A:D, 3, FALSE))</f>
        <v>0</v>
      </c>
      <c r="O149" s="64">
        <f>ROUND(K149/VLOOKUP(L149,Camion!A:D, 3, FALSE) - N149,2)</f>
        <v>0.11</v>
      </c>
      <c r="P149" s="63" t="s">
        <v>130</v>
      </c>
    </row>
    <row r="150" spans="1:16" x14ac:dyDescent="0.25">
      <c r="A150" s="7">
        <v>4</v>
      </c>
      <c r="B150" s="5" t="s">
        <v>185</v>
      </c>
      <c r="C150" s="65"/>
      <c r="D150" s="65"/>
      <c r="E150" s="65" t="s">
        <v>187</v>
      </c>
      <c r="F150" s="65"/>
      <c r="G150" s="65"/>
      <c r="H150" s="65" t="s">
        <v>131</v>
      </c>
      <c r="I150" s="65"/>
      <c r="J150" s="65"/>
      <c r="K150" s="65">
        <f>SUMIFS(K:K, A:A, 4, B:B, "Z3 Z4", P:P, "Oui", D:D, "Production")</f>
        <v>1</v>
      </c>
      <c r="L150" s="65" t="s">
        <v>164</v>
      </c>
      <c r="M150" s="65">
        <f>ROUNDUP(K150/VLOOKUP(L150,Camion!A:D, 3, FALSE),0)</f>
        <v>1</v>
      </c>
      <c r="N150" s="65">
        <f>INT(K150/VLOOKUP(L150,Camion!A:D, 3, FALSE))</f>
        <v>0</v>
      </c>
      <c r="O150" s="66">
        <f>ROUND(K150/VLOOKUP(L150,Camion!A:D, 3, FALSE) - N150,2)</f>
        <v>0.11</v>
      </c>
      <c r="P150" s="65"/>
    </row>
    <row r="151" spans="1:16" x14ac:dyDescent="0.25">
      <c r="A151" s="7">
        <v>4</v>
      </c>
      <c r="B151" s="5" t="s">
        <v>185</v>
      </c>
      <c r="C151" s="65"/>
      <c r="D151" s="65"/>
      <c r="E151" s="65" t="s">
        <v>188</v>
      </c>
      <c r="F151" s="65"/>
      <c r="G151" s="65"/>
      <c r="H151" s="65" t="s">
        <v>131</v>
      </c>
      <c r="I151" s="65"/>
      <c r="J151" s="65"/>
      <c r="K151" s="65">
        <f>SUMIFS(K:K, A:A, 4, B:B, "Z3 Z4", P:P, "Oui", D:D, "Terminaux")</f>
        <v>43</v>
      </c>
      <c r="L151" s="65" t="s">
        <v>168</v>
      </c>
      <c r="M151" s="65">
        <f>ROUNDUP(K151/VLOOKUP(L151,Camion!A:D, 3, FALSE),0)</f>
        <v>2</v>
      </c>
      <c r="N151" s="65">
        <f>INT(K151/VLOOKUP(L151,Camion!A:D, 3, FALSE))</f>
        <v>1</v>
      </c>
      <c r="O151" s="66">
        <f>ROUND(K151/VLOOKUP(L151,Camion!A:D, 3, FALSE) - N151,2)</f>
        <v>0.26</v>
      </c>
      <c r="P151" s="65"/>
    </row>
    <row r="152" spans="1:16" x14ac:dyDescent="0.25">
      <c r="A152" s="7">
        <v>5</v>
      </c>
      <c r="B152" s="62" t="s">
        <v>184</v>
      </c>
      <c r="C152" s="63" t="s">
        <v>1</v>
      </c>
      <c r="D152" s="63" t="s">
        <v>128</v>
      </c>
      <c r="E152" s="63" t="s">
        <v>71</v>
      </c>
      <c r="F152" s="63" t="s">
        <v>138</v>
      </c>
      <c r="G152" s="63">
        <v>510</v>
      </c>
      <c r="H152" s="63" t="s">
        <v>139</v>
      </c>
      <c r="I152" s="63">
        <f>INDEX(Matériel!A:Z, MATCH(E152, Matériel!A:A, 0), MATCH(H152, INDEX(Matériel!A:Z, MATCH(E152, Matériel!A:A, 0), 0), 0) + 1)</f>
        <v>150</v>
      </c>
      <c r="J152" s="63">
        <f t="shared" ref="J152:J159" si="14">ROUNDUP(G152 / I152, 0)</f>
        <v>4</v>
      </c>
      <c r="K152" s="63">
        <f>VLOOKUP(H152,Manutention!A:E, 3, FALSE) * J152</f>
        <v>12</v>
      </c>
      <c r="L152" s="63" t="s">
        <v>165</v>
      </c>
      <c r="M152" s="63">
        <f>ROUNDUP(K152/VLOOKUP(L152,Camion!A:D, 3, FALSE),0)</f>
        <v>1</v>
      </c>
      <c r="N152" s="63">
        <f>INT(K152/VLOOKUP(L152,Camion!A:D, 3, FALSE))</f>
        <v>1</v>
      </c>
      <c r="O152" s="64">
        <f>ROUND(K152/VLOOKUP(L152,Camion!A:D, 3, FALSE) - N152,2)</f>
        <v>0</v>
      </c>
      <c r="P152" s="63" t="s">
        <v>130</v>
      </c>
    </row>
    <row r="153" spans="1:16" x14ac:dyDescent="0.25">
      <c r="A153" s="7">
        <v>5</v>
      </c>
      <c r="B153" s="62" t="s">
        <v>184</v>
      </c>
      <c r="C153" s="63" t="s">
        <v>1</v>
      </c>
      <c r="D153" s="63" t="s">
        <v>135</v>
      </c>
      <c r="E153" s="63" t="s">
        <v>72</v>
      </c>
      <c r="F153" s="63" t="s">
        <v>138</v>
      </c>
      <c r="G153" s="63">
        <v>1560</v>
      </c>
      <c r="H153" s="63" t="s">
        <v>143</v>
      </c>
      <c r="I153" s="63">
        <f>INDEX(Matériel!A:Z, MATCH(E153, Matériel!A:A, 0), MATCH(H153, INDEX(Matériel!A:Z, MATCH(E153, Matériel!A:A, 0), 0), 0) + 1)</f>
        <v>1000</v>
      </c>
      <c r="J153" s="63">
        <f t="shared" si="14"/>
        <v>2</v>
      </c>
      <c r="K153" s="63">
        <f>VLOOKUP(H153,Manutention!A:E, 3, FALSE) * J153</f>
        <v>2</v>
      </c>
      <c r="L153" s="63" t="s">
        <v>164</v>
      </c>
      <c r="M153" s="63">
        <f>ROUNDUP(K153/VLOOKUP(L153,Camion!A:D, 3, FALSE),0)</f>
        <v>1</v>
      </c>
      <c r="N153" s="63">
        <f>INT(K153/VLOOKUP(L153,Camion!A:D, 3, FALSE))</f>
        <v>0</v>
      </c>
      <c r="O153" s="64">
        <f>ROUND(K153/VLOOKUP(L153,Camion!A:D, 3, FALSE) - N153,2)</f>
        <v>0.22</v>
      </c>
      <c r="P153" s="63" t="s">
        <v>130</v>
      </c>
    </row>
    <row r="154" spans="1:16" x14ac:dyDescent="0.25">
      <c r="A154" s="7">
        <v>5</v>
      </c>
      <c r="B154" s="62" t="s">
        <v>184</v>
      </c>
      <c r="C154" s="63" t="s">
        <v>1</v>
      </c>
      <c r="D154" s="63" t="s">
        <v>135</v>
      </c>
      <c r="E154" s="63" t="s">
        <v>75</v>
      </c>
      <c r="F154" s="63" t="s">
        <v>127</v>
      </c>
      <c r="G154" s="63">
        <v>80</v>
      </c>
      <c r="H154" s="63" t="s">
        <v>136</v>
      </c>
      <c r="I154" s="63">
        <f>INDEX(Matériel!A:Z, MATCH(E154, Matériel!A:A, 0), MATCH(H154, INDEX(Matériel!A:Z, MATCH(E154, Matériel!A:A, 0), 0), 0) + 1)</f>
        <v>60</v>
      </c>
      <c r="J154" s="63">
        <f t="shared" si="14"/>
        <v>2</v>
      </c>
      <c r="K154" s="63">
        <f>VLOOKUP(H154,Manutention!A:E, 3, FALSE) * J154</f>
        <v>2</v>
      </c>
      <c r="L154" s="63" t="s">
        <v>164</v>
      </c>
      <c r="M154" s="63">
        <f>ROUNDUP(K154/VLOOKUP(L154,Camion!A:D, 3, FALSE),0)</f>
        <v>1</v>
      </c>
      <c r="N154" s="63">
        <f>INT(K154/VLOOKUP(L154,Camion!A:D, 3, FALSE))</f>
        <v>0</v>
      </c>
      <c r="O154" s="64">
        <f>ROUND(K154/VLOOKUP(L154,Camion!A:D, 3, FALSE) - N154,2)</f>
        <v>0.22</v>
      </c>
      <c r="P154" s="63" t="s">
        <v>129</v>
      </c>
    </row>
    <row r="155" spans="1:16" x14ac:dyDescent="0.25">
      <c r="A155" s="7">
        <v>5</v>
      </c>
      <c r="B155" s="62" t="s">
        <v>184</v>
      </c>
      <c r="C155" s="63" t="s">
        <v>1</v>
      </c>
      <c r="D155" s="63" t="s">
        <v>128</v>
      </c>
      <c r="E155" s="63" t="s">
        <v>76</v>
      </c>
      <c r="F155" s="63" t="s">
        <v>127</v>
      </c>
      <c r="G155" s="63">
        <v>40</v>
      </c>
      <c r="H155" s="63" t="s">
        <v>131</v>
      </c>
      <c r="I155" s="63">
        <f>INDEX(Matériel!A:Z, MATCH(E155, Matériel!A:A, 0), MATCH(H155, INDEX(Matériel!A:Z, MATCH(E155, Matériel!A:A, 0), 0), 0) + 1)</f>
        <v>100</v>
      </c>
      <c r="J155" s="63">
        <f t="shared" si="14"/>
        <v>1</v>
      </c>
      <c r="K155" s="63">
        <f>VLOOKUP(H155,Manutention!A:E, 3, FALSE) * J155</f>
        <v>1</v>
      </c>
      <c r="L155" s="63" t="s">
        <v>164</v>
      </c>
      <c r="M155" s="63">
        <f>ROUNDUP(K155/VLOOKUP(L155,Camion!A:D, 3, FALSE),0)</f>
        <v>1</v>
      </c>
      <c r="N155" s="63">
        <f>INT(K155/VLOOKUP(L155,Camion!A:D, 3, FALSE))</f>
        <v>0</v>
      </c>
      <c r="O155" s="64">
        <f>ROUND(K155/VLOOKUP(L155,Camion!A:D, 3, FALSE) - N155,2)</f>
        <v>0.11</v>
      </c>
      <c r="P155" s="63" t="s">
        <v>129</v>
      </c>
    </row>
    <row r="156" spans="1:16" x14ac:dyDescent="0.25">
      <c r="A156" s="7">
        <v>5</v>
      </c>
      <c r="B156" s="62" t="s">
        <v>184</v>
      </c>
      <c r="C156" s="63" t="s">
        <v>1</v>
      </c>
      <c r="D156" s="63" t="s">
        <v>135</v>
      </c>
      <c r="E156" s="63" t="s">
        <v>77</v>
      </c>
      <c r="F156" s="63" t="s">
        <v>127</v>
      </c>
      <c r="G156" s="63">
        <v>334</v>
      </c>
      <c r="H156" s="63" t="s">
        <v>131</v>
      </c>
      <c r="I156" s="63">
        <f>INDEX(Matériel!A:Z, MATCH(E156, Matériel!A:A, 0), MATCH(H156, INDEX(Matériel!A:Z, MATCH(E156, Matériel!A:A, 0), 0), 0) + 1)</f>
        <v>20</v>
      </c>
      <c r="J156" s="63">
        <f t="shared" si="14"/>
        <v>17</v>
      </c>
      <c r="K156" s="63">
        <f>VLOOKUP(H156,Manutention!A:E, 3, FALSE) * J156</f>
        <v>17</v>
      </c>
      <c r="L156" s="63" t="s">
        <v>166</v>
      </c>
      <c r="M156" s="63">
        <f>ROUNDUP(K156/VLOOKUP(L156,Camion!A:D, 3, FALSE),0)</f>
        <v>1</v>
      </c>
      <c r="N156" s="63">
        <f>INT(K156/VLOOKUP(L156,Camion!A:D, 3, FALSE))</f>
        <v>1</v>
      </c>
      <c r="O156" s="64">
        <f>ROUND(K156/VLOOKUP(L156,Camion!A:D, 3, FALSE) - N156,2)</f>
        <v>0</v>
      </c>
      <c r="P156" s="63" t="s">
        <v>129</v>
      </c>
    </row>
    <row r="157" spans="1:16" x14ac:dyDescent="0.25">
      <c r="A157" s="7">
        <v>5</v>
      </c>
      <c r="B157" s="62" t="s">
        <v>184</v>
      </c>
      <c r="C157" s="63" t="s">
        <v>1</v>
      </c>
      <c r="D157" s="63" t="s">
        <v>135</v>
      </c>
      <c r="E157" s="63" t="s">
        <v>78</v>
      </c>
      <c r="F157" s="63" t="s">
        <v>127</v>
      </c>
      <c r="G157" s="63">
        <v>7</v>
      </c>
      <c r="H157" s="63" t="s">
        <v>133</v>
      </c>
      <c r="I157" s="63">
        <f>INDEX(Matériel!A:Z, MATCH(E157, Matériel!A:A, 0), MATCH(H157, INDEX(Matériel!A:Z, MATCH(E157, Matériel!A:A, 0), 0), 0) + 1)</f>
        <v>1</v>
      </c>
      <c r="J157" s="63">
        <f t="shared" si="14"/>
        <v>7</v>
      </c>
      <c r="K157" s="63">
        <f>VLOOKUP(H157,Manutention!A:E, 3, FALSE) * J157</f>
        <v>14</v>
      </c>
      <c r="L157" s="63" t="s">
        <v>166</v>
      </c>
      <c r="M157" s="63">
        <f>ROUNDUP(K157/VLOOKUP(L157,Camion!A:D, 3, FALSE),0)</f>
        <v>1</v>
      </c>
      <c r="N157" s="63">
        <f>INT(K157/VLOOKUP(L157,Camion!A:D, 3, FALSE))</f>
        <v>0</v>
      </c>
      <c r="O157" s="64">
        <f>ROUND(K157/VLOOKUP(L157,Camion!A:D, 3, FALSE) - N157,2)</f>
        <v>0.82</v>
      </c>
      <c r="P157" s="63" t="s">
        <v>129</v>
      </c>
    </row>
    <row r="158" spans="1:16" x14ac:dyDescent="0.25">
      <c r="A158" s="7">
        <v>5</v>
      </c>
      <c r="B158" s="62" t="s">
        <v>184</v>
      </c>
      <c r="C158" s="63" t="s">
        <v>1</v>
      </c>
      <c r="D158" s="63" t="s">
        <v>135</v>
      </c>
      <c r="E158" s="63" t="s">
        <v>79</v>
      </c>
      <c r="F158" s="63" t="s">
        <v>127</v>
      </c>
      <c r="G158" s="63">
        <v>5</v>
      </c>
      <c r="H158" s="63" t="s">
        <v>133</v>
      </c>
      <c r="I158" s="63">
        <f>INDEX(Matériel!A:Z, MATCH(E158, Matériel!A:A, 0), MATCH(H158, INDEX(Matériel!A:Z, MATCH(E158, Matériel!A:A, 0), 0), 0) + 1)</f>
        <v>1</v>
      </c>
      <c r="J158" s="63">
        <f t="shared" si="14"/>
        <v>5</v>
      </c>
      <c r="K158" s="63">
        <f>VLOOKUP(H158,Manutention!A:E, 3, FALSE) * J158</f>
        <v>10</v>
      </c>
      <c r="L158" s="63" t="s">
        <v>165</v>
      </c>
      <c r="M158" s="63">
        <f>ROUNDUP(K158/VLOOKUP(L158,Camion!A:D, 3, FALSE),0)</f>
        <v>1</v>
      </c>
      <c r="N158" s="63">
        <f>INT(K158/VLOOKUP(L158,Camion!A:D, 3, FALSE))</f>
        <v>0</v>
      </c>
      <c r="O158" s="64">
        <f>ROUND(K158/VLOOKUP(L158,Camion!A:D, 3, FALSE) - N158,2)</f>
        <v>0.83</v>
      </c>
      <c r="P158" s="63" t="s">
        <v>129</v>
      </c>
    </row>
    <row r="159" spans="1:16" x14ac:dyDescent="0.25">
      <c r="A159" s="7">
        <v>5</v>
      </c>
      <c r="B159" s="62" t="s">
        <v>184</v>
      </c>
      <c r="C159" s="63" t="s">
        <v>1</v>
      </c>
      <c r="D159" s="63" t="s">
        <v>128</v>
      </c>
      <c r="E159" s="63" t="s">
        <v>81</v>
      </c>
      <c r="F159" s="63" t="s">
        <v>127</v>
      </c>
      <c r="G159" s="63">
        <v>15</v>
      </c>
      <c r="H159" s="63" t="s">
        <v>131</v>
      </c>
      <c r="I159" s="63">
        <f>INDEX(Matériel!A:Z, MATCH(E159, Matériel!A:A, 0), MATCH(H159, INDEX(Matériel!A:Z, MATCH(E159, Matériel!A:A, 0), 0), 0) + 1)</f>
        <v>100</v>
      </c>
      <c r="J159" s="63">
        <f t="shared" si="14"/>
        <v>1</v>
      </c>
      <c r="K159" s="63">
        <f>VLOOKUP(H159,Manutention!A:E, 3, FALSE) * J159</f>
        <v>1</v>
      </c>
      <c r="L159" s="63" t="s">
        <v>164</v>
      </c>
      <c r="M159" s="63">
        <f>ROUNDUP(K159/VLOOKUP(L159,Camion!A:D, 3, FALSE),0)</f>
        <v>1</v>
      </c>
      <c r="N159" s="63">
        <f>INT(K159/VLOOKUP(L159,Camion!A:D, 3, FALSE))</f>
        <v>0</v>
      </c>
      <c r="O159" s="64">
        <f>ROUND(K159/VLOOKUP(L159,Camion!A:D, 3, FALSE) - N159,2)</f>
        <v>0.11</v>
      </c>
      <c r="P159" s="63" t="s">
        <v>130</v>
      </c>
    </row>
    <row r="160" spans="1:16" x14ac:dyDescent="0.25">
      <c r="A160" s="7">
        <v>5</v>
      </c>
      <c r="B160" s="5" t="s">
        <v>184</v>
      </c>
      <c r="C160" s="65"/>
      <c r="D160" s="65"/>
      <c r="E160" s="65" t="s">
        <v>187</v>
      </c>
      <c r="F160" s="65"/>
      <c r="G160" s="65"/>
      <c r="H160" s="65" t="s">
        <v>131</v>
      </c>
      <c r="I160" s="65"/>
      <c r="J160" s="65"/>
      <c r="K160" s="65">
        <f>SUMIFS(K:K, A:A, 5, B:B, "Z1 Z2", P:P, "Oui", D:D, "Production")</f>
        <v>1</v>
      </c>
      <c r="L160" s="65" t="s">
        <v>164</v>
      </c>
      <c r="M160" s="65">
        <f>ROUNDUP(K160/VLOOKUP(L160,Camion!A:D, 3, FALSE),0)</f>
        <v>1</v>
      </c>
      <c r="N160" s="65">
        <f>INT(K160/VLOOKUP(L160,Camion!A:D, 3, FALSE))</f>
        <v>0</v>
      </c>
      <c r="O160" s="66">
        <f>ROUND(K160/VLOOKUP(L160,Camion!A:D, 3, FALSE) - N160,2)</f>
        <v>0.11</v>
      </c>
      <c r="P160" s="65"/>
    </row>
    <row r="161" spans="1:16" x14ac:dyDescent="0.25">
      <c r="A161" s="7">
        <v>5</v>
      </c>
      <c r="B161" s="5" t="s">
        <v>184</v>
      </c>
      <c r="C161" s="65"/>
      <c r="D161" s="65"/>
      <c r="E161" s="65" t="s">
        <v>188</v>
      </c>
      <c r="F161" s="65"/>
      <c r="G161" s="65"/>
      <c r="H161" s="65" t="s">
        <v>131</v>
      </c>
      <c r="I161" s="65"/>
      <c r="J161" s="65"/>
      <c r="K161" s="65">
        <f>SUMIFS(K:K, A:A, 5, B:B, "Z1 Z2", P:P, "Oui", D:D, "Terminaux")</f>
        <v>43</v>
      </c>
      <c r="L161" s="65" t="s">
        <v>168</v>
      </c>
      <c r="M161" s="65">
        <f>ROUNDUP(K161/VLOOKUP(L161,Camion!A:D, 3, FALSE),0)</f>
        <v>2</v>
      </c>
      <c r="N161" s="65">
        <f>INT(K161/VLOOKUP(L161,Camion!A:D, 3, FALSE))</f>
        <v>1</v>
      </c>
      <c r="O161" s="66">
        <f>ROUND(K161/VLOOKUP(L161,Camion!A:D, 3, FALSE) - N161,2)</f>
        <v>0.26</v>
      </c>
      <c r="P161" s="65"/>
    </row>
    <row r="162" spans="1:16" x14ac:dyDescent="0.25">
      <c r="A162" s="7">
        <v>5</v>
      </c>
      <c r="B162" s="62" t="s">
        <v>185</v>
      </c>
      <c r="C162" s="63" t="s">
        <v>1</v>
      </c>
      <c r="D162" s="63" t="s">
        <v>128</v>
      </c>
      <c r="E162" s="63" t="s">
        <v>71</v>
      </c>
      <c r="F162" s="63" t="s">
        <v>138</v>
      </c>
      <c r="G162" s="63">
        <v>502</v>
      </c>
      <c r="H162" s="63" t="s">
        <v>139</v>
      </c>
      <c r="I162" s="63">
        <f>INDEX(Matériel!A:Z, MATCH(E162, Matériel!A:A, 0), MATCH(H162, INDEX(Matériel!A:Z, MATCH(E162, Matériel!A:A, 0), 0), 0) + 1)</f>
        <v>150</v>
      </c>
      <c r="J162" s="63">
        <f t="shared" ref="J162:J169" si="15">ROUNDUP(G162 / I162, 0)</f>
        <v>4</v>
      </c>
      <c r="K162" s="63">
        <f>VLOOKUP(H162,Manutention!A:E, 3, FALSE) * J162</f>
        <v>12</v>
      </c>
      <c r="L162" s="63" t="s">
        <v>165</v>
      </c>
      <c r="M162" s="63">
        <f>ROUNDUP(K162/VLOOKUP(L162,Camion!A:D, 3, FALSE),0)</f>
        <v>1</v>
      </c>
      <c r="N162" s="63">
        <f>INT(K162/VLOOKUP(L162,Camion!A:D, 3, FALSE))</f>
        <v>1</v>
      </c>
      <c r="O162" s="64">
        <f>ROUND(K162/VLOOKUP(L162,Camion!A:D, 3, FALSE) - N162,2)</f>
        <v>0</v>
      </c>
      <c r="P162" s="63" t="s">
        <v>130</v>
      </c>
    </row>
    <row r="163" spans="1:16" x14ac:dyDescent="0.25">
      <c r="A163" s="7">
        <v>5</v>
      </c>
      <c r="B163" s="62" t="s">
        <v>185</v>
      </c>
      <c r="C163" s="63" t="s">
        <v>1</v>
      </c>
      <c r="D163" s="63" t="s">
        <v>135</v>
      </c>
      <c r="E163" s="63" t="s">
        <v>72</v>
      </c>
      <c r="F163" s="63" t="s">
        <v>138</v>
      </c>
      <c r="G163" s="63">
        <v>1536</v>
      </c>
      <c r="H163" s="63" t="s">
        <v>143</v>
      </c>
      <c r="I163" s="63">
        <f>INDEX(Matériel!A:Z, MATCH(E163, Matériel!A:A, 0), MATCH(H163, INDEX(Matériel!A:Z, MATCH(E163, Matériel!A:A, 0), 0), 0) + 1)</f>
        <v>1000</v>
      </c>
      <c r="J163" s="63">
        <f t="shared" si="15"/>
        <v>2</v>
      </c>
      <c r="K163" s="63">
        <f>VLOOKUP(H163,Manutention!A:E, 3, FALSE) * J163</f>
        <v>2</v>
      </c>
      <c r="L163" s="63" t="s">
        <v>164</v>
      </c>
      <c r="M163" s="63">
        <f>ROUNDUP(K163/VLOOKUP(L163,Camion!A:D, 3, FALSE),0)</f>
        <v>1</v>
      </c>
      <c r="N163" s="63">
        <f>INT(K163/VLOOKUP(L163,Camion!A:D, 3, FALSE))</f>
        <v>0</v>
      </c>
      <c r="O163" s="64">
        <f>ROUND(K163/VLOOKUP(L163,Camion!A:D, 3, FALSE) - N163,2)</f>
        <v>0.22</v>
      </c>
      <c r="P163" s="63" t="s">
        <v>130</v>
      </c>
    </row>
    <row r="164" spans="1:16" x14ac:dyDescent="0.25">
      <c r="A164" s="7">
        <v>5</v>
      </c>
      <c r="B164" s="62" t="s">
        <v>185</v>
      </c>
      <c r="C164" s="63" t="s">
        <v>1</v>
      </c>
      <c r="D164" s="63" t="s">
        <v>135</v>
      </c>
      <c r="E164" s="63" t="s">
        <v>75</v>
      </c>
      <c r="F164" s="63" t="s">
        <v>127</v>
      </c>
      <c r="G164" s="63">
        <v>79</v>
      </c>
      <c r="H164" s="63" t="s">
        <v>136</v>
      </c>
      <c r="I164" s="63">
        <f>INDEX(Matériel!A:Z, MATCH(E164, Matériel!A:A, 0), MATCH(H164, INDEX(Matériel!A:Z, MATCH(E164, Matériel!A:A, 0), 0), 0) + 1)</f>
        <v>60</v>
      </c>
      <c r="J164" s="63">
        <f t="shared" si="15"/>
        <v>2</v>
      </c>
      <c r="K164" s="63">
        <f>VLOOKUP(H164,Manutention!A:E, 3, FALSE) * J164</f>
        <v>2</v>
      </c>
      <c r="L164" s="63" t="s">
        <v>164</v>
      </c>
      <c r="M164" s="63">
        <f>ROUNDUP(K164/VLOOKUP(L164,Camion!A:D, 3, FALSE),0)</f>
        <v>1</v>
      </c>
      <c r="N164" s="63">
        <f>INT(K164/VLOOKUP(L164,Camion!A:D, 3, FALSE))</f>
        <v>0</v>
      </c>
      <c r="O164" s="64">
        <f>ROUND(K164/VLOOKUP(L164,Camion!A:D, 3, FALSE) - N164,2)</f>
        <v>0.22</v>
      </c>
      <c r="P164" s="63" t="s">
        <v>129</v>
      </c>
    </row>
    <row r="165" spans="1:16" x14ac:dyDescent="0.25">
      <c r="A165" s="7">
        <v>5</v>
      </c>
      <c r="B165" s="62" t="s">
        <v>185</v>
      </c>
      <c r="C165" s="63" t="s">
        <v>1</v>
      </c>
      <c r="D165" s="63" t="s">
        <v>128</v>
      </c>
      <c r="E165" s="63" t="s">
        <v>76</v>
      </c>
      <c r="F165" s="63" t="s">
        <v>127</v>
      </c>
      <c r="G165" s="63">
        <v>39</v>
      </c>
      <c r="H165" s="63" t="s">
        <v>131</v>
      </c>
      <c r="I165" s="63">
        <f>INDEX(Matériel!A:Z, MATCH(E165, Matériel!A:A, 0), MATCH(H165, INDEX(Matériel!A:Z, MATCH(E165, Matériel!A:A, 0), 0), 0) + 1)</f>
        <v>100</v>
      </c>
      <c r="J165" s="63">
        <f t="shared" si="15"/>
        <v>1</v>
      </c>
      <c r="K165" s="63">
        <f>VLOOKUP(H165,Manutention!A:E, 3, FALSE) * J165</f>
        <v>1</v>
      </c>
      <c r="L165" s="63" t="s">
        <v>164</v>
      </c>
      <c r="M165" s="63">
        <f>ROUNDUP(K165/VLOOKUP(L165,Camion!A:D, 3, FALSE),0)</f>
        <v>1</v>
      </c>
      <c r="N165" s="63">
        <f>INT(K165/VLOOKUP(L165,Camion!A:D, 3, FALSE))</f>
        <v>0</v>
      </c>
      <c r="O165" s="64">
        <f>ROUND(K165/VLOOKUP(L165,Camion!A:D, 3, FALSE) - N165,2)</f>
        <v>0.11</v>
      </c>
      <c r="P165" s="63" t="s">
        <v>129</v>
      </c>
    </row>
    <row r="166" spans="1:16" x14ac:dyDescent="0.25">
      <c r="A166" s="7">
        <v>5</v>
      </c>
      <c r="B166" s="62" t="s">
        <v>185</v>
      </c>
      <c r="C166" s="63" t="s">
        <v>1</v>
      </c>
      <c r="D166" s="63" t="s">
        <v>135</v>
      </c>
      <c r="E166" s="63" t="s">
        <v>77</v>
      </c>
      <c r="F166" s="63" t="s">
        <v>127</v>
      </c>
      <c r="G166" s="63">
        <v>329</v>
      </c>
      <c r="H166" s="63" t="s">
        <v>131</v>
      </c>
      <c r="I166" s="63">
        <f>INDEX(Matériel!A:Z, MATCH(E166, Matériel!A:A, 0), MATCH(H166, INDEX(Matériel!A:Z, MATCH(E166, Matériel!A:A, 0), 0), 0) + 1)</f>
        <v>20</v>
      </c>
      <c r="J166" s="63">
        <f t="shared" si="15"/>
        <v>17</v>
      </c>
      <c r="K166" s="63">
        <f>VLOOKUP(H166,Manutention!A:E, 3, FALSE) * J166</f>
        <v>17</v>
      </c>
      <c r="L166" s="63" t="s">
        <v>166</v>
      </c>
      <c r="M166" s="63">
        <f>ROUNDUP(K166/VLOOKUP(L166,Camion!A:D, 3, FALSE),0)</f>
        <v>1</v>
      </c>
      <c r="N166" s="63">
        <f>INT(K166/VLOOKUP(L166,Camion!A:D, 3, FALSE))</f>
        <v>1</v>
      </c>
      <c r="O166" s="64">
        <f>ROUND(K166/VLOOKUP(L166,Camion!A:D, 3, FALSE) - N166,2)</f>
        <v>0</v>
      </c>
      <c r="P166" s="63" t="s">
        <v>129</v>
      </c>
    </row>
    <row r="167" spans="1:16" x14ac:dyDescent="0.25">
      <c r="A167" s="7">
        <v>5</v>
      </c>
      <c r="B167" s="62" t="s">
        <v>185</v>
      </c>
      <c r="C167" s="63" t="s">
        <v>1</v>
      </c>
      <c r="D167" s="63" t="s">
        <v>135</v>
      </c>
      <c r="E167" s="63" t="s">
        <v>78</v>
      </c>
      <c r="F167" s="63" t="s">
        <v>127</v>
      </c>
      <c r="G167" s="63">
        <v>7</v>
      </c>
      <c r="H167" s="63" t="s">
        <v>133</v>
      </c>
      <c r="I167" s="63">
        <f>INDEX(Matériel!A:Z, MATCH(E167, Matériel!A:A, 0), MATCH(H167, INDEX(Matériel!A:Z, MATCH(E167, Matériel!A:A, 0), 0), 0) + 1)</f>
        <v>1</v>
      </c>
      <c r="J167" s="63">
        <f t="shared" si="15"/>
        <v>7</v>
      </c>
      <c r="K167" s="63">
        <f>VLOOKUP(H167,Manutention!A:E, 3, FALSE) * J167</f>
        <v>14</v>
      </c>
      <c r="L167" s="63" t="s">
        <v>166</v>
      </c>
      <c r="M167" s="63">
        <f>ROUNDUP(K167/VLOOKUP(L167,Camion!A:D, 3, FALSE),0)</f>
        <v>1</v>
      </c>
      <c r="N167" s="63">
        <f>INT(K167/VLOOKUP(L167,Camion!A:D, 3, FALSE))</f>
        <v>0</v>
      </c>
      <c r="O167" s="64">
        <f>ROUND(K167/VLOOKUP(L167,Camion!A:D, 3, FALSE) - N167,2)</f>
        <v>0.82</v>
      </c>
      <c r="P167" s="63" t="s">
        <v>129</v>
      </c>
    </row>
    <row r="168" spans="1:16" x14ac:dyDescent="0.25">
      <c r="A168" s="7">
        <v>5</v>
      </c>
      <c r="B168" s="62" t="s">
        <v>185</v>
      </c>
      <c r="C168" s="63" t="s">
        <v>1</v>
      </c>
      <c r="D168" s="63" t="s">
        <v>135</v>
      </c>
      <c r="E168" s="63" t="s">
        <v>79</v>
      </c>
      <c r="F168" s="63" t="s">
        <v>127</v>
      </c>
      <c r="G168" s="63">
        <v>4</v>
      </c>
      <c r="H168" s="63" t="s">
        <v>133</v>
      </c>
      <c r="I168" s="63">
        <f>INDEX(Matériel!A:Z, MATCH(E168, Matériel!A:A, 0), MATCH(H168, INDEX(Matériel!A:Z, MATCH(E168, Matériel!A:A, 0), 0), 0) + 1)</f>
        <v>1</v>
      </c>
      <c r="J168" s="63">
        <f t="shared" si="15"/>
        <v>4</v>
      </c>
      <c r="K168" s="63">
        <f>VLOOKUP(H168,Manutention!A:E, 3, FALSE) * J168</f>
        <v>8</v>
      </c>
      <c r="L168" s="63" t="s">
        <v>164</v>
      </c>
      <c r="M168" s="63">
        <f>ROUNDUP(K168/VLOOKUP(L168,Camion!A:D, 3, FALSE),0)</f>
        <v>1</v>
      </c>
      <c r="N168" s="63">
        <f>INT(K168/VLOOKUP(L168,Camion!A:D, 3, FALSE))</f>
        <v>0</v>
      </c>
      <c r="O168" s="64">
        <f>ROUND(K168/VLOOKUP(L168,Camion!A:D, 3, FALSE) - N168,2)</f>
        <v>0.89</v>
      </c>
      <c r="P168" s="63" t="s">
        <v>129</v>
      </c>
    </row>
    <row r="169" spans="1:16" x14ac:dyDescent="0.25">
      <c r="A169" s="7">
        <v>5</v>
      </c>
      <c r="B169" s="62" t="s">
        <v>185</v>
      </c>
      <c r="C169" s="63" t="s">
        <v>1</v>
      </c>
      <c r="D169" s="63" t="s">
        <v>128</v>
      </c>
      <c r="E169" s="63" t="s">
        <v>81</v>
      </c>
      <c r="F169" s="63" t="s">
        <v>127</v>
      </c>
      <c r="G169" s="63">
        <v>15</v>
      </c>
      <c r="H169" s="63" t="s">
        <v>131</v>
      </c>
      <c r="I169" s="63">
        <f>INDEX(Matériel!A:Z, MATCH(E169, Matériel!A:A, 0), MATCH(H169, INDEX(Matériel!A:Z, MATCH(E169, Matériel!A:A, 0), 0), 0) + 1)</f>
        <v>100</v>
      </c>
      <c r="J169" s="63">
        <f t="shared" si="15"/>
        <v>1</v>
      </c>
      <c r="K169" s="63">
        <f>VLOOKUP(H169,Manutention!A:E, 3, FALSE) * J169</f>
        <v>1</v>
      </c>
      <c r="L169" s="63" t="s">
        <v>164</v>
      </c>
      <c r="M169" s="63">
        <f>ROUNDUP(K169/VLOOKUP(L169,Camion!A:D, 3, FALSE),0)</f>
        <v>1</v>
      </c>
      <c r="N169" s="63">
        <f>INT(K169/VLOOKUP(L169,Camion!A:D, 3, FALSE))</f>
        <v>0</v>
      </c>
      <c r="O169" s="64">
        <f>ROUND(K169/VLOOKUP(L169,Camion!A:D, 3, FALSE) - N169,2)</f>
        <v>0.11</v>
      </c>
      <c r="P169" s="63" t="s">
        <v>130</v>
      </c>
    </row>
    <row r="170" spans="1:16" x14ac:dyDescent="0.25">
      <c r="A170" s="7">
        <v>5</v>
      </c>
      <c r="B170" s="5" t="s">
        <v>185</v>
      </c>
      <c r="C170" s="65"/>
      <c r="D170" s="65"/>
      <c r="E170" s="65" t="s">
        <v>187</v>
      </c>
      <c r="F170" s="65"/>
      <c r="G170" s="65"/>
      <c r="H170" s="65" t="s">
        <v>131</v>
      </c>
      <c r="I170" s="65"/>
      <c r="J170" s="65"/>
      <c r="K170" s="65">
        <f>SUMIFS(K:K, A:A, 5, B:B, "Z3 Z4", P:P, "Oui", D:D, "Production")</f>
        <v>1</v>
      </c>
      <c r="L170" s="65" t="s">
        <v>164</v>
      </c>
      <c r="M170" s="65">
        <f>ROUNDUP(K170/VLOOKUP(L170,Camion!A:D, 3, FALSE),0)</f>
        <v>1</v>
      </c>
      <c r="N170" s="65">
        <f>INT(K170/VLOOKUP(L170,Camion!A:D, 3, FALSE))</f>
        <v>0</v>
      </c>
      <c r="O170" s="66">
        <f>ROUND(K170/VLOOKUP(L170,Camion!A:D, 3, FALSE) - N170,2)</f>
        <v>0.11</v>
      </c>
      <c r="P170" s="65"/>
    </row>
    <row r="171" spans="1:16" x14ac:dyDescent="0.25">
      <c r="A171" s="7">
        <v>5</v>
      </c>
      <c r="B171" s="5" t="s">
        <v>185</v>
      </c>
      <c r="C171" s="65"/>
      <c r="D171" s="65"/>
      <c r="E171" s="65" t="s">
        <v>188</v>
      </c>
      <c r="F171" s="65"/>
      <c r="G171" s="65"/>
      <c r="H171" s="65" t="s">
        <v>131</v>
      </c>
      <c r="I171" s="65"/>
      <c r="J171" s="65"/>
      <c r="K171" s="65">
        <f>SUMIFS(K:K, A:A, 5, B:B, "Z3 Z4", P:P, "Oui", D:D, "Terminaux")</f>
        <v>41</v>
      </c>
      <c r="L171" s="65" t="s">
        <v>168</v>
      </c>
      <c r="M171" s="65">
        <f>ROUNDUP(K171/VLOOKUP(L171,Camion!A:D, 3, FALSE),0)</f>
        <v>2</v>
      </c>
      <c r="N171" s="65">
        <f>INT(K171/VLOOKUP(L171,Camion!A:D, 3, FALSE))</f>
        <v>1</v>
      </c>
      <c r="O171" s="66">
        <f>ROUND(K171/VLOOKUP(L171,Camion!A:D, 3, FALSE) - N171,2)</f>
        <v>0.21</v>
      </c>
      <c r="P171" s="65"/>
    </row>
    <row r="172" spans="1:16" x14ac:dyDescent="0.25">
      <c r="A172" s="7">
        <v>6</v>
      </c>
      <c r="B172" s="62" t="s">
        <v>184</v>
      </c>
      <c r="C172" s="63" t="s">
        <v>1</v>
      </c>
      <c r="D172" s="63" t="s">
        <v>128</v>
      </c>
      <c r="E172" s="63" t="s">
        <v>71</v>
      </c>
      <c r="F172" s="63" t="s">
        <v>138</v>
      </c>
      <c r="G172" s="63">
        <v>494</v>
      </c>
      <c r="H172" s="63" t="s">
        <v>139</v>
      </c>
      <c r="I172" s="63">
        <f>INDEX(Matériel!A:Z, MATCH(E172, Matériel!A:A, 0), MATCH(H172, INDEX(Matériel!A:Z, MATCH(E172, Matériel!A:A, 0), 0), 0) + 1)</f>
        <v>150</v>
      </c>
      <c r="J172" s="63">
        <f t="shared" ref="J172:J179" si="16">ROUNDUP(G172 / I172, 0)</f>
        <v>4</v>
      </c>
      <c r="K172" s="63">
        <f>VLOOKUP(H172,Manutention!A:E, 3, FALSE) * J172</f>
        <v>12</v>
      </c>
      <c r="L172" s="63" t="s">
        <v>165</v>
      </c>
      <c r="M172" s="63">
        <f>ROUNDUP(K172/VLOOKUP(L172,Camion!A:D, 3, FALSE),0)</f>
        <v>1</v>
      </c>
      <c r="N172" s="63">
        <f>INT(K172/VLOOKUP(L172,Camion!A:D, 3, FALSE))</f>
        <v>1</v>
      </c>
      <c r="O172" s="64">
        <f>ROUND(K172/VLOOKUP(L172,Camion!A:D, 3, FALSE) - N172,2)</f>
        <v>0</v>
      </c>
      <c r="P172" s="63" t="s">
        <v>130</v>
      </c>
    </row>
    <row r="173" spans="1:16" x14ac:dyDescent="0.25">
      <c r="A173" s="7">
        <v>6</v>
      </c>
      <c r="B173" s="62" t="s">
        <v>184</v>
      </c>
      <c r="C173" s="63" t="s">
        <v>1</v>
      </c>
      <c r="D173" s="63" t="s">
        <v>135</v>
      </c>
      <c r="E173" s="63" t="s">
        <v>72</v>
      </c>
      <c r="F173" s="63" t="s">
        <v>138</v>
      </c>
      <c r="G173" s="63">
        <v>1513</v>
      </c>
      <c r="H173" s="63" t="s">
        <v>143</v>
      </c>
      <c r="I173" s="63">
        <f>INDEX(Matériel!A:Z, MATCH(E173, Matériel!A:A, 0), MATCH(H173, INDEX(Matériel!A:Z, MATCH(E173, Matériel!A:A, 0), 0), 0) + 1)</f>
        <v>1000</v>
      </c>
      <c r="J173" s="63">
        <f t="shared" si="16"/>
        <v>2</v>
      </c>
      <c r="K173" s="63">
        <f>VLOOKUP(H173,Manutention!A:E, 3, FALSE) * J173</f>
        <v>2</v>
      </c>
      <c r="L173" s="63" t="s">
        <v>164</v>
      </c>
      <c r="M173" s="63">
        <f>ROUNDUP(K173/VLOOKUP(L173,Camion!A:D, 3, FALSE),0)</f>
        <v>1</v>
      </c>
      <c r="N173" s="63">
        <f>INT(K173/VLOOKUP(L173,Camion!A:D, 3, FALSE))</f>
        <v>0</v>
      </c>
      <c r="O173" s="64">
        <f>ROUND(K173/VLOOKUP(L173,Camion!A:D, 3, FALSE) - N173,2)</f>
        <v>0.22</v>
      </c>
      <c r="P173" s="63" t="s">
        <v>130</v>
      </c>
    </row>
    <row r="174" spans="1:16" x14ac:dyDescent="0.25">
      <c r="A174" s="7">
        <v>6</v>
      </c>
      <c r="B174" s="62" t="s">
        <v>184</v>
      </c>
      <c r="C174" s="63" t="s">
        <v>1</v>
      </c>
      <c r="D174" s="63" t="s">
        <v>135</v>
      </c>
      <c r="E174" s="63" t="s">
        <v>75</v>
      </c>
      <c r="F174" s="63" t="s">
        <v>127</v>
      </c>
      <c r="G174" s="63">
        <v>77</v>
      </c>
      <c r="H174" s="63" t="s">
        <v>136</v>
      </c>
      <c r="I174" s="63">
        <f>INDEX(Matériel!A:Z, MATCH(E174, Matériel!A:A, 0), MATCH(H174, INDEX(Matériel!A:Z, MATCH(E174, Matériel!A:A, 0), 0), 0) + 1)</f>
        <v>60</v>
      </c>
      <c r="J174" s="63">
        <f t="shared" si="16"/>
        <v>2</v>
      </c>
      <c r="K174" s="63">
        <f>VLOOKUP(H174,Manutention!A:E, 3, FALSE) * J174</f>
        <v>2</v>
      </c>
      <c r="L174" s="63" t="s">
        <v>164</v>
      </c>
      <c r="M174" s="63">
        <f>ROUNDUP(K174/VLOOKUP(L174,Camion!A:D, 3, FALSE),0)</f>
        <v>1</v>
      </c>
      <c r="N174" s="63">
        <f>INT(K174/VLOOKUP(L174,Camion!A:D, 3, FALSE))</f>
        <v>0</v>
      </c>
      <c r="O174" s="64">
        <f>ROUND(K174/VLOOKUP(L174,Camion!A:D, 3, FALSE) - N174,2)</f>
        <v>0.22</v>
      </c>
      <c r="P174" s="63" t="s">
        <v>129</v>
      </c>
    </row>
    <row r="175" spans="1:16" x14ac:dyDescent="0.25">
      <c r="A175" s="7">
        <v>6</v>
      </c>
      <c r="B175" s="62" t="s">
        <v>184</v>
      </c>
      <c r="C175" s="63" t="s">
        <v>1</v>
      </c>
      <c r="D175" s="63" t="s">
        <v>128</v>
      </c>
      <c r="E175" s="63" t="s">
        <v>76</v>
      </c>
      <c r="F175" s="63" t="s">
        <v>127</v>
      </c>
      <c r="G175" s="63">
        <v>38</v>
      </c>
      <c r="H175" s="63" t="s">
        <v>131</v>
      </c>
      <c r="I175" s="63">
        <f>INDEX(Matériel!A:Z, MATCH(E175, Matériel!A:A, 0), MATCH(H175, INDEX(Matériel!A:Z, MATCH(E175, Matériel!A:A, 0), 0), 0) + 1)</f>
        <v>100</v>
      </c>
      <c r="J175" s="63">
        <f t="shared" si="16"/>
        <v>1</v>
      </c>
      <c r="K175" s="63">
        <f>VLOOKUP(H175,Manutention!A:E, 3, FALSE) * J175</f>
        <v>1</v>
      </c>
      <c r="L175" s="63" t="s">
        <v>164</v>
      </c>
      <c r="M175" s="63">
        <f>ROUNDUP(K175/VLOOKUP(L175,Camion!A:D, 3, FALSE),0)</f>
        <v>1</v>
      </c>
      <c r="N175" s="63">
        <f>INT(K175/VLOOKUP(L175,Camion!A:D, 3, FALSE))</f>
        <v>0</v>
      </c>
      <c r="O175" s="64">
        <f>ROUND(K175/VLOOKUP(L175,Camion!A:D, 3, FALSE) - N175,2)</f>
        <v>0.11</v>
      </c>
      <c r="P175" s="63" t="s">
        <v>129</v>
      </c>
    </row>
    <row r="176" spans="1:16" x14ac:dyDescent="0.25">
      <c r="A176" s="7">
        <v>6</v>
      </c>
      <c r="B176" s="62" t="s">
        <v>184</v>
      </c>
      <c r="C176" s="63" t="s">
        <v>1</v>
      </c>
      <c r="D176" s="63" t="s">
        <v>135</v>
      </c>
      <c r="E176" s="63" t="s">
        <v>77</v>
      </c>
      <c r="F176" s="63" t="s">
        <v>127</v>
      </c>
      <c r="G176" s="63">
        <v>324</v>
      </c>
      <c r="H176" s="63" t="s">
        <v>131</v>
      </c>
      <c r="I176" s="63">
        <f>INDEX(Matériel!A:Z, MATCH(E176, Matériel!A:A, 0), MATCH(H176, INDEX(Matériel!A:Z, MATCH(E176, Matériel!A:A, 0), 0), 0) + 1)</f>
        <v>20</v>
      </c>
      <c r="J176" s="63">
        <f t="shared" si="16"/>
        <v>17</v>
      </c>
      <c r="K176" s="63">
        <f>VLOOKUP(H176,Manutention!A:E, 3, FALSE) * J176</f>
        <v>17</v>
      </c>
      <c r="L176" s="63" t="s">
        <v>166</v>
      </c>
      <c r="M176" s="63">
        <f>ROUNDUP(K176/VLOOKUP(L176,Camion!A:D, 3, FALSE),0)</f>
        <v>1</v>
      </c>
      <c r="N176" s="63">
        <f>INT(K176/VLOOKUP(L176,Camion!A:D, 3, FALSE))</f>
        <v>1</v>
      </c>
      <c r="O176" s="64">
        <f>ROUND(K176/VLOOKUP(L176,Camion!A:D, 3, FALSE) - N176,2)</f>
        <v>0</v>
      </c>
      <c r="P176" s="63" t="s">
        <v>129</v>
      </c>
    </row>
    <row r="177" spans="1:16" x14ac:dyDescent="0.25">
      <c r="A177" s="7">
        <v>6</v>
      </c>
      <c r="B177" s="62" t="s">
        <v>184</v>
      </c>
      <c r="C177" s="63" t="s">
        <v>1</v>
      </c>
      <c r="D177" s="63" t="s">
        <v>135</v>
      </c>
      <c r="E177" s="63" t="s">
        <v>78</v>
      </c>
      <c r="F177" s="63" t="s">
        <v>127</v>
      </c>
      <c r="G177" s="63">
        <v>7</v>
      </c>
      <c r="H177" s="63" t="s">
        <v>133</v>
      </c>
      <c r="I177" s="63">
        <f>INDEX(Matériel!A:Z, MATCH(E177, Matériel!A:A, 0), MATCH(H177, INDEX(Matériel!A:Z, MATCH(E177, Matériel!A:A, 0), 0), 0) + 1)</f>
        <v>1</v>
      </c>
      <c r="J177" s="63">
        <f t="shared" si="16"/>
        <v>7</v>
      </c>
      <c r="K177" s="63">
        <f>VLOOKUP(H177,Manutention!A:E, 3, FALSE) * J177</f>
        <v>14</v>
      </c>
      <c r="L177" s="63" t="s">
        <v>166</v>
      </c>
      <c r="M177" s="63">
        <f>ROUNDUP(K177/VLOOKUP(L177,Camion!A:D, 3, FALSE),0)</f>
        <v>1</v>
      </c>
      <c r="N177" s="63">
        <f>INT(K177/VLOOKUP(L177,Camion!A:D, 3, FALSE))</f>
        <v>0</v>
      </c>
      <c r="O177" s="64">
        <f>ROUND(K177/VLOOKUP(L177,Camion!A:D, 3, FALSE) - N177,2)</f>
        <v>0.82</v>
      </c>
      <c r="P177" s="63" t="s">
        <v>129</v>
      </c>
    </row>
    <row r="178" spans="1:16" x14ac:dyDescent="0.25">
      <c r="A178" s="7">
        <v>6</v>
      </c>
      <c r="B178" s="62" t="s">
        <v>184</v>
      </c>
      <c r="C178" s="63" t="s">
        <v>1</v>
      </c>
      <c r="D178" s="63" t="s">
        <v>135</v>
      </c>
      <c r="E178" s="63" t="s">
        <v>79</v>
      </c>
      <c r="F178" s="63" t="s">
        <v>127</v>
      </c>
      <c r="G178" s="63">
        <v>4</v>
      </c>
      <c r="H178" s="63" t="s">
        <v>133</v>
      </c>
      <c r="I178" s="63">
        <f>INDEX(Matériel!A:Z, MATCH(E178, Matériel!A:A, 0), MATCH(H178, INDEX(Matériel!A:Z, MATCH(E178, Matériel!A:A, 0), 0), 0) + 1)</f>
        <v>1</v>
      </c>
      <c r="J178" s="63">
        <f t="shared" si="16"/>
        <v>4</v>
      </c>
      <c r="K178" s="63">
        <f>VLOOKUP(H178,Manutention!A:E, 3, FALSE) * J178</f>
        <v>8</v>
      </c>
      <c r="L178" s="63" t="s">
        <v>164</v>
      </c>
      <c r="M178" s="63">
        <f>ROUNDUP(K178/VLOOKUP(L178,Camion!A:D, 3, FALSE),0)</f>
        <v>1</v>
      </c>
      <c r="N178" s="63">
        <f>INT(K178/VLOOKUP(L178,Camion!A:D, 3, FALSE))</f>
        <v>0</v>
      </c>
      <c r="O178" s="64">
        <f>ROUND(K178/VLOOKUP(L178,Camion!A:D, 3, FALSE) - N178,2)</f>
        <v>0.89</v>
      </c>
      <c r="P178" s="63" t="s">
        <v>129</v>
      </c>
    </row>
    <row r="179" spans="1:16" x14ac:dyDescent="0.25">
      <c r="A179" s="7">
        <v>6</v>
      </c>
      <c r="B179" s="62" t="s">
        <v>184</v>
      </c>
      <c r="C179" s="63" t="s">
        <v>1</v>
      </c>
      <c r="D179" s="63" t="s">
        <v>128</v>
      </c>
      <c r="E179" s="63" t="s">
        <v>81</v>
      </c>
      <c r="F179" s="63" t="s">
        <v>127</v>
      </c>
      <c r="G179" s="63">
        <v>14</v>
      </c>
      <c r="H179" s="63" t="s">
        <v>131</v>
      </c>
      <c r="I179" s="63">
        <f>INDEX(Matériel!A:Z, MATCH(E179, Matériel!A:A, 0), MATCH(H179, INDEX(Matériel!A:Z, MATCH(E179, Matériel!A:A, 0), 0), 0) + 1)</f>
        <v>100</v>
      </c>
      <c r="J179" s="63">
        <f t="shared" si="16"/>
        <v>1</v>
      </c>
      <c r="K179" s="63">
        <f>VLOOKUP(H179,Manutention!A:E, 3, FALSE) * J179</f>
        <v>1</v>
      </c>
      <c r="L179" s="63" t="s">
        <v>164</v>
      </c>
      <c r="M179" s="63">
        <f>ROUNDUP(K179/VLOOKUP(L179,Camion!A:D, 3, FALSE),0)</f>
        <v>1</v>
      </c>
      <c r="N179" s="63">
        <f>INT(K179/VLOOKUP(L179,Camion!A:D, 3, FALSE))</f>
        <v>0</v>
      </c>
      <c r="O179" s="64">
        <f>ROUND(K179/VLOOKUP(L179,Camion!A:D, 3, FALSE) - N179,2)</f>
        <v>0.11</v>
      </c>
      <c r="P179" s="63" t="s">
        <v>130</v>
      </c>
    </row>
    <row r="180" spans="1:16" x14ac:dyDescent="0.25">
      <c r="A180" s="7">
        <v>6</v>
      </c>
      <c r="B180" s="5" t="s">
        <v>184</v>
      </c>
      <c r="C180" s="65"/>
      <c r="D180" s="65"/>
      <c r="E180" s="65" t="s">
        <v>187</v>
      </c>
      <c r="F180" s="65"/>
      <c r="G180" s="65"/>
      <c r="H180" s="65" t="s">
        <v>131</v>
      </c>
      <c r="I180" s="65"/>
      <c r="J180" s="65"/>
      <c r="K180" s="65">
        <f>SUMIFS(K:K, A:A, 6, B:B, "Z1 Z2", P:P, "Oui", D:D, "Production")</f>
        <v>1</v>
      </c>
      <c r="L180" s="65" t="s">
        <v>164</v>
      </c>
      <c r="M180" s="65">
        <f>ROUNDUP(K180/VLOOKUP(L180,Camion!A:D, 3, FALSE),0)</f>
        <v>1</v>
      </c>
      <c r="N180" s="65">
        <f>INT(K180/VLOOKUP(L180,Camion!A:D, 3, FALSE))</f>
        <v>0</v>
      </c>
      <c r="O180" s="66">
        <f>ROUND(K180/VLOOKUP(L180,Camion!A:D, 3, FALSE) - N180,2)</f>
        <v>0.11</v>
      </c>
      <c r="P180" s="65"/>
    </row>
    <row r="181" spans="1:16" x14ac:dyDescent="0.25">
      <c r="A181" s="7">
        <v>6</v>
      </c>
      <c r="B181" s="5" t="s">
        <v>184</v>
      </c>
      <c r="C181" s="65"/>
      <c r="D181" s="65"/>
      <c r="E181" s="65" t="s">
        <v>188</v>
      </c>
      <c r="F181" s="65"/>
      <c r="G181" s="65"/>
      <c r="H181" s="65" t="s">
        <v>131</v>
      </c>
      <c r="I181" s="65"/>
      <c r="J181" s="65"/>
      <c r="K181" s="65">
        <f>SUMIFS(K:K, A:A, 6, B:B, "Z1 Z2", P:P, "Oui", D:D, "Terminaux")</f>
        <v>41</v>
      </c>
      <c r="L181" s="65" t="s">
        <v>168</v>
      </c>
      <c r="M181" s="65">
        <f>ROUNDUP(K181/VLOOKUP(L181,Camion!A:D, 3, FALSE),0)</f>
        <v>2</v>
      </c>
      <c r="N181" s="65">
        <f>INT(K181/VLOOKUP(L181,Camion!A:D, 3, FALSE))</f>
        <v>1</v>
      </c>
      <c r="O181" s="66">
        <f>ROUND(K181/VLOOKUP(L181,Camion!A:D, 3, FALSE) - N181,2)</f>
        <v>0.21</v>
      </c>
      <c r="P181" s="65"/>
    </row>
    <row r="182" spans="1:16" x14ac:dyDescent="0.25">
      <c r="A182" s="7">
        <v>6</v>
      </c>
      <c r="B182" s="62" t="s">
        <v>185</v>
      </c>
      <c r="C182" s="63" t="s">
        <v>1</v>
      </c>
      <c r="D182" s="63" t="s">
        <v>128</v>
      </c>
      <c r="E182" s="63" t="s">
        <v>71</v>
      </c>
      <c r="F182" s="63" t="s">
        <v>138</v>
      </c>
      <c r="G182" s="63">
        <v>487</v>
      </c>
      <c r="H182" s="63" t="s">
        <v>139</v>
      </c>
      <c r="I182" s="63">
        <f>INDEX(Matériel!A:Z, MATCH(E182, Matériel!A:A, 0), MATCH(H182, INDEX(Matériel!A:Z, MATCH(E182, Matériel!A:A, 0), 0), 0) + 1)</f>
        <v>150</v>
      </c>
      <c r="J182" s="63">
        <f t="shared" ref="J182:J189" si="17">ROUNDUP(G182 / I182, 0)</f>
        <v>4</v>
      </c>
      <c r="K182" s="63">
        <f>VLOOKUP(H182,Manutention!A:E, 3, FALSE) * J182</f>
        <v>12</v>
      </c>
      <c r="L182" s="63" t="s">
        <v>165</v>
      </c>
      <c r="M182" s="63">
        <f>ROUNDUP(K182/VLOOKUP(L182,Camion!A:D, 3, FALSE),0)</f>
        <v>1</v>
      </c>
      <c r="N182" s="63">
        <f>INT(K182/VLOOKUP(L182,Camion!A:D, 3, FALSE))</f>
        <v>1</v>
      </c>
      <c r="O182" s="64">
        <f>ROUND(K182/VLOOKUP(L182,Camion!A:D, 3, FALSE) - N182,2)</f>
        <v>0</v>
      </c>
      <c r="P182" s="63" t="s">
        <v>130</v>
      </c>
    </row>
    <row r="183" spans="1:16" x14ac:dyDescent="0.25">
      <c r="A183" s="7">
        <v>6</v>
      </c>
      <c r="B183" s="62" t="s">
        <v>185</v>
      </c>
      <c r="C183" s="63" t="s">
        <v>1</v>
      </c>
      <c r="D183" s="63" t="s">
        <v>135</v>
      </c>
      <c r="E183" s="63" t="s">
        <v>72</v>
      </c>
      <c r="F183" s="63" t="s">
        <v>138</v>
      </c>
      <c r="G183" s="63">
        <v>1490</v>
      </c>
      <c r="H183" s="63" t="s">
        <v>143</v>
      </c>
      <c r="I183" s="63">
        <f>INDEX(Matériel!A:Z, MATCH(E183, Matériel!A:A, 0), MATCH(H183, INDEX(Matériel!A:Z, MATCH(E183, Matériel!A:A, 0), 0), 0) + 1)</f>
        <v>1000</v>
      </c>
      <c r="J183" s="63">
        <f t="shared" si="17"/>
        <v>2</v>
      </c>
      <c r="K183" s="63">
        <f>VLOOKUP(H183,Manutention!A:E, 3, FALSE) * J183</f>
        <v>2</v>
      </c>
      <c r="L183" s="63" t="s">
        <v>164</v>
      </c>
      <c r="M183" s="63">
        <f>ROUNDUP(K183/VLOOKUP(L183,Camion!A:D, 3, FALSE),0)</f>
        <v>1</v>
      </c>
      <c r="N183" s="63">
        <f>INT(K183/VLOOKUP(L183,Camion!A:D, 3, FALSE))</f>
        <v>0</v>
      </c>
      <c r="O183" s="64">
        <f>ROUND(K183/VLOOKUP(L183,Camion!A:D, 3, FALSE) - N183,2)</f>
        <v>0.22</v>
      </c>
      <c r="P183" s="63" t="s">
        <v>130</v>
      </c>
    </row>
    <row r="184" spans="1:16" x14ac:dyDescent="0.25">
      <c r="A184" s="7">
        <v>6</v>
      </c>
      <c r="B184" s="62" t="s">
        <v>185</v>
      </c>
      <c r="C184" s="63" t="s">
        <v>1</v>
      </c>
      <c r="D184" s="63" t="s">
        <v>135</v>
      </c>
      <c r="E184" s="63" t="s">
        <v>75</v>
      </c>
      <c r="F184" s="63" t="s">
        <v>127</v>
      </c>
      <c r="G184" s="63">
        <v>76</v>
      </c>
      <c r="H184" s="63" t="s">
        <v>136</v>
      </c>
      <c r="I184" s="63">
        <f>INDEX(Matériel!A:Z, MATCH(E184, Matériel!A:A, 0), MATCH(H184, INDEX(Matériel!A:Z, MATCH(E184, Matériel!A:A, 0), 0), 0) + 1)</f>
        <v>60</v>
      </c>
      <c r="J184" s="63">
        <f t="shared" si="17"/>
        <v>2</v>
      </c>
      <c r="K184" s="63">
        <f>VLOOKUP(H184,Manutention!A:E, 3, FALSE) * J184</f>
        <v>2</v>
      </c>
      <c r="L184" s="63" t="s">
        <v>164</v>
      </c>
      <c r="M184" s="63">
        <f>ROUNDUP(K184/VLOOKUP(L184,Camion!A:D, 3, FALSE),0)</f>
        <v>1</v>
      </c>
      <c r="N184" s="63">
        <f>INT(K184/VLOOKUP(L184,Camion!A:D, 3, FALSE))</f>
        <v>0</v>
      </c>
      <c r="O184" s="64">
        <f>ROUND(K184/VLOOKUP(L184,Camion!A:D, 3, FALSE) - N184,2)</f>
        <v>0.22</v>
      </c>
      <c r="P184" s="63" t="s">
        <v>129</v>
      </c>
    </row>
    <row r="185" spans="1:16" x14ac:dyDescent="0.25">
      <c r="A185" s="7">
        <v>6</v>
      </c>
      <c r="B185" s="62" t="s">
        <v>185</v>
      </c>
      <c r="C185" s="63" t="s">
        <v>1</v>
      </c>
      <c r="D185" s="63" t="s">
        <v>128</v>
      </c>
      <c r="E185" s="63" t="s">
        <v>76</v>
      </c>
      <c r="F185" s="63" t="s">
        <v>127</v>
      </c>
      <c r="G185" s="63">
        <v>38</v>
      </c>
      <c r="H185" s="63" t="s">
        <v>131</v>
      </c>
      <c r="I185" s="63">
        <f>INDEX(Matériel!A:Z, MATCH(E185, Matériel!A:A, 0), MATCH(H185, INDEX(Matériel!A:Z, MATCH(E185, Matériel!A:A, 0), 0), 0) + 1)</f>
        <v>100</v>
      </c>
      <c r="J185" s="63">
        <f t="shared" si="17"/>
        <v>1</v>
      </c>
      <c r="K185" s="63">
        <f>VLOOKUP(H185,Manutention!A:E, 3, FALSE) * J185</f>
        <v>1</v>
      </c>
      <c r="L185" s="63" t="s">
        <v>164</v>
      </c>
      <c r="M185" s="63">
        <f>ROUNDUP(K185/VLOOKUP(L185,Camion!A:D, 3, FALSE),0)</f>
        <v>1</v>
      </c>
      <c r="N185" s="63">
        <f>INT(K185/VLOOKUP(L185,Camion!A:D, 3, FALSE))</f>
        <v>0</v>
      </c>
      <c r="O185" s="64">
        <f>ROUND(K185/VLOOKUP(L185,Camion!A:D, 3, FALSE) - N185,2)</f>
        <v>0.11</v>
      </c>
      <c r="P185" s="63" t="s">
        <v>129</v>
      </c>
    </row>
    <row r="186" spans="1:16" x14ac:dyDescent="0.25">
      <c r="A186" s="7">
        <v>6</v>
      </c>
      <c r="B186" s="62" t="s">
        <v>185</v>
      </c>
      <c r="C186" s="63" t="s">
        <v>1</v>
      </c>
      <c r="D186" s="63" t="s">
        <v>135</v>
      </c>
      <c r="E186" s="63" t="s">
        <v>77</v>
      </c>
      <c r="F186" s="63" t="s">
        <v>127</v>
      </c>
      <c r="G186" s="63">
        <v>319</v>
      </c>
      <c r="H186" s="63" t="s">
        <v>131</v>
      </c>
      <c r="I186" s="63">
        <f>INDEX(Matériel!A:Z, MATCH(E186, Matériel!A:A, 0), MATCH(H186, INDEX(Matériel!A:Z, MATCH(E186, Matériel!A:A, 0), 0), 0) + 1)</f>
        <v>20</v>
      </c>
      <c r="J186" s="63">
        <f t="shared" si="17"/>
        <v>16</v>
      </c>
      <c r="K186" s="63">
        <f>VLOOKUP(H186,Manutention!A:E, 3, FALSE) * J186</f>
        <v>16</v>
      </c>
      <c r="L186" s="63" t="s">
        <v>166</v>
      </c>
      <c r="M186" s="63">
        <f>ROUNDUP(K186/VLOOKUP(L186,Camion!A:D, 3, FALSE),0)</f>
        <v>1</v>
      </c>
      <c r="N186" s="63">
        <f>INT(K186/VLOOKUP(L186,Camion!A:D, 3, FALSE))</f>
        <v>0</v>
      </c>
      <c r="O186" s="64">
        <f>ROUND(K186/VLOOKUP(L186,Camion!A:D, 3, FALSE) - N186,2)</f>
        <v>0.94</v>
      </c>
      <c r="P186" s="63" t="s">
        <v>129</v>
      </c>
    </row>
    <row r="187" spans="1:16" x14ac:dyDescent="0.25">
      <c r="A187" s="7">
        <v>6</v>
      </c>
      <c r="B187" s="62" t="s">
        <v>185</v>
      </c>
      <c r="C187" s="63" t="s">
        <v>1</v>
      </c>
      <c r="D187" s="63" t="s">
        <v>135</v>
      </c>
      <c r="E187" s="63" t="s">
        <v>78</v>
      </c>
      <c r="F187" s="63" t="s">
        <v>127</v>
      </c>
      <c r="G187" s="63">
        <v>6</v>
      </c>
      <c r="H187" s="63" t="s">
        <v>133</v>
      </c>
      <c r="I187" s="63">
        <f>INDEX(Matériel!A:Z, MATCH(E187, Matériel!A:A, 0), MATCH(H187, INDEX(Matériel!A:Z, MATCH(E187, Matériel!A:A, 0), 0), 0) + 1)</f>
        <v>1</v>
      </c>
      <c r="J187" s="63">
        <f t="shared" si="17"/>
        <v>6</v>
      </c>
      <c r="K187" s="63">
        <f>VLOOKUP(H187,Manutention!A:E, 3, FALSE) * J187</f>
        <v>12</v>
      </c>
      <c r="L187" s="63" t="s">
        <v>165</v>
      </c>
      <c r="M187" s="63">
        <f>ROUNDUP(K187/VLOOKUP(L187,Camion!A:D, 3, FALSE),0)</f>
        <v>1</v>
      </c>
      <c r="N187" s="63">
        <f>INT(K187/VLOOKUP(L187,Camion!A:D, 3, FALSE))</f>
        <v>1</v>
      </c>
      <c r="O187" s="64">
        <f>ROUND(K187/VLOOKUP(L187,Camion!A:D, 3, FALSE) - N187,2)</f>
        <v>0</v>
      </c>
      <c r="P187" s="63" t="s">
        <v>129</v>
      </c>
    </row>
    <row r="188" spans="1:16" x14ac:dyDescent="0.25">
      <c r="A188" s="7">
        <v>6</v>
      </c>
      <c r="B188" s="62" t="s">
        <v>185</v>
      </c>
      <c r="C188" s="63" t="s">
        <v>1</v>
      </c>
      <c r="D188" s="63" t="s">
        <v>135</v>
      </c>
      <c r="E188" s="63" t="s">
        <v>79</v>
      </c>
      <c r="F188" s="63" t="s">
        <v>127</v>
      </c>
      <c r="G188" s="63">
        <v>4</v>
      </c>
      <c r="H188" s="63" t="s">
        <v>133</v>
      </c>
      <c r="I188" s="63">
        <f>INDEX(Matériel!A:Z, MATCH(E188, Matériel!A:A, 0), MATCH(H188, INDEX(Matériel!A:Z, MATCH(E188, Matériel!A:A, 0), 0), 0) + 1)</f>
        <v>1</v>
      </c>
      <c r="J188" s="63">
        <f t="shared" si="17"/>
        <v>4</v>
      </c>
      <c r="K188" s="63">
        <f>VLOOKUP(H188,Manutention!A:E, 3, FALSE) * J188</f>
        <v>8</v>
      </c>
      <c r="L188" s="63" t="s">
        <v>164</v>
      </c>
      <c r="M188" s="63">
        <f>ROUNDUP(K188/VLOOKUP(L188,Camion!A:D, 3, FALSE),0)</f>
        <v>1</v>
      </c>
      <c r="N188" s="63">
        <f>INT(K188/VLOOKUP(L188,Camion!A:D, 3, FALSE))</f>
        <v>0</v>
      </c>
      <c r="O188" s="64">
        <f>ROUND(K188/VLOOKUP(L188,Camion!A:D, 3, FALSE) - N188,2)</f>
        <v>0.89</v>
      </c>
      <c r="P188" s="63" t="s">
        <v>129</v>
      </c>
    </row>
    <row r="189" spans="1:16" x14ac:dyDescent="0.25">
      <c r="A189" s="7">
        <v>6</v>
      </c>
      <c r="B189" s="62" t="s">
        <v>185</v>
      </c>
      <c r="C189" s="63" t="s">
        <v>1</v>
      </c>
      <c r="D189" s="63" t="s">
        <v>128</v>
      </c>
      <c r="E189" s="63" t="s">
        <v>81</v>
      </c>
      <c r="F189" s="63" t="s">
        <v>127</v>
      </c>
      <c r="G189" s="63">
        <v>14</v>
      </c>
      <c r="H189" s="63" t="s">
        <v>131</v>
      </c>
      <c r="I189" s="63">
        <f>INDEX(Matériel!A:Z, MATCH(E189, Matériel!A:A, 0), MATCH(H189, INDEX(Matériel!A:Z, MATCH(E189, Matériel!A:A, 0), 0), 0) + 1)</f>
        <v>100</v>
      </c>
      <c r="J189" s="63">
        <f t="shared" si="17"/>
        <v>1</v>
      </c>
      <c r="K189" s="63">
        <f>VLOOKUP(H189,Manutention!A:E, 3, FALSE) * J189</f>
        <v>1</v>
      </c>
      <c r="L189" s="63" t="s">
        <v>164</v>
      </c>
      <c r="M189" s="63">
        <f>ROUNDUP(K189/VLOOKUP(L189,Camion!A:D, 3, FALSE),0)</f>
        <v>1</v>
      </c>
      <c r="N189" s="63">
        <f>INT(K189/VLOOKUP(L189,Camion!A:D, 3, FALSE))</f>
        <v>0</v>
      </c>
      <c r="O189" s="64">
        <f>ROUND(K189/VLOOKUP(L189,Camion!A:D, 3, FALSE) - N189,2)</f>
        <v>0.11</v>
      </c>
      <c r="P189" s="63" t="s">
        <v>130</v>
      </c>
    </row>
    <row r="190" spans="1:16" x14ac:dyDescent="0.25">
      <c r="A190" s="7">
        <v>6</v>
      </c>
      <c r="B190" s="5" t="s">
        <v>185</v>
      </c>
      <c r="C190" s="65"/>
      <c r="D190" s="65"/>
      <c r="E190" s="65" t="s">
        <v>187</v>
      </c>
      <c r="F190" s="65"/>
      <c r="G190" s="65"/>
      <c r="H190" s="65" t="s">
        <v>131</v>
      </c>
      <c r="I190" s="65"/>
      <c r="J190" s="65"/>
      <c r="K190" s="65">
        <f>SUMIFS(K:K, A:A, 6, B:B, "Z3 Z4", P:P, "Oui", D:D, "Production")</f>
        <v>1</v>
      </c>
      <c r="L190" s="65" t="s">
        <v>164</v>
      </c>
      <c r="M190" s="65">
        <f>ROUNDUP(K190/VLOOKUP(L190,Camion!A:D, 3, FALSE),0)</f>
        <v>1</v>
      </c>
      <c r="N190" s="65">
        <f>INT(K190/VLOOKUP(L190,Camion!A:D, 3, FALSE))</f>
        <v>0</v>
      </c>
      <c r="O190" s="66">
        <f>ROUND(K190/VLOOKUP(L190,Camion!A:D, 3, FALSE) - N190,2)</f>
        <v>0.11</v>
      </c>
      <c r="P190" s="65"/>
    </row>
    <row r="191" spans="1:16" x14ac:dyDescent="0.25">
      <c r="A191" s="7">
        <v>6</v>
      </c>
      <c r="B191" s="5" t="s">
        <v>185</v>
      </c>
      <c r="C191" s="65"/>
      <c r="D191" s="65"/>
      <c r="E191" s="65" t="s">
        <v>188</v>
      </c>
      <c r="F191" s="65"/>
      <c r="G191" s="65"/>
      <c r="H191" s="65" t="s">
        <v>131</v>
      </c>
      <c r="I191" s="65"/>
      <c r="J191" s="65"/>
      <c r="K191" s="65">
        <f>SUMIFS(K:K, A:A, 6, B:B, "Z3 Z4", P:P, "Oui", D:D, "Terminaux")</f>
        <v>38</v>
      </c>
      <c r="L191" s="65" t="s">
        <v>167</v>
      </c>
      <c r="M191" s="65">
        <f>ROUNDUP(K191/VLOOKUP(L191,Camion!A:D, 3, FALSE),0)</f>
        <v>2</v>
      </c>
      <c r="N191" s="65">
        <f>INT(K191/VLOOKUP(L191,Camion!A:D, 3, FALSE))</f>
        <v>1</v>
      </c>
      <c r="O191" s="66">
        <f>ROUND(K191/VLOOKUP(L191,Camion!A:D, 3, FALSE) - N191,2)</f>
        <v>0.9</v>
      </c>
      <c r="P191" s="65"/>
    </row>
    <row r="192" spans="1:16" x14ac:dyDescent="0.25">
      <c r="A192" s="7">
        <v>7</v>
      </c>
      <c r="B192" s="62" t="s">
        <v>184</v>
      </c>
      <c r="C192" s="63" t="s">
        <v>1</v>
      </c>
      <c r="D192" s="63" t="s">
        <v>128</v>
      </c>
      <c r="E192" s="63" t="s">
        <v>71</v>
      </c>
      <c r="F192" s="63" t="s">
        <v>138</v>
      </c>
      <c r="G192" s="63">
        <v>480</v>
      </c>
      <c r="H192" s="63" t="s">
        <v>139</v>
      </c>
      <c r="I192" s="63">
        <f>INDEX(Matériel!A:Z, MATCH(E192, Matériel!A:A, 0), MATCH(H192, INDEX(Matériel!A:Z, MATCH(E192, Matériel!A:A, 0), 0), 0) + 1)</f>
        <v>150</v>
      </c>
      <c r="J192" s="63">
        <f t="shared" ref="J192:J199" si="18">ROUNDUP(G192 / I192, 0)</f>
        <v>4</v>
      </c>
      <c r="K192" s="63">
        <f>VLOOKUP(H192,Manutention!A:E, 3, FALSE) * J192</f>
        <v>12</v>
      </c>
      <c r="L192" s="63" t="s">
        <v>165</v>
      </c>
      <c r="M192" s="63">
        <f>ROUNDUP(K192/VLOOKUP(L192,Camion!A:D, 3, FALSE),0)</f>
        <v>1</v>
      </c>
      <c r="N192" s="63">
        <f>INT(K192/VLOOKUP(L192,Camion!A:D, 3, FALSE))</f>
        <v>1</v>
      </c>
      <c r="O192" s="64">
        <f>ROUND(K192/VLOOKUP(L192,Camion!A:D, 3, FALSE) - N192,2)</f>
        <v>0</v>
      </c>
      <c r="P192" s="63" t="s">
        <v>130</v>
      </c>
    </row>
    <row r="193" spans="1:16" x14ac:dyDescent="0.25">
      <c r="A193" s="7">
        <v>7</v>
      </c>
      <c r="B193" s="62" t="s">
        <v>184</v>
      </c>
      <c r="C193" s="63" t="s">
        <v>1</v>
      </c>
      <c r="D193" s="63" t="s">
        <v>135</v>
      </c>
      <c r="E193" s="63" t="s">
        <v>72</v>
      </c>
      <c r="F193" s="63" t="s">
        <v>138</v>
      </c>
      <c r="G193" s="63">
        <v>1468</v>
      </c>
      <c r="H193" s="63" t="s">
        <v>143</v>
      </c>
      <c r="I193" s="63">
        <f>INDEX(Matériel!A:Z, MATCH(E193, Matériel!A:A, 0), MATCH(H193, INDEX(Matériel!A:Z, MATCH(E193, Matériel!A:A, 0), 0), 0) + 1)</f>
        <v>1000</v>
      </c>
      <c r="J193" s="63">
        <f t="shared" si="18"/>
        <v>2</v>
      </c>
      <c r="K193" s="63">
        <f>VLOOKUP(H193,Manutention!A:E, 3, FALSE) * J193</f>
        <v>2</v>
      </c>
      <c r="L193" s="63" t="s">
        <v>164</v>
      </c>
      <c r="M193" s="63">
        <f>ROUNDUP(K193/VLOOKUP(L193,Camion!A:D, 3, FALSE),0)</f>
        <v>1</v>
      </c>
      <c r="N193" s="63">
        <f>INT(K193/VLOOKUP(L193,Camion!A:D, 3, FALSE))</f>
        <v>0</v>
      </c>
      <c r="O193" s="64">
        <f>ROUND(K193/VLOOKUP(L193,Camion!A:D, 3, FALSE) - N193,2)</f>
        <v>0.22</v>
      </c>
      <c r="P193" s="63" t="s">
        <v>130</v>
      </c>
    </row>
    <row r="194" spans="1:16" x14ac:dyDescent="0.25">
      <c r="A194" s="7">
        <v>7</v>
      </c>
      <c r="B194" s="62" t="s">
        <v>184</v>
      </c>
      <c r="C194" s="63" t="s">
        <v>1</v>
      </c>
      <c r="D194" s="63" t="s">
        <v>135</v>
      </c>
      <c r="E194" s="63" t="s">
        <v>75</v>
      </c>
      <c r="F194" s="63" t="s">
        <v>127</v>
      </c>
      <c r="G194" s="63">
        <v>75</v>
      </c>
      <c r="H194" s="63" t="s">
        <v>136</v>
      </c>
      <c r="I194" s="63">
        <f>INDEX(Matériel!A:Z, MATCH(E194, Matériel!A:A, 0), MATCH(H194, INDEX(Matériel!A:Z, MATCH(E194, Matériel!A:A, 0), 0), 0) + 1)</f>
        <v>60</v>
      </c>
      <c r="J194" s="63">
        <f t="shared" si="18"/>
        <v>2</v>
      </c>
      <c r="K194" s="63">
        <f>VLOOKUP(H194,Manutention!A:E, 3, FALSE) * J194</f>
        <v>2</v>
      </c>
      <c r="L194" s="63" t="s">
        <v>164</v>
      </c>
      <c r="M194" s="63">
        <f>ROUNDUP(K194/VLOOKUP(L194,Camion!A:D, 3, FALSE),0)</f>
        <v>1</v>
      </c>
      <c r="N194" s="63">
        <f>INT(K194/VLOOKUP(L194,Camion!A:D, 3, FALSE))</f>
        <v>0</v>
      </c>
      <c r="O194" s="64">
        <f>ROUND(K194/VLOOKUP(L194,Camion!A:D, 3, FALSE) - N194,2)</f>
        <v>0.22</v>
      </c>
      <c r="P194" s="63" t="s">
        <v>129</v>
      </c>
    </row>
    <row r="195" spans="1:16" x14ac:dyDescent="0.25">
      <c r="A195" s="7">
        <v>7</v>
      </c>
      <c r="B195" s="62" t="s">
        <v>184</v>
      </c>
      <c r="C195" s="63" t="s">
        <v>1</v>
      </c>
      <c r="D195" s="63" t="s">
        <v>128</v>
      </c>
      <c r="E195" s="63" t="s">
        <v>76</v>
      </c>
      <c r="F195" s="63" t="s">
        <v>127</v>
      </c>
      <c r="G195" s="63">
        <v>37</v>
      </c>
      <c r="H195" s="63" t="s">
        <v>131</v>
      </c>
      <c r="I195" s="63">
        <f>INDEX(Matériel!A:Z, MATCH(E195, Matériel!A:A, 0), MATCH(H195, INDEX(Matériel!A:Z, MATCH(E195, Matériel!A:A, 0), 0), 0) + 1)</f>
        <v>100</v>
      </c>
      <c r="J195" s="63">
        <f t="shared" si="18"/>
        <v>1</v>
      </c>
      <c r="K195" s="63">
        <f>VLOOKUP(H195,Manutention!A:E, 3, FALSE) * J195</f>
        <v>1</v>
      </c>
      <c r="L195" s="63" t="s">
        <v>164</v>
      </c>
      <c r="M195" s="63">
        <f>ROUNDUP(K195/VLOOKUP(L195,Camion!A:D, 3, FALSE),0)</f>
        <v>1</v>
      </c>
      <c r="N195" s="63">
        <f>INT(K195/VLOOKUP(L195,Camion!A:D, 3, FALSE))</f>
        <v>0</v>
      </c>
      <c r="O195" s="64">
        <f>ROUND(K195/VLOOKUP(L195,Camion!A:D, 3, FALSE) - N195,2)</f>
        <v>0.11</v>
      </c>
      <c r="P195" s="63" t="s">
        <v>129</v>
      </c>
    </row>
    <row r="196" spans="1:16" x14ac:dyDescent="0.25">
      <c r="A196" s="7">
        <v>7</v>
      </c>
      <c r="B196" s="62" t="s">
        <v>184</v>
      </c>
      <c r="C196" s="63" t="s">
        <v>1</v>
      </c>
      <c r="D196" s="63" t="s">
        <v>135</v>
      </c>
      <c r="E196" s="63" t="s">
        <v>77</v>
      </c>
      <c r="F196" s="63" t="s">
        <v>127</v>
      </c>
      <c r="G196" s="63">
        <v>314</v>
      </c>
      <c r="H196" s="63" t="s">
        <v>131</v>
      </c>
      <c r="I196" s="63">
        <f>INDEX(Matériel!A:Z, MATCH(E196, Matériel!A:A, 0), MATCH(H196, INDEX(Matériel!A:Z, MATCH(E196, Matériel!A:A, 0), 0), 0) + 1)</f>
        <v>20</v>
      </c>
      <c r="J196" s="63">
        <f t="shared" si="18"/>
        <v>16</v>
      </c>
      <c r="K196" s="63">
        <f>VLOOKUP(H196,Manutention!A:E, 3, FALSE) * J196</f>
        <v>16</v>
      </c>
      <c r="L196" s="63" t="s">
        <v>166</v>
      </c>
      <c r="M196" s="63">
        <f>ROUNDUP(K196/VLOOKUP(L196,Camion!A:D, 3, FALSE),0)</f>
        <v>1</v>
      </c>
      <c r="N196" s="63">
        <f>INT(K196/VLOOKUP(L196,Camion!A:D, 3, FALSE))</f>
        <v>0</v>
      </c>
      <c r="O196" s="64">
        <f>ROUND(K196/VLOOKUP(L196,Camion!A:D, 3, FALSE) - N196,2)</f>
        <v>0.94</v>
      </c>
      <c r="P196" s="63" t="s">
        <v>129</v>
      </c>
    </row>
    <row r="197" spans="1:16" x14ac:dyDescent="0.25">
      <c r="A197" s="7">
        <v>7</v>
      </c>
      <c r="B197" s="62" t="s">
        <v>184</v>
      </c>
      <c r="C197" s="63" t="s">
        <v>1</v>
      </c>
      <c r="D197" s="63" t="s">
        <v>135</v>
      </c>
      <c r="E197" s="63" t="s">
        <v>78</v>
      </c>
      <c r="F197" s="63" t="s">
        <v>127</v>
      </c>
      <c r="G197" s="63">
        <v>6</v>
      </c>
      <c r="H197" s="63" t="s">
        <v>133</v>
      </c>
      <c r="I197" s="63">
        <f>INDEX(Matériel!A:Z, MATCH(E197, Matériel!A:A, 0), MATCH(H197, INDEX(Matériel!A:Z, MATCH(E197, Matériel!A:A, 0), 0), 0) + 1)</f>
        <v>1</v>
      </c>
      <c r="J197" s="63">
        <f t="shared" si="18"/>
        <v>6</v>
      </c>
      <c r="K197" s="63">
        <f>VLOOKUP(H197,Manutention!A:E, 3, FALSE) * J197</f>
        <v>12</v>
      </c>
      <c r="L197" s="63" t="s">
        <v>165</v>
      </c>
      <c r="M197" s="63">
        <f>ROUNDUP(K197/VLOOKUP(L197,Camion!A:D, 3, FALSE),0)</f>
        <v>1</v>
      </c>
      <c r="N197" s="63">
        <f>INT(K197/VLOOKUP(L197,Camion!A:D, 3, FALSE))</f>
        <v>1</v>
      </c>
      <c r="O197" s="64">
        <f>ROUND(K197/VLOOKUP(L197,Camion!A:D, 3, FALSE) - N197,2)</f>
        <v>0</v>
      </c>
      <c r="P197" s="63" t="s">
        <v>129</v>
      </c>
    </row>
    <row r="198" spans="1:16" x14ac:dyDescent="0.25">
      <c r="A198" s="7">
        <v>7</v>
      </c>
      <c r="B198" s="62" t="s">
        <v>184</v>
      </c>
      <c r="C198" s="63" t="s">
        <v>1</v>
      </c>
      <c r="D198" s="63" t="s">
        <v>135</v>
      </c>
      <c r="E198" s="63" t="s">
        <v>79</v>
      </c>
      <c r="F198" s="63" t="s">
        <v>127</v>
      </c>
      <c r="G198" s="63">
        <v>4</v>
      </c>
      <c r="H198" s="63" t="s">
        <v>133</v>
      </c>
      <c r="I198" s="63">
        <f>INDEX(Matériel!A:Z, MATCH(E198, Matériel!A:A, 0), MATCH(H198, INDEX(Matériel!A:Z, MATCH(E198, Matériel!A:A, 0), 0), 0) + 1)</f>
        <v>1</v>
      </c>
      <c r="J198" s="63">
        <f t="shared" si="18"/>
        <v>4</v>
      </c>
      <c r="K198" s="63">
        <f>VLOOKUP(H198,Manutention!A:E, 3, FALSE) * J198</f>
        <v>8</v>
      </c>
      <c r="L198" s="63" t="s">
        <v>164</v>
      </c>
      <c r="M198" s="63">
        <f>ROUNDUP(K198/VLOOKUP(L198,Camion!A:D, 3, FALSE),0)</f>
        <v>1</v>
      </c>
      <c r="N198" s="63">
        <f>INT(K198/VLOOKUP(L198,Camion!A:D, 3, FALSE))</f>
        <v>0</v>
      </c>
      <c r="O198" s="64">
        <f>ROUND(K198/VLOOKUP(L198,Camion!A:D, 3, FALSE) - N198,2)</f>
        <v>0.89</v>
      </c>
      <c r="P198" s="63" t="s">
        <v>129</v>
      </c>
    </row>
    <row r="199" spans="1:16" x14ac:dyDescent="0.25">
      <c r="A199" s="7">
        <v>7</v>
      </c>
      <c r="B199" s="62" t="s">
        <v>184</v>
      </c>
      <c r="C199" s="63" t="s">
        <v>1</v>
      </c>
      <c r="D199" s="63" t="s">
        <v>128</v>
      </c>
      <c r="E199" s="63" t="s">
        <v>81</v>
      </c>
      <c r="F199" s="63" t="s">
        <v>127</v>
      </c>
      <c r="G199" s="63">
        <v>14</v>
      </c>
      <c r="H199" s="63" t="s">
        <v>131</v>
      </c>
      <c r="I199" s="63">
        <f>INDEX(Matériel!A:Z, MATCH(E199, Matériel!A:A, 0), MATCH(H199, INDEX(Matériel!A:Z, MATCH(E199, Matériel!A:A, 0), 0), 0) + 1)</f>
        <v>100</v>
      </c>
      <c r="J199" s="63">
        <f t="shared" si="18"/>
        <v>1</v>
      </c>
      <c r="K199" s="63">
        <f>VLOOKUP(H199,Manutention!A:E, 3, FALSE) * J199</f>
        <v>1</v>
      </c>
      <c r="L199" s="63" t="s">
        <v>164</v>
      </c>
      <c r="M199" s="63">
        <f>ROUNDUP(K199/VLOOKUP(L199,Camion!A:D, 3, FALSE),0)</f>
        <v>1</v>
      </c>
      <c r="N199" s="63">
        <f>INT(K199/VLOOKUP(L199,Camion!A:D, 3, FALSE))</f>
        <v>0</v>
      </c>
      <c r="O199" s="64">
        <f>ROUND(K199/VLOOKUP(L199,Camion!A:D, 3, FALSE) - N199,2)</f>
        <v>0.11</v>
      </c>
      <c r="P199" s="63" t="s">
        <v>130</v>
      </c>
    </row>
    <row r="200" spans="1:16" x14ac:dyDescent="0.25">
      <c r="A200" s="7">
        <v>7</v>
      </c>
      <c r="B200" s="5" t="s">
        <v>184</v>
      </c>
      <c r="C200" s="65"/>
      <c r="D200" s="65"/>
      <c r="E200" s="65" t="s">
        <v>187</v>
      </c>
      <c r="F200" s="65"/>
      <c r="G200" s="65"/>
      <c r="H200" s="65" t="s">
        <v>131</v>
      </c>
      <c r="I200" s="65"/>
      <c r="J200" s="65"/>
      <c r="K200" s="65">
        <f>SUMIFS(K:K, A:A, 7, B:B, "Z1 Z2", P:P, "Oui", D:D, "Production")</f>
        <v>1</v>
      </c>
      <c r="L200" s="65" t="s">
        <v>164</v>
      </c>
      <c r="M200" s="65">
        <f>ROUNDUP(K200/VLOOKUP(L200,Camion!A:D, 3, FALSE),0)</f>
        <v>1</v>
      </c>
      <c r="N200" s="65">
        <f>INT(K200/VLOOKUP(L200,Camion!A:D, 3, FALSE))</f>
        <v>0</v>
      </c>
      <c r="O200" s="66">
        <f>ROUND(K200/VLOOKUP(L200,Camion!A:D, 3, FALSE) - N200,2)</f>
        <v>0.11</v>
      </c>
      <c r="P200" s="65"/>
    </row>
    <row r="201" spans="1:16" x14ac:dyDescent="0.25">
      <c r="A201" s="7">
        <v>7</v>
      </c>
      <c r="B201" s="5" t="s">
        <v>184</v>
      </c>
      <c r="C201" s="65"/>
      <c r="D201" s="65"/>
      <c r="E201" s="65" t="s">
        <v>188</v>
      </c>
      <c r="F201" s="65"/>
      <c r="G201" s="65"/>
      <c r="H201" s="65" t="s">
        <v>131</v>
      </c>
      <c r="I201" s="65"/>
      <c r="J201" s="65"/>
      <c r="K201" s="65">
        <f>SUMIFS(K:K, A:A, 7, B:B, "Z1 Z2", P:P, "Oui", D:D, "Terminaux")</f>
        <v>38</v>
      </c>
      <c r="L201" s="65" t="s">
        <v>167</v>
      </c>
      <c r="M201" s="65">
        <f>ROUNDUP(K201/VLOOKUP(L201,Camion!A:D, 3, FALSE),0)</f>
        <v>2</v>
      </c>
      <c r="N201" s="65">
        <f>INT(K201/VLOOKUP(L201,Camion!A:D, 3, FALSE))</f>
        <v>1</v>
      </c>
      <c r="O201" s="66">
        <f>ROUND(K201/VLOOKUP(L201,Camion!A:D, 3, FALSE) - N201,2)</f>
        <v>0.9</v>
      </c>
      <c r="P201" s="65"/>
    </row>
    <row r="202" spans="1:16" x14ac:dyDescent="0.25">
      <c r="A202" s="7">
        <v>7</v>
      </c>
      <c r="B202" s="62" t="s">
        <v>185</v>
      </c>
      <c r="C202" s="63" t="s">
        <v>1</v>
      </c>
      <c r="D202" s="63" t="s">
        <v>128</v>
      </c>
      <c r="E202" s="63" t="s">
        <v>71</v>
      </c>
      <c r="F202" s="63" t="s">
        <v>138</v>
      </c>
      <c r="G202" s="63">
        <v>472</v>
      </c>
      <c r="H202" s="63" t="s">
        <v>139</v>
      </c>
      <c r="I202" s="63">
        <f>INDEX(Matériel!A:Z, MATCH(E202, Matériel!A:A, 0), MATCH(H202, INDEX(Matériel!A:Z, MATCH(E202, Matériel!A:A, 0), 0), 0) + 1)</f>
        <v>150</v>
      </c>
      <c r="J202" s="63">
        <f t="shared" ref="J202:J209" si="19">ROUNDUP(G202 / I202, 0)</f>
        <v>4</v>
      </c>
      <c r="K202" s="63">
        <f>VLOOKUP(H202,Manutention!A:E, 3, FALSE) * J202</f>
        <v>12</v>
      </c>
      <c r="L202" s="63" t="s">
        <v>165</v>
      </c>
      <c r="M202" s="63">
        <f>ROUNDUP(K202/VLOOKUP(L202,Camion!A:D, 3, FALSE),0)</f>
        <v>1</v>
      </c>
      <c r="N202" s="63">
        <f>INT(K202/VLOOKUP(L202,Camion!A:D, 3, FALSE))</f>
        <v>1</v>
      </c>
      <c r="O202" s="64">
        <f>ROUND(K202/VLOOKUP(L202,Camion!A:D, 3, FALSE) - N202,2)</f>
        <v>0</v>
      </c>
      <c r="P202" s="63" t="s">
        <v>130</v>
      </c>
    </row>
    <row r="203" spans="1:16" x14ac:dyDescent="0.25">
      <c r="A203" s="7">
        <v>7</v>
      </c>
      <c r="B203" s="62" t="s">
        <v>185</v>
      </c>
      <c r="C203" s="63" t="s">
        <v>1</v>
      </c>
      <c r="D203" s="63" t="s">
        <v>135</v>
      </c>
      <c r="E203" s="63" t="s">
        <v>72</v>
      </c>
      <c r="F203" s="63" t="s">
        <v>138</v>
      </c>
      <c r="G203" s="63">
        <v>1446</v>
      </c>
      <c r="H203" s="63" t="s">
        <v>143</v>
      </c>
      <c r="I203" s="63">
        <f>INDEX(Matériel!A:Z, MATCH(E203, Matériel!A:A, 0), MATCH(H203, INDEX(Matériel!A:Z, MATCH(E203, Matériel!A:A, 0), 0), 0) + 1)</f>
        <v>1000</v>
      </c>
      <c r="J203" s="63">
        <f t="shared" si="19"/>
        <v>2</v>
      </c>
      <c r="K203" s="63">
        <f>VLOOKUP(H203,Manutention!A:E, 3, FALSE) * J203</f>
        <v>2</v>
      </c>
      <c r="L203" s="63" t="s">
        <v>164</v>
      </c>
      <c r="M203" s="63">
        <f>ROUNDUP(K203/VLOOKUP(L203,Camion!A:D, 3, FALSE),0)</f>
        <v>1</v>
      </c>
      <c r="N203" s="63">
        <f>INT(K203/VLOOKUP(L203,Camion!A:D, 3, FALSE))</f>
        <v>0</v>
      </c>
      <c r="O203" s="64">
        <f>ROUND(K203/VLOOKUP(L203,Camion!A:D, 3, FALSE) - N203,2)</f>
        <v>0.22</v>
      </c>
      <c r="P203" s="63" t="s">
        <v>130</v>
      </c>
    </row>
    <row r="204" spans="1:16" x14ac:dyDescent="0.25">
      <c r="A204" s="7">
        <v>7</v>
      </c>
      <c r="B204" s="62" t="s">
        <v>185</v>
      </c>
      <c r="C204" s="63" t="s">
        <v>1</v>
      </c>
      <c r="D204" s="63" t="s">
        <v>135</v>
      </c>
      <c r="E204" s="63" t="s">
        <v>75</v>
      </c>
      <c r="F204" s="63" t="s">
        <v>127</v>
      </c>
      <c r="G204" s="63">
        <v>74</v>
      </c>
      <c r="H204" s="63" t="s">
        <v>136</v>
      </c>
      <c r="I204" s="63">
        <f>INDEX(Matériel!A:Z, MATCH(E204, Matériel!A:A, 0), MATCH(H204, INDEX(Matériel!A:Z, MATCH(E204, Matériel!A:A, 0), 0), 0) + 1)</f>
        <v>60</v>
      </c>
      <c r="J204" s="63">
        <f t="shared" si="19"/>
        <v>2</v>
      </c>
      <c r="K204" s="63">
        <f>VLOOKUP(H204,Manutention!A:E, 3, FALSE) * J204</f>
        <v>2</v>
      </c>
      <c r="L204" s="63" t="s">
        <v>164</v>
      </c>
      <c r="M204" s="63">
        <f>ROUNDUP(K204/VLOOKUP(L204,Camion!A:D, 3, FALSE),0)</f>
        <v>1</v>
      </c>
      <c r="N204" s="63">
        <f>INT(K204/VLOOKUP(L204,Camion!A:D, 3, FALSE))</f>
        <v>0</v>
      </c>
      <c r="O204" s="64">
        <f>ROUND(K204/VLOOKUP(L204,Camion!A:D, 3, FALSE) - N204,2)</f>
        <v>0.22</v>
      </c>
      <c r="P204" s="63" t="s">
        <v>129</v>
      </c>
    </row>
    <row r="205" spans="1:16" x14ac:dyDescent="0.25">
      <c r="A205" s="7">
        <v>7</v>
      </c>
      <c r="B205" s="62" t="s">
        <v>185</v>
      </c>
      <c r="C205" s="63" t="s">
        <v>1</v>
      </c>
      <c r="D205" s="63" t="s">
        <v>128</v>
      </c>
      <c r="E205" s="63" t="s">
        <v>76</v>
      </c>
      <c r="F205" s="63" t="s">
        <v>127</v>
      </c>
      <c r="G205" s="63">
        <v>37</v>
      </c>
      <c r="H205" s="63" t="s">
        <v>131</v>
      </c>
      <c r="I205" s="63">
        <f>INDEX(Matériel!A:Z, MATCH(E205, Matériel!A:A, 0), MATCH(H205, INDEX(Matériel!A:Z, MATCH(E205, Matériel!A:A, 0), 0), 0) + 1)</f>
        <v>100</v>
      </c>
      <c r="J205" s="63">
        <f t="shared" si="19"/>
        <v>1</v>
      </c>
      <c r="K205" s="63">
        <f>VLOOKUP(H205,Manutention!A:E, 3, FALSE) * J205</f>
        <v>1</v>
      </c>
      <c r="L205" s="63" t="s">
        <v>164</v>
      </c>
      <c r="M205" s="63">
        <f>ROUNDUP(K205/VLOOKUP(L205,Camion!A:D, 3, FALSE),0)</f>
        <v>1</v>
      </c>
      <c r="N205" s="63">
        <f>INT(K205/VLOOKUP(L205,Camion!A:D, 3, FALSE))</f>
        <v>0</v>
      </c>
      <c r="O205" s="64">
        <f>ROUND(K205/VLOOKUP(L205,Camion!A:D, 3, FALSE) - N205,2)</f>
        <v>0.11</v>
      </c>
      <c r="P205" s="63" t="s">
        <v>129</v>
      </c>
    </row>
    <row r="206" spans="1:16" x14ac:dyDescent="0.25">
      <c r="A206" s="7">
        <v>7</v>
      </c>
      <c r="B206" s="62" t="s">
        <v>185</v>
      </c>
      <c r="C206" s="63" t="s">
        <v>1</v>
      </c>
      <c r="D206" s="63" t="s">
        <v>135</v>
      </c>
      <c r="E206" s="63" t="s">
        <v>77</v>
      </c>
      <c r="F206" s="63" t="s">
        <v>127</v>
      </c>
      <c r="G206" s="63">
        <v>309</v>
      </c>
      <c r="H206" s="63" t="s">
        <v>131</v>
      </c>
      <c r="I206" s="63">
        <f>INDEX(Matériel!A:Z, MATCH(E206, Matériel!A:A, 0), MATCH(H206, INDEX(Matériel!A:Z, MATCH(E206, Matériel!A:A, 0), 0), 0) + 1)</f>
        <v>20</v>
      </c>
      <c r="J206" s="63">
        <f t="shared" si="19"/>
        <v>16</v>
      </c>
      <c r="K206" s="63">
        <f>VLOOKUP(H206,Manutention!A:E, 3, FALSE) * J206</f>
        <v>16</v>
      </c>
      <c r="L206" s="63" t="s">
        <v>166</v>
      </c>
      <c r="M206" s="63">
        <f>ROUNDUP(K206/VLOOKUP(L206,Camion!A:D, 3, FALSE),0)</f>
        <v>1</v>
      </c>
      <c r="N206" s="63">
        <f>INT(K206/VLOOKUP(L206,Camion!A:D, 3, FALSE))</f>
        <v>0</v>
      </c>
      <c r="O206" s="64">
        <f>ROUND(K206/VLOOKUP(L206,Camion!A:D, 3, FALSE) - N206,2)</f>
        <v>0.94</v>
      </c>
      <c r="P206" s="63" t="s">
        <v>129</v>
      </c>
    </row>
    <row r="207" spans="1:16" x14ac:dyDescent="0.25">
      <c r="A207" s="7">
        <v>7</v>
      </c>
      <c r="B207" s="62" t="s">
        <v>185</v>
      </c>
      <c r="C207" s="63" t="s">
        <v>1</v>
      </c>
      <c r="D207" s="63" t="s">
        <v>135</v>
      </c>
      <c r="E207" s="63" t="s">
        <v>78</v>
      </c>
      <c r="F207" s="63" t="s">
        <v>127</v>
      </c>
      <c r="G207" s="63">
        <v>6</v>
      </c>
      <c r="H207" s="63" t="s">
        <v>133</v>
      </c>
      <c r="I207" s="63">
        <f>INDEX(Matériel!A:Z, MATCH(E207, Matériel!A:A, 0), MATCH(H207, INDEX(Matériel!A:Z, MATCH(E207, Matériel!A:A, 0), 0), 0) + 1)</f>
        <v>1</v>
      </c>
      <c r="J207" s="63">
        <f t="shared" si="19"/>
        <v>6</v>
      </c>
      <c r="K207" s="63">
        <f>VLOOKUP(H207,Manutention!A:E, 3, FALSE) * J207</f>
        <v>12</v>
      </c>
      <c r="L207" s="63" t="s">
        <v>165</v>
      </c>
      <c r="M207" s="63">
        <f>ROUNDUP(K207/VLOOKUP(L207,Camion!A:D, 3, FALSE),0)</f>
        <v>1</v>
      </c>
      <c r="N207" s="63">
        <f>INT(K207/VLOOKUP(L207,Camion!A:D, 3, FALSE))</f>
        <v>1</v>
      </c>
      <c r="O207" s="64">
        <f>ROUND(K207/VLOOKUP(L207,Camion!A:D, 3, FALSE) - N207,2)</f>
        <v>0</v>
      </c>
      <c r="P207" s="63" t="s">
        <v>129</v>
      </c>
    </row>
    <row r="208" spans="1:16" x14ac:dyDescent="0.25">
      <c r="A208" s="7">
        <v>7</v>
      </c>
      <c r="B208" s="62" t="s">
        <v>185</v>
      </c>
      <c r="C208" s="63" t="s">
        <v>1</v>
      </c>
      <c r="D208" s="63" t="s">
        <v>135</v>
      </c>
      <c r="E208" s="63" t="s">
        <v>79</v>
      </c>
      <c r="F208" s="63" t="s">
        <v>127</v>
      </c>
      <c r="G208" s="63">
        <v>4</v>
      </c>
      <c r="H208" s="63" t="s">
        <v>133</v>
      </c>
      <c r="I208" s="63">
        <f>INDEX(Matériel!A:Z, MATCH(E208, Matériel!A:A, 0), MATCH(H208, INDEX(Matériel!A:Z, MATCH(E208, Matériel!A:A, 0), 0), 0) + 1)</f>
        <v>1</v>
      </c>
      <c r="J208" s="63">
        <f t="shared" si="19"/>
        <v>4</v>
      </c>
      <c r="K208" s="63">
        <f>VLOOKUP(H208,Manutention!A:E, 3, FALSE) * J208</f>
        <v>8</v>
      </c>
      <c r="L208" s="63" t="s">
        <v>164</v>
      </c>
      <c r="M208" s="63">
        <f>ROUNDUP(K208/VLOOKUP(L208,Camion!A:D, 3, FALSE),0)</f>
        <v>1</v>
      </c>
      <c r="N208" s="63">
        <f>INT(K208/VLOOKUP(L208,Camion!A:D, 3, FALSE))</f>
        <v>0</v>
      </c>
      <c r="O208" s="64">
        <f>ROUND(K208/VLOOKUP(L208,Camion!A:D, 3, FALSE) - N208,2)</f>
        <v>0.89</v>
      </c>
      <c r="P208" s="63" t="s">
        <v>129</v>
      </c>
    </row>
    <row r="209" spans="1:16" x14ac:dyDescent="0.25">
      <c r="A209" s="7">
        <v>7</v>
      </c>
      <c r="B209" s="62" t="s">
        <v>185</v>
      </c>
      <c r="C209" s="63" t="s">
        <v>1</v>
      </c>
      <c r="D209" s="63" t="s">
        <v>128</v>
      </c>
      <c r="E209" s="63" t="s">
        <v>81</v>
      </c>
      <c r="F209" s="63" t="s">
        <v>127</v>
      </c>
      <c r="G209" s="63">
        <v>14</v>
      </c>
      <c r="H209" s="63" t="s">
        <v>131</v>
      </c>
      <c r="I209" s="63">
        <f>INDEX(Matériel!A:Z, MATCH(E209, Matériel!A:A, 0), MATCH(H209, INDEX(Matériel!A:Z, MATCH(E209, Matériel!A:A, 0), 0), 0) + 1)</f>
        <v>100</v>
      </c>
      <c r="J209" s="63">
        <f t="shared" si="19"/>
        <v>1</v>
      </c>
      <c r="K209" s="63">
        <f>VLOOKUP(H209,Manutention!A:E, 3, FALSE) * J209</f>
        <v>1</v>
      </c>
      <c r="L209" s="63" t="s">
        <v>164</v>
      </c>
      <c r="M209" s="63">
        <f>ROUNDUP(K209/VLOOKUP(L209,Camion!A:D, 3, FALSE),0)</f>
        <v>1</v>
      </c>
      <c r="N209" s="63">
        <f>INT(K209/VLOOKUP(L209,Camion!A:D, 3, FALSE))</f>
        <v>0</v>
      </c>
      <c r="O209" s="64">
        <f>ROUND(K209/VLOOKUP(L209,Camion!A:D, 3, FALSE) - N209,2)</f>
        <v>0.11</v>
      </c>
      <c r="P209" s="63" t="s">
        <v>130</v>
      </c>
    </row>
    <row r="210" spans="1:16" x14ac:dyDescent="0.25">
      <c r="A210" s="7">
        <v>7</v>
      </c>
      <c r="B210" s="5" t="s">
        <v>185</v>
      </c>
      <c r="C210" s="65"/>
      <c r="D210" s="65"/>
      <c r="E210" s="65" t="s">
        <v>187</v>
      </c>
      <c r="F210" s="65"/>
      <c r="G210" s="65"/>
      <c r="H210" s="65" t="s">
        <v>131</v>
      </c>
      <c r="I210" s="65"/>
      <c r="J210" s="65"/>
      <c r="K210" s="65">
        <f>SUMIFS(K:K, A:A, 7, B:B, "Z3 Z4", P:P, "Oui", D:D, "Production")</f>
        <v>1</v>
      </c>
      <c r="L210" s="65" t="s">
        <v>164</v>
      </c>
      <c r="M210" s="65">
        <f>ROUNDUP(K210/VLOOKUP(L210,Camion!A:D, 3, FALSE),0)</f>
        <v>1</v>
      </c>
      <c r="N210" s="65">
        <f>INT(K210/VLOOKUP(L210,Camion!A:D, 3, FALSE))</f>
        <v>0</v>
      </c>
      <c r="O210" s="66">
        <f>ROUND(K210/VLOOKUP(L210,Camion!A:D, 3, FALSE) - N210,2)</f>
        <v>0.11</v>
      </c>
      <c r="P210" s="65"/>
    </row>
    <row r="211" spans="1:16" x14ac:dyDescent="0.25">
      <c r="A211" s="7">
        <v>7</v>
      </c>
      <c r="B211" s="5" t="s">
        <v>185</v>
      </c>
      <c r="C211" s="65"/>
      <c r="D211" s="65"/>
      <c r="E211" s="65" t="s">
        <v>188</v>
      </c>
      <c r="F211" s="65"/>
      <c r="G211" s="65"/>
      <c r="H211" s="65" t="s">
        <v>131</v>
      </c>
      <c r="I211" s="65"/>
      <c r="J211" s="65"/>
      <c r="K211" s="65">
        <f>SUMIFS(K:K, A:A, 7, B:B, "Z3 Z4", P:P, "Oui", D:D, "Terminaux")</f>
        <v>38</v>
      </c>
      <c r="L211" s="65" t="s">
        <v>167</v>
      </c>
      <c r="M211" s="65">
        <f>ROUNDUP(K211/VLOOKUP(L211,Camion!A:D, 3, FALSE),0)</f>
        <v>2</v>
      </c>
      <c r="N211" s="65">
        <f>INT(K211/VLOOKUP(L211,Camion!A:D, 3, FALSE))</f>
        <v>1</v>
      </c>
      <c r="O211" s="66">
        <f>ROUND(K211/VLOOKUP(L211,Camion!A:D, 3, FALSE) - N211,2)</f>
        <v>0.9</v>
      </c>
      <c r="P211" s="65"/>
    </row>
    <row r="212" spans="1:16" x14ac:dyDescent="0.25">
      <c r="A212" s="7">
        <v>8</v>
      </c>
      <c r="B212" s="62" t="s">
        <v>184</v>
      </c>
      <c r="C212" s="63" t="s">
        <v>1</v>
      </c>
      <c r="D212" s="63" t="s">
        <v>128</v>
      </c>
      <c r="E212" s="63" t="s">
        <v>71</v>
      </c>
      <c r="F212" s="63" t="s">
        <v>138</v>
      </c>
      <c r="G212" s="63">
        <v>465</v>
      </c>
      <c r="H212" s="63" t="s">
        <v>139</v>
      </c>
      <c r="I212" s="63">
        <f>INDEX(Matériel!A:Z, MATCH(E212, Matériel!A:A, 0), MATCH(H212, INDEX(Matériel!A:Z, MATCH(E212, Matériel!A:A, 0), 0), 0) + 1)</f>
        <v>150</v>
      </c>
      <c r="J212" s="63">
        <f t="shared" ref="J212:J219" si="20">ROUNDUP(G212 / I212, 0)</f>
        <v>4</v>
      </c>
      <c r="K212" s="63">
        <f>VLOOKUP(H212,Manutention!A:E, 3, FALSE) * J212</f>
        <v>12</v>
      </c>
      <c r="L212" s="63" t="s">
        <v>165</v>
      </c>
      <c r="M212" s="63">
        <f>ROUNDUP(K212/VLOOKUP(L212,Camion!A:D, 3, FALSE),0)</f>
        <v>1</v>
      </c>
      <c r="N212" s="63">
        <f>INT(K212/VLOOKUP(L212,Camion!A:D, 3, FALSE))</f>
        <v>1</v>
      </c>
      <c r="O212" s="64">
        <f>ROUND(K212/VLOOKUP(L212,Camion!A:D, 3, FALSE) - N212,2)</f>
        <v>0</v>
      </c>
      <c r="P212" s="63" t="s">
        <v>130</v>
      </c>
    </row>
    <row r="213" spans="1:16" x14ac:dyDescent="0.25">
      <c r="A213" s="7">
        <v>8</v>
      </c>
      <c r="B213" s="62" t="s">
        <v>184</v>
      </c>
      <c r="C213" s="63" t="s">
        <v>1</v>
      </c>
      <c r="D213" s="63" t="s">
        <v>135</v>
      </c>
      <c r="E213" s="63" t="s">
        <v>72</v>
      </c>
      <c r="F213" s="63" t="s">
        <v>138</v>
      </c>
      <c r="G213" s="63">
        <v>1424</v>
      </c>
      <c r="H213" s="63" t="s">
        <v>143</v>
      </c>
      <c r="I213" s="63">
        <f>INDEX(Matériel!A:Z, MATCH(E213, Matériel!A:A, 0), MATCH(H213, INDEX(Matériel!A:Z, MATCH(E213, Matériel!A:A, 0), 0), 0) + 1)</f>
        <v>1000</v>
      </c>
      <c r="J213" s="63">
        <f t="shared" si="20"/>
        <v>2</v>
      </c>
      <c r="K213" s="63">
        <f>VLOOKUP(H213,Manutention!A:E, 3, FALSE) * J213</f>
        <v>2</v>
      </c>
      <c r="L213" s="63" t="s">
        <v>164</v>
      </c>
      <c r="M213" s="63">
        <f>ROUNDUP(K213/VLOOKUP(L213,Camion!A:D, 3, FALSE),0)</f>
        <v>1</v>
      </c>
      <c r="N213" s="63">
        <f>INT(K213/VLOOKUP(L213,Camion!A:D, 3, FALSE))</f>
        <v>0</v>
      </c>
      <c r="O213" s="64">
        <f>ROUND(K213/VLOOKUP(L213,Camion!A:D, 3, FALSE) - N213,2)</f>
        <v>0.22</v>
      </c>
      <c r="P213" s="63" t="s">
        <v>130</v>
      </c>
    </row>
    <row r="214" spans="1:16" x14ac:dyDescent="0.25">
      <c r="A214" s="7">
        <v>8</v>
      </c>
      <c r="B214" s="62" t="s">
        <v>184</v>
      </c>
      <c r="C214" s="63" t="s">
        <v>1</v>
      </c>
      <c r="D214" s="63" t="s">
        <v>135</v>
      </c>
      <c r="E214" s="63" t="s">
        <v>75</v>
      </c>
      <c r="F214" s="63" t="s">
        <v>127</v>
      </c>
      <c r="G214" s="63">
        <v>73</v>
      </c>
      <c r="H214" s="63" t="s">
        <v>136</v>
      </c>
      <c r="I214" s="63">
        <f>INDEX(Matériel!A:Z, MATCH(E214, Matériel!A:A, 0), MATCH(H214, INDEX(Matériel!A:Z, MATCH(E214, Matériel!A:A, 0), 0), 0) + 1)</f>
        <v>60</v>
      </c>
      <c r="J214" s="63">
        <f t="shared" si="20"/>
        <v>2</v>
      </c>
      <c r="K214" s="63">
        <f>VLOOKUP(H214,Manutention!A:E, 3, FALSE) * J214</f>
        <v>2</v>
      </c>
      <c r="L214" s="63" t="s">
        <v>164</v>
      </c>
      <c r="M214" s="63">
        <f>ROUNDUP(K214/VLOOKUP(L214,Camion!A:D, 3, FALSE),0)</f>
        <v>1</v>
      </c>
      <c r="N214" s="63">
        <f>INT(K214/VLOOKUP(L214,Camion!A:D, 3, FALSE))</f>
        <v>0</v>
      </c>
      <c r="O214" s="64">
        <f>ROUND(K214/VLOOKUP(L214,Camion!A:D, 3, FALSE) - N214,2)</f>
        <v>0.22</v>
      </c>
      <c r="P214" s="63" t="s">
        <v>129</v>
      </c>
    </row>
    <row r="215" spans="1:16" x14ac:dyDescent="0.25">
      <c r="A215" s="7">
        <v>8</v>
      </c>
      <c r="B215" s="62" t="s">
        <v>184</v>
      </c>
      <c r="C215" s="63" t="s">
        <v>1</v>
      </c>
      <c r="D215" s="63" t="s">
        <v>128</v>
      </c>
      <c r="E215" s="63" t="s">
        <v>76</v>
      </c>
      <c r="F215" s="63" t="s">
        <v>127</v>
      </c>
      <c r="G215" s="63">
        <v>36</v>
      </c>
      <c r="H215" s="63" t="s">
        <v>131</v>
      </c>
      <c r="I215" s="63">
        <f>INDEX(Matériel!A:Z, MATCH(E215, Matériel!A:A, 0), MATCH(H215, INDEX(Matériel!A:Z, MATCH(E215, Matériel!A:A, 0), 0), 0) + 1)</f>
        <v>100</v>
      </c>
      <c r="J215" s="63">
        <f t="shared" si="20"/>
        <v>1</v>
      </c>
      <c r="K215" s="63">
        <f>VLOOKUP(H215,Manutention!A:E, 3, FALSE) * J215</f>
        <v>1</v>
      </c>
      <c r="L215" s="63" t="s">
        <v>164</v>
      </c>
      <c r="M215" s="63">
        <f>ROUNDUP(K215/VLOOKUP(L215,Camion!A:D, 3, FALSE),0)</f>
        <v>1</v>
      </c>
      <c r="N215" s="63">
        <f>INT(K215/VLOOKUP(L215,Camion!A:D, 3, FALSE))</f>
        <v>0</v>
      </c>
      <c r="O215" s="64">
        <f>ROUND(K215/VLOOKUP(L215,Camion!A:D, 3, FALSE) - N215,2)</f>
        <v>0.11</v>
      </c>
      <c r="P215" s="63" t="s">
        <v>129</v>
      </c>
    </row>
    <row r="216" spans="1:16" x14ac:dyDescent="0.25">
      <c r="A216" s="7">
        <v>8</v>
      </c>
      <c r="B216" s="62" t="s">
        <v>184</v>
      </c>
      <c r="C216" s="63" t="s">
        <v>1</v>
      </c>
      <c r="D216" s="63" t="s">
        <v>135</v>
      </c>
      <c r="E216" s="63" t="s">
        <v>77</v>
      </c>
      <c r="F216" s="63" t="s">
        <v>127</v>
      </c>
      <c r="G216" s="63">
        <v>305</v>
      </c>
      <c r="H216" s="63" t="s">
        <v>131</v>
      </c>
      <c r="I216" s="63">
        <f>INDEX(Matériel!A:Z, MATCH(E216, Matériel!A:A, 0), MATCH(H216, INDEX(Matériel!A:Z, MATCH(E216, Matériel!A:A, 0), 0), 0) + 1)</f>
        <v>20</v>
      </c>
      <c r="J216" s="63">
        <f t="shared" si="20"/>
        <v>16</v>
      </c>
      <c r="K216" s="63">
        <f>VLOOKUP(H216,Manutention!A:E, 3, FALSE) * J216</f>
        <v>16</v>
      </c>
      <c r="L216" s="63" t="s">
        <v>166</v>
      </c>
      <c r="M216" s="63">
        <f>ROUNDUP(K216/VLOOKUP(L216,Camion!A:D, 3, FALSE),0)</f>
        <v>1</v>
      </c>
      <c r="N216" s="63">
        <f>INT(K216/VLOOKUP(L216,Camion!A:D, 3, FALSE))</f>
        <v>0</v>
      </c>
      <c r="O216" s="64">
        <f>ROUND(K216/VLOOKUP(L216,Camion!A:D, 3, FALSE) - N216,2)</f>
        <v>0.94</v>
      </c>
      <c r="P216" s="63" t="s">
        <v>129</v>
      </c>
    </row>
    <row r="217" spans="1:16" x14ac:dyDescent="0.25">
      <c r="A217" s="7">
        <v>8</v>
      </c>
      <c r="B217" s="62" t="s">
        <v>184</v>
      </c>
      <c r="C217" s="63" t="s">
        <v>1</v>
      </c>
      <c r="D217" s="63" t="s">
        <v>135</v>
      </c>
      <c r="E217" s="63" t="s">
        <v>78</v>
      </c>
      <c r="F217" s="63" t="s">
        <v>127</v>
      </c>
      <c r="G217" s="63">
        <v>6</v>
      </c>
      <c r="H217" s="63" t="s">
        <v>133</v>
      </c>
      <c r="I217" s="63">
        <f>INDEX(Matériel!A:Z, MATCH(E217, Matériel!A:A, 0), MATCH(H217, INDEX(Matériel!A:Z, MATCH(E217, Matériel!A:A, 0), 0), 0) + 1)</f>
        <v>1</v>
      </c>
      <c r="J217" s="63">
        <f t="shared" si="20"/>
        <v>6</v>
      </c>
      <c r="K217" s="63">
        <f>VLOOKUP(H217,Manutention!A:E, 3, FALSE) * J217</f>
        <v>12</v>
      </c>
      <c r="L217" s="63" t="s">
        <v>165</v>
      </c>
      <c r="M217" s="63">
        <f>ROUNDUP(K217/VLOOKUP(L217,Camion!A:D, 3, FALSE),0)</f>
        <v>1</v>
      </c>
      <c r="N217" s="63">
        <f>INT(K217/VLOOKUP(L217,Camion!A:D, 3, FALSE))</f>
        <v>1</v>
      </c>
      <c r="O217" s="64">
        <f>ROUND(K217/VLOOKUP(L217,Camion!A:D, 3, FALSE) - N217,2)</f>
        <v>0</v>
      </c>
      <c r="P217" s="63" t="s">
        <v>129</v>
      </c>
    </row>
    <row r="218" spans="1:16" x14ac:dyDescent="0.25">
      <c r="A218" s="7">
        <v>8</v>
      </c>
      <c r="B218" s="62" t="s">
        <v>184</v>
      </c>
      <c r="C218" s="63" t="s">
        <v>1</v>
      </c>
      <c r="D218" s="63" t="s">
        <v>135</v>
      </c>
      <c r="E218" s="63" t="s">
        <v>79</v>
      </c>
      <c r="F218" s="63" t="s">
        <v>127</v>
      </c>
      <c r="G218" s="63">
        <v>4</v>
      </c>
      <c r="H218" s="63" t="s">
        <v>133</v>
      </c>
      <c r="I218" s="63">
        <f>INDEX(Matériel!A:Z, MATCH(E218, Matériel!A:A, 0), MATCH(H218, INDEX(Matériel!A:Z, MATCH(E218, Matériel!A:A, 0), 0), 0) + 1)</f>
        <v>1</v>
      </c>
      <c r="J218" s="63">
        <f t="shared" si="20"/>
        <v>4</v>
      </c>
      <c r="K218" s="63">
        <f>VLOOKUP(H218,Manutention!A:E, 3, FALSE) * J218</f>
        <v>8</v>
      </c>
      <c r="L218" s="63" t="s">
        <v>164</v>
      </c>
      <c r="M218" s="63">
        <f>ROUNDUP(K218/VLOOKUP(L218,Camion!A:D, 3, FALSE),0)</f>
        <v>1</v>
      </c>
      <c r="N218" s="63">
        <f>INT(K218/VLOOKUP(L218,Camion!A:D, 3, FALSE))</f>
        <v>0</v>
      </c>
      <c r="O218" s="64">
        <f>ROUND(K218/VLOOKUP(L218,Camion!A:D, 3, FALSE) - N218,2)</f>
        <v>0.89</v>
      </c>
      <c r="P218" s="63" t="s">
        <v>129</v>
      </c>
    </row>
    <row r="219" spans="1:16" x14ac:dyDescent="0.25">
      <c r="A219" s="7">
        <v>8</v>
      </c>
      <c r="B219" s="62" t="s">
        <v>184</v>
      </c>
      <c r="C219" s="63" t="s">
        <v>1</v>
      </c>
      <c r="D219" s="63" t="s">
        <v>128</v>
      </c>
      <c r="E219" s="63" t="s">
        <v>81</v>
      </c>
      <c r="F219" s="63" t="s">
        <v>127</v>
      </c>
      <c r="G219" s="63">
        <v>13</v>
      </c>
      <c r="H219" s="63" t="s">
        <v>131</v>
      </c>
      <c r="I219" s="63">
        <f>INDEX(Matériel!A:Z, MATCH(E219, Matériel!A:A, 0), MATCH(H219, INDEX(Matériel!A:Z, MATCH(E219, Matériel!A:A, 0), 0), 0) + 1)</f>
        <v>100</v>
      </c>
      <c r="J219" s="63">
        <f t="shared" si="20"/>
        <v>1</v>
      </c>
      <c r="K219" s="63">
        <f>VLOOKUP(H219,Manutention!A:E, 3, FALSE) * J219</f>
        <v>1</v>
      </c>
      <c r="L219" s="63" t="s">
        <v>164</v>
      </c>
      <c r="M219" s="63">
        <f>ROUNDUP(K219/VLOOKUP(L219,Camion!A:D, 3, FALSE),0)</f>
        <v>1</v>
      </c>
      <c r="N219" s="63">
        <f>INT(K219/VLOOKUP(L219,Camion!A:D, 3, FALSE))</f>
        <v>0</v>
      </c>
      <c r="O219" s="64">
        <f>ROUND(K219/VLOOKUP(L219,Camion!A:D, 3, FALSE) - N219,2)</f>
        <v>0.11</v>
      </c>
      <c r="P219" s="63" t="s">
        <v>130</v>
      </c>
    </row>
    <row r="220" spans="1:16" x14ac:dyDescent="0.25">
      <c r="A220" s="7">
        <v>8</v>
      </c>
      <c r="B220" s="5" t="s">
        <v>184</v>
      </c>
      <c r="C220" s="65"/>
      <c r="D220" s="65"/>
      <c r="E220" s="65" t="s">
        <v>187</v>
      </c>
      <c r="F220" s="65"/>
      <c r="G220" s="65"/>
      <c r="H220" s="65" t="s">
        <v>131</v>
      </c>
      <c r="I220" s="65"/>
      <c r="J220" s="65"/>
      <c r="K220" s="65">
        <f>SUMIFS(K:K, A:A, 8, B:B, "Z1 Z2", P:P, "Oui", D:D, "Production")</f>
        <v>1</v>
      </c>
      <c r="L220" s="65" t="s">
        <v>164</v>
      </c>
      <c r="M220" s="65">
        <f>ROUNDUP(K220/VLOOKUP(L220,Camion!A:D, 3, FALSE),0)</f>
        <v>1</v>
      </c>
      <c r="N220" s="65">
        <f>INT(K220/VLOOKUP(L220,Camion!A:D, 3, FALSE))</f>
        <v>0</v>
      </c>
      <c r="O220" s="66">
        <f>ROUND(K220/VLOOKUP(L220,Camion!A:D, 3, FALSE) - N220,2)</f>
        <v>0.11</v>
      </c>
      <c r="P220" s="65"/>
    </row>
    <row r="221" spans="1:16" x14ac:dyDescent="0.25">
      <c r="A221" s="7">
        <v>8</v>
      </c>
      <c r="B221" s="5" t="s">
        <v>184</v>
      </c>
      <c r="C221" s="65"/>
      <c r="D221" s="65"/>
      <c r="E221" s="65" t="s">
        <v>188</v>
      </c>
      <c r="F221" s="65"/>
      <c r="G221" s="65"/>
      <c r="H221" s="65" t="s">
        <v>131</v>
      </c>
      <c r="I221" s="65"/>
      <c r="J221" s="65"/>
      <c r="K221" s="65">
        <f>SUMIFS(K:K, A:A, 8, B:B, "Z1 Z2", P:P, "Oui", D:D, "Terminaux")</f>
        <v>38</v>
      </c>
      <c r="L221" s="65" t="s">
        <v>167</v>
      </c>
      <c r="M221" s="65">
        <f>ROUNDUP(K221/VLOOKUP(L221,Camion!A:D, 3, FALSE),0)</f>
        <v>2</v>
      </c>
      <c r="N221" s="65">
        <f>INT(K221/VLOOKUP(L221,Camion!A:D, 3, FALSE))</f>
        <v>1</v>
      </c>
      <c r="O221" s="66">
        <f>ROUND(K221/VLOOKUP(L221,Camion!A:D, 3, FALSE) - N221,2)</f>
        <v>0.9</v>
      </c>
      <c r="P221" s="65"/>
    </row>
    <row r="222" spans="1:16" x14ac:dyDescent="0.25">
      <c r="A222" s="7">
        <v>8</v>
      </c>
      <c r="B222" s="62" t="s">
        <v>185</v>
      </c>
      <c r="C222" s="63" t="s">
        <v>1</v>
      </c>
      <c r="D222" s="63" t="s">
        <v>128</v>
      </c>
      <c r="E222" s="63" t="s">
        <v>71</v>
      </c>
      <c r="F222" s="63" t="s">
        <v>138</v>
      </c>
      <c r="G222" s="63">
        <v>458</v>
      </c>
      <c r="H222" s="63" t="s">
        <v>139</v>
      </c>
      <c r="I222" s="63">
        <f>INDEX(Matériel!A:Z, MATCH(E222, Matériel!A:A, 0), MATCH(H222, INDEX(Matériel!A:Z, MATCH(E222, Matériel!A:A, 0), 0), 0) + 1)</f>
        <v>150</v>
      </c>
      <c r="J222" s="63">
        <f t="shared" ref="J222:J229" si="21">ROUNDUP(G222 / I222, 0)</f>
        <v>4</v>
      </c>
      <c r="K222" s="63">
        <f>VLOOKUP(H222,Manutention!A:E, 3, FALSE) * J222</f>
        <v>12</v>
      </c>
      <c r="L222" s="63" t="s">
        <v>165</v>
      </c>
      <c r="M222" s="63">
        <f>ROUNDUP(K222/VLOOKUP(L222,Camion!A:D, 3, FALSE),0)</f>
        <v>1</v>
      </c>
      <c r="N222" s="63">
        <f>INT(K222/VLOOKUP(L222,Camion!A:D, 3, FALSE))</f>
        <v>1</v>
      </c>
      <c r="O222" s="64">
        <f>ROUND(K222/VLOOKUP(L222,Camion!A:D, 3, FALSE) - N222,2)</f>
        <v>0</v>
      </c>
      <c r="P222" s="63" t="s">
        <v>130</v>
      </c>
    </row>
    <row r="223" spans="1:16" x14ac:dyDescent="0.25">
      <c r="A223" s="7">
        <v>8</v>
      </c>
      <c r="B223" s="62" t="s">
        <v>185</v>
      </c>
      <c r="C223" s="63" t="s">
        <v>1</v>
      </c>
      <c r="D223" s="63" t="s">
        <v>135</v>
      </c>
      <c r="E223" s="63" t="s">
        <v>72</v>
      </c>
      <c r="F223" s="63" t="s">
        <v>138</v>
      </c>
      <c r="G223" s="63">
        <v>1403</v>
      </c>
      <c r="H223" s="63" t="s">
        <v>143</v>
      </c>
      <c r="I223" s="63">
        <f>INDEX(Matériel!A:Z, MATCH(E223, Matériel!A:A, 0), MATCH(H223, INDEX(Matériel!A:Z, MATCH(E223, Matériel!A:A, 0), 0), 0) + 1)</f>
        <v>1000</v>
      </c>
      <c r="J223" s="63">
        <f t="shared" si="21"/>
        <v>2</v>
      </c>
      <c r="K223" s="63">
        <f>VLOOKUP(H223,Manutention!A:E, 3, FALSE) * J223</f>
        <v>2</v>
      </c>
      <c r="L223" s="63" t="s">
        <v>164</v>
      </c>
      <c r="M223" s="63">
        <f>ROUNDUP(K223/VLOOKUP(L223,Camion!A:D, 3, FALSE),0)</f>
        <v>1</v>
      </c>
      <c r="N223" s="63">
        <f>INT(K223/VLOOKUP(L223,Camion!A:D, 3, FALSE))</f>
        <v>0</v>
      </c>
      <c r="O223" s="64">
        <f>ROUND(K223/VLOOKUP(L223,Camion!A:D, 3, FALSE) - N223,2)</f>
        <v>0.22</v>
      </c>
      <c r="P223" s="63" t="s">
        <v>130</v>
      </c>
    </row>
    <row r="224" spans="1:16" x14ac:dyDescent="0.25">
      <c r="A224" s="7">
        <v>8</v>
      </c>
      <c r="B224" s="62" t="s">
        <v>185</v>
      </c>
      <c r="C224" s="63" t="s">
        <v>1</v>
      </c>
      <c r="D224" s="63" t="s">
        <v>135</v>
      </c>
      <c r="E224" s="63" t="s">
        <v>75</v>
      </c>
      <c r="F224" s="63" t="s">
        <v>127</v>
      </c>
      <c r="G224" s="63">
        <v>72</v>
      </c>
      <c r="H224" s="63" t="s">
        <v>136</v>
      </c>
      <c r="I224" s="63">
        <f>INDEX(Matériel!A:Z, MATCH(E224, Matériel!A:A, 0), MATCH(H224, INDEX(Matériel!A:Z, MATCH(E224, Matériel!A:A, 0), 0), 0) + 1)</f>
        <v>60</v>
      </c>
      <c r="J224" s="63">
        <f t="shared" si="21"/>
        <v>2</v>
      </c>
      <c r="K224" s="63">
        <f>VLOOKUP(H224,Manutention!A:E, 3, FALSE) * J224</f>
        <v>2</v>
      </c>
      <c r="L224" s="63" t="s">
        <v>164</v>
      </c>
      <c r="M224" s="63">
        <f>ROUNDUP(K224/VLOOKUP(L224,Camion!A:D, 3, FALSE),0)</f>
        <v>1</v>
      </c>
      <c r="N224" s="63">
        <f>INT(K224/VLOOKUP(L224,Camion!A:D, 3, FALSE))</f>
        <v>0</v>
      </c>
      <c r="O224" s="64">
        <f>ROUND(K224/VLOOKUP(L224,Camion!A:D, 3, FALSE) - N224,2)</f>
        <v>0.22</v>
      </c>
      <c r="P224" s="63" t="s">
        <v>129</v>
      </c>
    </row>
    <row r="225" spans="1:16" x14ac:dyDescent="0.25">
      <c r="A225" s="7">
        <v>8</v>
      </c>
      <c r="B225" s="62" t="s">
        <v>185</v>
      </c>
      <c r="C225" s="63" t="s">
        <v>1</v>
      </c>
      <c r="D225" s="63" t="s">
        <v>128</v>
      </c>
      <c r="E225" s="63" t="s">
        <v>76</v>
      </c>
      <c r="F225" s="63" t="s">
        <v>127</v>
      </c>
      <c r="G225" s="63">
        <v>36</v>
      </c>
      <c r="H225" s="63" t="s">
        <v>131</v>
      </c>
      <c r="I225" s="63">
        <f>INDEX(Matériel!A:Z, MATCH(E225, Matériel!A:A, 0), MATCH(H225, INDEX(Matériel!A:Z, MATCH(E225, Matériel!A:A, 0), 0), 0) + 1)</f>
        <v>100</v>
      </c>
      <c r="J225" s="63">
        <f t="shared" si="21"/>
        <v>1</v>
      </c>
      <c r="K225" s="63">
        <f>VLOOKUP(H225,Manutention!A:E, 3, FALSE) * J225</f>
        <v>1</v>
      </c>
      <c r="L225" s="63" t="s">
        <v>164</v>
      </c>
      <c r="M225" s="63">
        <f>ROUNDUP(K225/VLOOKUP(L225,Camion!A:D, 3, FALSE),0)</f>
        <v>1</v>
      </c>
      <c r="N225" s="63">
        <f>INT(K225/VLOOKUP(L225,Camion!A:D, 3, FALSE))</f>
        <v>0</v>
      </c>
      <c r="O225" s="64">
        <f>ROUND(K225/VLOOKUP(L225,Camion!A:D, 3, FALSE) - N225,2)</f>
        <v>0.11</v>
      </c>
      <c r="P225" s="63" t="s">
        <v>129</v>
      </c>
    </row>
    <row r="226" spans="1:16" x14ac:dyDescent="0.25">
      <c r="A226" s="7">
        <v>8</v>
      </c>
      <c r="B226" s="62" t="s">
        <v>185</v>
      </c>
      <c r="C226" s="63" t="s">
        <v>1</v>
      </c>
      <c r="D226" s="63" t="s">
        <v>135</v>
      </c>
      <c r="E226" s="63" t="s">
        <v>77</v>
      </c>
      <c r="F226" s="63" t="s">
        <v>127</v>
      </c>
      <c r="G226" s="63">
        <v>300</v>
      </c>
      <c r="H226" s="63" t="s">
        <v>131</v>
      </c>
      <c r="I226" s="63">
        <f>INDEX(Matériel!A:Z, MATCH(E226, Matériel!A:A, 0), MATCH(H226, INDEX(Matériel!A:Z, MATCH(E226, Matériel!A:A, 0), 0), 0) + 1)</f>
        <v>20</v>
      </c>
      <c r="J226" s="63">
        <f t="shared" si="21"/>
        <v>15</v>
      </c>
      <c r="K226" s="63">
        <f>VLOOKUP(H226,Manutention!A:E, 3, FALSE) * J226</f>
        <v>15</v>
      </c>
      <c r="L226" s="63" t="s">
        <v>166</v>
      </c>
      <c r="M226" s="63">
        <f>ROUNDUP(K226/VLOOKUP(L226,Camion!A:D, 3, FALSE),0)</f>
        <v>1</v>
      </c>
      <c r="N226" s="63">
        <f>INT(K226/VLOOKUP(L226,Camion!A:D, 3, FALSE))</f>
        <v>0</v>
      </c>
      <c r="O226" s="64">
        <f>ROUND(K226/VLOOKUP(L226,Camion!A:D, 3, FALSE) - N226,2)</f>
        <v>0.88</v>
      </c>
      <c r="P226" s="63" t="s">
        <v>129</v>
      </c>
    </row>
    <row r="227" spans="1:16" x14ac:dyDescent="0.25">
      <c r="A227" s="7">
        <v>8</v>
      </c>
      <c r="B227" s="62" t="s">
        <v>185</v>
      </c>
      <c r="C227" s="63" t="s">
        <v>1</v>
      </c>
      <c r="D227" s="63" t="s">
        <v>135</v>
      </c>
      <c r="E227" s="63" t="s">
        <v>78</v>
      </c>
      <c r="F227" s="63" t="s">
        <v>127</v>
      </c>
      <c r="G227" s="63">
        <v>6</v>
      </c>
      <c r="H227" s="63" t="s">
        <v>133</v>
      </c>
      <c r="I227" s="63">
        <f>INDEX(Matériel!A:Z, MATCH(E227, Matériel!A:A, 0), MATCH(H227, INDEX(Matériel!A:Z, MATCH(E227, Matériel!A:A, 0), 0), 0) + 1)</f>
        <v>1</v>
      </c>
      <c r="J227" s="63">
        <f t="shared" si="21"/>
        <v>6</v>
      </c>
      <c r="K227" s="63">
        <f>VLOOKUP(H227,Manutention!A:E, 3, FALSE) * J227</f>
        <v>12</v>
      </c>
      <c r="L227" s="63" t="s">
        <v>165</v>
      </c>
      <c r="M227" s="63">
        <f>ROUNDUP(K227/VLOOKUP(L227,Camion!A:D, 3, FALSE),0)</f>
        <v>1</v>
      </c>
      <c r="N227" s="63">
        <f>INT(K227/VLOOKUP(L227,Camion!A:D, 3, FALSE))</f>
        <v>1</v>
      </c>
      <c r="O227" s="64">
        <f>ROUND(K227/VLOOKUP(L227,Camion!A:D, 3, FALSE) - N227,2)</f>
        <v>0</v>
      </c>
      <c r="P227" s="63" t="s">
        <v>129</v>
      </c>
    </row>
    <row r="228" spans="1:16" x14ac:dyDescent="0.25">
      <c r="A228" s="7">
        <v>8</v>
      </c>
      <c r="B228" s="62" t="s">
        <v>185</v>
      </c>
      <c r="C228" s="63" t="s">
        <v>1</v>
      </c>
      <c r="D228" s="63" t="s">
        <v>135</v>
      </c>
      <c r="E228" s="63" t="s">
        <v>79</v>
      </c>
      <c r="F228" s="63" t="s">
        <v>127</v>
      </c>
      <c r="G228" s="63">
        <v>4</v>
      </c>
      <c r="H228" s="63" t="s">
        <v>133</v>
      </c>
      <c r="I228" s="63">
        <f>INDEX(Matériel!A:Z, MATCH(E228, Matériel!A:A, 0), MATCH(H228, INDEX(Matériel!A:Z, MATCH(E228, Matériel!A:A, 0), 0), 0) + 1)</f>
        <v>1</v>
      </c>
      <c r="J228" s="63">
        <f t="shared" si="21"/>
        <v>4</v>
      </c>
      <c r="K228" s="63">
        <f>VLOOKUP(H228,Manutention!A:E, 3, FALSE) * J228</f>
        <v>8</v>
      </c>
      <c r="L228" s="63" t="s">
        <v>164</v>
      </c>
      <c r="M228" s="63">
        <f>ROUNDUP(K228/VLOOKUP(L228,Camion!A:D, 3, FALSE),0)</f>
        <v>1</v>
      </c>
      <c r="N228" s="63">
        <f>INT(K228/VLOOKUP(L228,Camion!A:D, 3, FALSE))</f>
        <v>0</v>
      </c>
      <c r="O228" s="64">
        <f>ROUND(K228/VLOOKUP(L228,Camion!A:D, 3, FALSE) - N228,2)</f>
        <v>0.89</v>
      </c>
      <c r="P228" s="63" t="s">
        <v>129</v>
      </c>
    </row>
    <row r="229" spans="1:16" x14ac:dyDescent="0.25">
      <c r="A229" s="7">
        <v>8</v>
      </c>
      <c r="B229" s="62" t="s">
        <v>185</v>
      </c>
      <c r="C229" s="63" t="s">
        <v>1</v>
      </c>
      <c r="D229" s="63" t="s">
        <v>128</v>
      </c>
      <c r="E229" s="63" t="s">
        <v>81</v>
      </c>
      <c r="F229" s="63" t="s">
        <v>127</v>
      </c>
      <c r="G229" s="63">
        <v>13</v>
      </c>
      <c r="H229" s="63" t="s">
        <v>131</v>
      </c>
      <c r="I229" s="63">
        <f>INDEX(Matériel!A:Z, MATCH(E229, Matériel!A:A, 0), MATCH(H229, INDEX(Matériel!A:Z, MATCH(E229, Matériel!A:A, 0), 0), 0) + 1)</f>
        <v>100</v>
      </c>
      <c r="J229" s="63">
        <f t="shared" si="21"/>
        <v>1</v>
      </c>
      <c r="K229" s="63">
        <f>VLOOKUP(H229,Manutention!A:E, 3, FALSE) * J229</f>
        <v>1</v>
      </c>
      <c r="L229" s="63" t="s">
        <v>164</v>
      </c>
      <c r="M229" s="63">
        <f>ROUNDUP(K229/VLOOKUP(L229,Camion!A:D, 3, FALSE),0)</f>
        <v>1</v>
      </c>
      <c r="N229" s="63">
        <f>INT(K229/VLOOKUP(L229,Camion!A:D, 3, FALSE))</f>
        <v>0</v>
      </c>
      <c r="O229" s="64">
        <f>ROUND(K229/VLOOKUP(L229,Camion!A:D, 3, FALSE) - N229,2)</f>
        <v>0.11</v>
      </c>
      <c r="P229" s="63" t="s">
        <v>130</v>
      </c>
    </row>
    <row r="230" spans="1:16" x14ac:dyDescent="0.25">
      <c r="A230" s="7">
        <v>8</v>
      </c>
      <c r="B230" s="5" t="s">
        <v>185</v>
      </c>
      <c r="C230" s="65"/>
      <c r="D230" s="65"/>
      <c r="E230" s="65" t="s">
        <v>187</v>
      </c>
      <c r="F230" s="65"/>
      <c r="G230" s="65"/>
      <c r="H230" s="65" t="s">
        <v>131</v>
      </c>
      <c r="I230" s="65"/>
      <c r="J230" s="65"/>
      <c r="K230" s="65">
        <f>SUMIFS(K:K, A:A, 8, B:B, "Z3 Z4", P:P, "Oui", D:D, "Production")</f>
        <v>1</v>
      </c>
      <c r="L230" s="65" t="s">
        <v>164</v>
      </c>
      <c r="M230" s="65">
        <f>ROUNDUP(K230/VLOOKUP(L230,Camion!A:D, 3, FALSE),0)</f>
        <v>1</v>
      </c>
      <c r="N230" s="65">
        <f>INT(K230/VLOOKUP(L230,Camion!A:D, 3, FALSE))</f>
        <v>0</v>
      </c>
      <c r="O230" s="66">
        <f>ROUND(K230/VLOOKUP(L230,Camion!A:D, 3, FALSE) - N230,2)</f>
        <v>0.11</v>
      </c>
      <c r="P230" s="65"/>
    </row>
    <row r="231" spans="1:16" x14ac:dyDescent="0.25">
      <c r="A231" s="7">
        <v>8</v>
      </c>
      <c r="B231" s="5" t="s">
        <v>185</v>
      </c>
      <c r="C231" s="65"/>
      <c r="D231" s="65"/>
      <c r="E231" s="65" t="s">
        <v>188</v>
      </c>
      <c r="F231" s="65"/>
      <c r="G231" s="65"/>
      <c r="H231" s="65" t="s">
        <v>131</v>
      </c>
      <c r="I231" s="65"/>
      <c r="J231" s="65"/>
      <c r="K231" s="65">
        <f>SUMIFS(K:K, A:A, 8, B:B, "Z3 Z4", P:P, "Oui", D:D, "Terminaux")</f>
        <v>37</v>
      </c>
      <c r="L231" s="65" t="s">
        <v>167</v>
      </c>
      <c r="M231" s="65">
        <f>ROUNDUP(K231/VLOOKUP(L231,Camion!A:D, 3, FALSE),0)</f>
        <v>2</v>
      </c>
      <c r="N231" s="65">
        <f>INT(K231/VLOOKUP(L231,Camion!A:D, 3, FALSE))</f>
        <v>1</v>
      </c>
      <c r="O231" s="66">
        <f>ROUND(K231/VLOOKUP(L231,Camion!A:D, 3, FALSE) - N231,2)</f>
        <v>0.85</v>
      </c>
      <c r="P231" s="65"/>
    </row>
    <row r="232" spans="1:16" x14ac:dyDescent="0.25">
      <c r="A232" s="7">
        <v>9</v>
      </c>
      <c r="B232" s="62" t="s">
        <v>184</v>
      </c>
      <c r="C232" s="63" t="s">
        <v>1</v>
      </c>
      <c r="D232" s="63" t="s">
        <v>128</v>
      </c>
      <c r="E232" s="63" t="s">
        <v>71</v>
      </c>
      <c r="F232" s="63" t="s">
        <v>138</v>
      </c>
      <c r="G232" s="63">
        <v>451</v>
      </c>
      <c r="H232" s="63" t="s">
        <v>139</v>
      </c>
      <c r="I232" s="63">
        <f>INDEX(Matériel!A:Z, MATCH(E232, Matériel!A:A, 0), MATCH(H232, INDEX(Matériel!A:Z, MATCH(E232, Matériel!A:A, 0), 0), 0) + 1)</f>
        <v>150</v>
      </c>
      <c r="J232" s="63">
        <f t="shared" ref="J232:J239" si="22">ROUNDUP(G232 / I232, 0)</f>
        <v>4</v>
      </c>
      <c r="K232" s="63">
        <f>VLOOKUP(H232,Manutention!A:E, 3, FALSE) * J232</f>
        <v>12</v>
      </c>
      <c r="L232" s="63" t="s">
        <v>165</v>
      </c>
      <c r="M232" s="63">
        <f>ROUNDUP(K232/VLOOKUP(L232,Camion!A:D, 3, FALSE),0)</f>
        <v>1</v>
      </c>
      <c r="N232" s="63">
        <f>INT(K232/VLOOKUP(L232,Camion!A:D, 3, FALSE))</f>
        <v>1</v>
      </c>
      <c r="O232" s="64">
        <f>ROUND(K232/VLOOKUP(L232,Camion!A:D, 3, FALSE) - N232,2)</f>
        <v>0</v>
      </c>
      <c r="P232" s="63" t="s">
        <v>130</v>
      </c>
    </row>
    <row r="233" spans="1:16" x14ac:dyDescent="0.25">
      <c r="A233" s="7">
        <v>9</v>
      </c>
      <c r="B233" s="62" t="s">
        <v>184</v>
      </c>
      <c r="C233" s="63" t="s">
        <v>1</v>
      </c>
      <c r="D233" s="63" t="s">
        <v>135</v>
      </c>
      <c r="E233" s="63" t="s">
        <v>72</v>
      </c>
      <c r="F233" s="63" t="s">
        <v>138</v>
      </c>
      <c r="G233" s="63">
        <v>1382</v>
      </c>
      <c r="H233" s="63" t="s">
        <v>143</v>
      </c>
      <c r="I233" s="63">
        <f>INDEX(Matériel!A:Z, MATCH(E233, Matériel!A:A, 0), MATCH(H233, INDEX(Matériel!A:Z, MATCH(E233, Matériel!A:A, 0), 0), 0) + 1)</f>
        <v>1000</v>
      </c>
      <c r="J233" s="63">
        <f t="shared" si="22"/>
        <v>2</v>
      </c>
      <c r="K233" s="63">
        <f>VLOOKUP(H233,Manutention!A:E, 3, FALSE) * J233</f>
        <v>2</v>
      </c>
      <c r="L233" s="63" t="s">
        <v>164</v>
      </c>
      <c r="M233" s="63">
        <f>ROUNDUP(K233/VLOOKUP(L233,Camion!A:D, 3, FALSE),0)</f>
        <v>1</v>
      </c>
      <c r="N233" s="63">
        <f>INT(K233/VLOOKUP(L233,Camion!A:D, 3, FALSE))</f>
        <v>0</v>
      </c>
      <c r="O233" s="64">
        <f>ROUND(K233/VLOOKUP(L233,Camion!A:D, 3, FALSE) - N233,2)</f>
        <v>0.22</v>
      </c>
      <c r="P233" s="63" t="s">
        <v>130</v>
      </c>
    </row>
    <row r="234" spans="1:16" x14ac:dyDescent="0.25">
      <c r="A234" s="7">
        <v>9</v>
      </c>
      <c r="B234" s="62" t="s">
        <v>184</v>
      </c>
      <c r="C234" s="63" t="s">
        <v>1</v>
      </c>
      <c r="D234" s="63" t="s">
        <v>135</v>
      </c>
      <c r="E234" s="63" t="s">
        <v>75</v>
      </c>
      <c r="F234" s="63" t="s">
        <v>127</v>
      </c>
      <c r="G234" s="63">
        <v>71</v>
      </c>
      <c r="H234" s="63" t="s">
        <v>136</v>
      </c>
      <c r="I234" s="63">
        <f>INDEX(Matériel!A:Z, MATCH(E234, Matériel!A:A, 0), MATCH(H234, INDEX(Matériel!A:Z, MATCH(E234, Matériel!A:A, 0), 0), 0) + 1)</f>
        <v>60</v>
      </c>
      <c r="J234" s="63">
        <f t="shared" si="22"/>
        <v>2</v>
      </c>
      <c r="K234" s="63">
        <f>VLOOKUP(H234,Manutention!A:E, 3, FALSE) * J234</f>
        <v>2</v>
      </c>
      <c r="L234" s="63" t="s">
        <v>164</v>
      </c>
      <c r="M234" s="63">
        <f>ROUNDUP(K234/VLOOKUP(L234,Camion!A:D, 3, FALSE),0)</f>
        <v>1</v>
      </c>
      <c r="N234" s="63">
        <f>INT(K234/VLOOKUP(L234,Camion!A:D, 3, FALSE))</f>
        <v>0</v>
      </c>
      <c r="O234" s="64">
        <f>ROUND(K234/VLOOKUP(L234,Camion!A:D, 3, FALSE) - N234,2)</f>
        <v>0.22</v>
      </c>
      <c r="P234" s="63" t="s">
        <v>129</v>
      </c>
    </row>
    <row r="235" spans="1:16" x14ac:dyDescent="0.25">
      <c r="A235" s="7">
        <v>9</v>
      </c>
      <c r="B235" s="62" t="s">
        <v>184</v>
      </c>
      <c r="C235" s="63" t="s">
        <v>1</v>
      </c>
      <c r="D235" s="63" t="s">
        <v>128</v>
      </c>
      <c r="E235" s="63" t="s">
        <v>76</v>
      </c>
      <c r="F235" s="63" t="s">
        <v>127</v>
      </c>
      <c r="G235" s="63">
        <v>35</v>
      </c>
      <c r="H235" s="63" t="s">
        <v>131</v>
      </c>
      <c r="I235" s="63">
        <f>INDEX(Matériel!A:Z, MATCH(E235, Matériel!A:A, 0), MATCH(H235, INDEX(Matériel!A:Z, MATCH(E235, Matériel!A:A, 0), 0), 0) + 1)</f>
        <v>100</v>
      </c>
      <c r="J235" s="63">
        <f t="shared" si="22"/>
        <v>1</v>
      </c>
      <c r="K235" s="63">
        <f>VLOOKUP(H235,Manutention!A:E, 3, FALSE) * J235</f>
        <v>1</v>
      </c>
      <c r="L235" s="63" t="s">
        <v>164</v>
      </c>
      <c r="M235" s="63">
        <f>ROUNDUP(K235/VLOOKUP(L235,Camion!A:D, 3, FALSE),0)</f>
        <v>1</v>
      </c>
      <c r="N235" s="63">
        <f>INT(K235/VLOOKUP(L235,Camion!A:D, 3, FALSE))</f>
        <v>0</v>
      </c>
      <c r="O235" s="64">
        <f>ROUND(K235/VLOOKUP(L235,Camion!A:D, 3, FALSE) - N235,2)</f>
        <v>0.11</v>
      </c>
      <c r="P235" s="63" t="s">
        <v>129</v>
      </c>
    </row>
    <row r="236" spans="1:16" x14ac:dyDescent="0.25">
      <c r="A236" s="7">
        <v>9</v>
      </c>
      <c r="B236" s="62" t="s">
        <v>184</v>
      </c>
      <c r="C236" s="63" t="s">
        <v>1</v>
      </c>
      <c r="D236" s="63" t="s">
        <v>135</v>
      </c>
      <c r="E236" s="63" t="s">
        <v>77</v>
      </c>
      <c r="F236" s="63" t="s">
        <v>127</v>
      </c>
      <c r="G236" s="63">
        <v>296</v>
      </c>
      <c r="H236" s="63" t="s">
        <v>131</v>
      </c>
      <c r="I236" s="63">
        <f>INDEX(Matériel!A:Z, MATCH(E236, Matériel!A:A, 0), MATCH(H236, INDEX(Matériel!A:Z, MATCH(E236, Matériel!A:A, 0), 0), 0) + 1)</f>
        <v>20</v>
      </c>
      <c r="J236" s="63">
        <f t="shared" si="22"/>
        <v>15</v>
      </c>
      <c r="K236" s="63">
        <f>VLOOKUP(H236,Manutention!A:E, 3, FALSE) * J236</f>
        <v>15</v>
      </c>
      <c r="L236" s="63" t="s">
        <v>166</v>
      </c>
      <c r="M236" s="63">
        <f>ROUNDUP(K236/VLOOKUP(L236,Camion!A:D, 3, FALSE),0)</f>
        <v>1</v>
      </c>
      <c r="N236" s="63">
        <f>INT(K236/VLOOKUP(L236,Camion!A:D, 3, FALSE))</f>
        <v>0</v>
      </c>
      <c r="O236" s="64">
        <f>ROUND(K236/VLOOKUP(L236,Camion!A:D, 3, FALSE) - N236,2)</f>
        <v>0.88</v>
      </c>
      <c r="P236" s="63" t="s">
        <v>129</v>
      </c>
    </row>
    <row r="237" spans="1:16" x14ac:dyDescent="0.25">
      <c r="A237" s="7">
        <v>9</v>
      </c>
      <c r="B237" s="62" t="s">
        <v>184</v>
      </c>
      <c r="C237" s="63" t="s">
        <v>1</v>
      </c>
      <c r="D237" s="63" t="s">
        <v>135</v>
      </c>
      <c r="E237" s="63" t="s">
        <v>78</v>
      </c>
      <c r="F237" s="63" t="s">
        <v>127</v>
      </c>
      <c r="G237" s="63">
        <v>6</v>
      </c>
      <c r="H237" s="63" t="s">
        <v>133</v>
      </c>
      <c r="I237" s="63">
        <f>INDEX(Matériel!A:Z, MATCH(E237, Matériel!A:A, 0), MATCH(H237, INDEX(Matériel!A:Z, MATCH(E237, Matériel!A:A, 0), 0), 0) + 1)</f>
        <v>1</v>
      </c>
      <c r="J237" s="63">
        <f t="shared" si="22"/>
        <v>6</v>
      </c>
      <c r="K237" s="63">
        <f>VLOOKUP(H237,Manutention!A:E, 3, FALSE) * J237</f>
        <v>12</v>
      </c>
      <c r="L237" s="63" t="s">
        <v>165</v>
      </c>
      <c r="M237" s="63">
        <f>ROUNDUP(K237/VLOOKUP(L237,Camion!A:D, 3, FALSE),0)</f>
        <v>1</v>
      </c>
      <c r="N237" s="63">
        <f>INT(K237/VLOOKUP(L237,Camion!A:D, 3, FALSE))</f>
        <v>1</v>
      </c>
      <c r="O237" s="64">
        <f>ROUND(K237/VLOOKUP(L237,Camion!A:D, 3, FALSE) - N237,2)</f>
        <v>0</v>
      </c>
      <c r="P237" s="63" t="s">
        <v>129</v>
      </c>
    </row>
    <row r="238" spans="1:16" x14ac:dyDescent="0.25">
      <c r="A238" s="7">
        <v>9</v>
      </c>
      <c r="B238" s="62" t="s">
        <v>184</v>
      </c>
      <c r="C238" s="63" t="s">
        <v>1</v>
      </c>
      <c r="D238" s="63" t="s">
        <v>135</v>
      </c>
      <c r="E238" s="63" t="s">
        <v>79</v>
      </c>
      <c r="F238" s="63" t="s">
        <v>127</v>
      </c>
      <c r="G238" s="63">
        <v>4</v>
      </c>
      <c r="H238" s="63" t="s">
        <v>133</v>
      </c>
      <c r="I238" s="63">
        <f>INDEX(Matériel!A:Z, MATCH(E238, Matériel!A:A, 0), MATCH(H238, INDEX(Matériel!A:Z, MATCH(E238, Matériel!A:A, 0), 0), 0) + 1)</f>
        <v>1</v>
      </c>
      <c r="J238" s="63">
        <f t="shared" si="22"/>
        <v>4</v>
      </c>
      <c r="K238" s="63">
        <f>VLOOKUP(H238,Manutention!A:E, 3, FALSE) * J238</f>
        <v>8</v>
      </c>
      <c r="L238" s="63" t="s">
        <v>164</v>
      </c>
      <c r="M238" s="63">
        <f>ROUNDUP(K238/VLOOKUP(L238,Camion!A:D, 3, FALSE),0)</f>
        <v>1</v>
      </c>
      <c r="N238" s="63">
        <f>INT(K238/VLOOKUP(L238,Camion!A:D, 3, FALSE))</f>
        <v>0</v>
      </c>
      <c r="O238" s="64">
        <f>ROUND(K238/VLOOKUP(L238,Camion!A:D, 3, FALSE) - N238,2)</f>
        <v>0.89</v>
      </c>
      <c r="P238" s="63" t="s">
        <v>129</v>
      </c>
    </row>
    <row r="239" spans="1:16" x14ac:dyDescent="0.25">
      <c r="A239" s="7">
        <v>9</v>
      </c>
      <c r="B239" s="62" t="s">
        <v>184</v>
      </c>
      <c r="C239" s="63" t="s">
        <v>1</v>
      </c>
      <c r="D239" s="63" t="s">
        <v>128</v>
      </c>
      <c r="E239" s="63" t="s">
        <v>81</v>
      </c>
      <c r="F239" s="63" t="s">
        <v>127</v>
      </c>
      <c r="G239" s="63">
        <v>13</v>
      </c>
      <c r="H239" s="63" t="s">
        <v>131</v>
      </c>
      <c r="I239" s="63">
        <f>INDEX(Matériel!A:Z, MATCH(E239, Matériel!A:A, 0), MATCH(H239, INDEX(Matériel!A:Z, MATCH(E239, Matériel!A:A, 0), 0), 0) + 1)</f>
        <v>100</v>
      </c>
      <c r="J239" s="63">
        <f t="shared" si="22"/>
        <v>1</v>
      </c>
      <c r="K239" s="63">
        <f>VLOOKUP(H239,Manutention!A:E, 3, FALSE) * J239</f>
        <v>1</v>
      </c>
      <c r="L239" s="63" t="s">
        <v>164</v>
      </c>
      <c r="M239" s="63">
        <f>ROUNDUP(K239/VLOOKUP(L239,Camion!A:D, 3, FALSE),0)</f>
        <v>1</v>
      </c>
      <c r="N239" s="63">
        <f>INT(K239/VLOOKUP(L239,Camion!A:D, 3, FALSE))</f>
        <v>0</v>
      </c>
      <c r="O239" s="64">
        <f>ROUND(K239/VLOOKUP(L239,Camion!A:D, 3, FALSE) - N239,2)</f>
        <v>0.11</v>
      </c>
      <c r="P239" s="63" t="s">
        <v>130</v>
      </c>
    </row>
    <row r="240" spans="1:16" x14ac:dyDescent="0.25">
      <c r="A240" s="7">
        <v>9</v>
      </c>
      <c r="B240" s="5" t="s">
        <v>184</v>
      </c>
      <c r="C240" s="65"/>
      <c r="D240" s="65"/>
      <c r="E240" s="65" t="s">
        <v>187</v>
      </c>
      <c r="F240" s="65"/>
      <c r="G240" s="65"/>
      <c r="H240" s="65" t="s">
        <v>131</v>
      </c>
      <c r="I240" s="65"/>
      <c r="J240" s="65"/>
      <c r="K240" s="65">
        <f>SUMIFS(K:K, A:A, 9, B:B, "Z1 Z2", P:P, "Oui", D:D, "Production")</f>
        <v>1</v>
      </c>
      <c r="L240" s="65" t="s">
        <v>164</v>
      </c>
      <c r="M240" s="65">
        <f>ROUNDUP(K240/VLOOKUP(L240,Camion!A:D, 3, FALSE),0)</f>
        <v>1</v>
      </c>
      <c r="N240" s="65">
        <f>INT(K240/VLOOKUP(L240,Camion!A:D, 3, FALSE))</f>
        <v>0</v>
      </c>
      <c r="O240" s="66">
        <f>ROUND(K240/VLOOKUP(L240,Camion!A:D, 3, FALSE) - N240,2)</f>
        <v>0.11</v>
      </c>
      <c r="P240" s="65"/>
    </row>
    <row r="241" spans="1:16" x14ac:dyDescent="0.25">
      <c r="A241" s="7">
        <v>9</v>
      </c>
      <c r="B241" s="5" t="s">
        <v>184</v>
      </c>
      <c r="C241" s="65"/>
      <c r="D241" s="65"/>
      <c r="E241" s="65" t="s">
        <v>188</v>
      </c>
      <c r="F241" s="65"/>
      <c r="G241" s="65"/>
      <c r="H241" s="65" t="s">
        <v>131</v>
      </c>
      <c r="I241" s="65"/>
      <c r="J241" s="65"/>
      <c r="K241" s="65">
        <f>SUMIFS(K:K, A:A, 9, B:B, "Z1 Z2", P:P, "Oui", D:D, "Terminaux")</f>
        <v>37</v>
      </c>
      <c r="L241" s="65" t="s">
        <v>167</v>
      </c>
      <c r="M241" s="65">
        <f>ROUNDUP(K241/VLOOKUP(L241,Camion!A:D, 3, FALSE),0)</f>
        <v>2</v>
      </c>
      <c r="N241" s="65">
        <f>INT(K241/VLOOKUP(L241,Camion!A:D, 3, FALSE))</f>
        <v>1</v>
      </c>
      <c r="O241" s="66">
        <f>ROUND(K241/VLOOKUP(L241,Camion!A:D, 3, FALSE) - N241,2)</f>
        <v>0.85</v>
      </c>
      <c r="P241" s="65"/>
    </row>
    <row r="242" spans="1:16" x14ac:dyDescent="0.25">
      <c r="A242" s="7">
        <v>9</v>
      </c>
      <c r="B242" s="62" t="s">
        <v>185</v>
      </c>
      <c r="C242" s="63" t="s">
        <v>1</v>
      </c>
      <c r="D242" s="63" t="s">
        <v>128</v>
      </c>
      <c r="E242" s="63" t="s">
        <v>71</v>
      </c>
      <c r="F242" s="63" t="s">
        <v>138</v>
      </c>
      <c r="G242" s="63">
        <v>445</v>
      </c>
      <c r="H242" s="63" t="s">
        <v>139</v>
      </c>
      <c r="I242" s="63">
        <f>INDEX(Matériel!A:Z, MATCH(E242, Matériel!A:A, 0), MATCH(H242, INDEX(Matériel!A:Z, MATCH(E242, Matériel!A:A, 0), 0), 0) + 1)</f>
        <v>150</v>
      </c>
      <c r="J242" s="63">
        <f t="shared" ref="J242:J249" si="23">ROUNDUP(G242 / I242, 0)</f>
        <v>3</v>
      </c>
      <c r="K242" s="63">
        <f>VLOOKUP(H242,Manutention!A:E, 3, FALSE) * J242</f>
        <v>9</v>
      </c>
      <c r="L242" s="63" t="s">
        <v>164</v>
      </c>
      <c r="M242" s="63">
        <f>ROUNDUP(K242/VLOOKUP(L242,Camion!A:D, 3, FALSE),0)</f>
        <v>1</v>
      </c>
      <c r="N242" s="63">
        <f>INT(K242/VLOOKUP(L242,Camion!A:D, 3, FALSE))</f>
        <v>1</v>
      </c>
      <c r="O242" s="64">
        <f>ROUND(K242/VLOOKUP(L242,Camion!A:D, 3, FALSE) - N242,2)</f>
        <v>0</v>
      </c>
      <c r="P242" s="63" t="s">
        <v>130</v>
      </c>
    </row>
    <row r="243" spans="1:16" x14ac:dyDescent="0.25">
      <c r="A243" s="7">
        <v>9</v>
      </c>
      <c r="B243" s="62" t="s">
        <v>185</v>
      </c>
      <c r="C243" s="63" t="s">
        <v>1</v>
      </c>
      <c r="D243" s="63" t="s">
        <v>135</v>
      </c>
      <c r="E243" s="63" t="s">
        <v>72</v>
      </c>
      <c r="F243" s="63" t="s">
        <v>138</v>
      </c>
      <c r="G243" s="63">
        <v>1361</v>
      </c>
      <c r="H243" s="63" t="s">
        <v>143</v>
      </c>
      <c r="I243" s="63">
        <f>INDEX(Matériel!A:Z, MATCH(E243, Matériel!A:A, 0), MATCH(H243, INDEX(Matériel!A:Z, MATCH(E243, Matériel!A:A, 0), 0), 0) + 1)</f>
        <v>1000</v>
      </c>
      <c r="J243" s="63">
        <f t="shared" si="23"/>
        <v>2</v>
      </c>
      <c r="K243" s="63">
        <f>VLOOKUP(H243,Manutention!A:E, 3, FALSE) * J243</f>
        <v>2</v>
      </c>
      <c r="L243" s="63" t="s">
        <v>164</v>
      </c>
      <c r="M243" s="63">
        <f>ROUNDUP(K243/VLOOKUP(L243,Camion!A:D, 3, FALSE),0)</f>
        <v>1</v>
      </c>
      <c r="N243" s="63">
        <f>INT(K243/VLOOKUP(L243,Camion!A:D, 3, FALSE))</f>
        <v>0</v>
      </c>
      <c r="O243" s="64">
        <f>ROUND(K243/VLOOKUP(L243,Camion!A:D, 3, FALSE) - N243,2)</f>
        <v>0.22</v>
      </c>
      <c r="P243" s="63" t="s">
        <v>130</v>
      </c>
    </row>
    <row r="244" spans="1:16" x14ac:dyDescent="0.25">
      <c r="A244" s="7">
        <v>9</v>
      </c>
      <c r="B244" s="62" t="s">
        <v>185</v>
      </c>
      <c r="C244" s="63" t="s">
        <v>1</v>
      </c>
      <c r="D244" s="63" t="s">
        <v>135</v>
      </c>
      <c r="E244" s="63" t="s">
        <v>75</v>
      </c>
      <c r="F244" s="63" t="s">
        <v>127</v>
      </c>
      <c r="G244" s="63">
        <v>70</v>
      </c>
      <c r="H244" s="63" t="s">
        <v>136</v>
      </c>
      <c r="I244" s="63">
        <f>INDEX(Matériel!A:Z, MATCH(E244, Matériel!A:A, 0), MATCH(H244, INDEX(Matériel!A:Z, MATCH(E244, Matériel!A:A, 0), 0), 0) + 1)</f>
        <v>60</v>
      </c>
      <c r="J244" s="63">
        <f t="shared" si="23"/>
        <v>2</v>
      </c>
      <c r="K244" s="63">
        <f>VLOOKUP(H244,Manutention!A:E, 3, FALSE) * J244</f>
        <v>2</v>
      </c>
      <c r="L244" s="63" t="s">
        <v>164</v>
      </c>
      <c r="M244" s="63">
        <f>ROUNDUP(K244/VLOOKUP(L244,Camion!A:D, 3, FALSE),0)</f>
        <v>1</v>
      </c>
      <c r="N244" s="63">
        <f>INT(K244/VLOOKUP(L244,Camion!A:D, 3, FALSE))</f>
        <v>0</v>
      </c>
      <c r="O244" s="64">
        <f>ROUND(K244/VLOOKUP(L244,Camion!A:D, 3, FALSE) - N244,2)</f>
        <v>0.22</v>
      </c>
      <c r="P244" s="63" t="s">
        <v>129</v>
      </c>
    </row>
    <row r="245" spans="1:16" x14ac:dyDescent="0.25">
      <c r="A245" s="7">
        <v>9</v>
      </c>
      <c r="B245" s="62" t="s">
        <v>185</v>
      </c>
      <c r="C245" s="63" t="s">
        <v>1</v>
      </c>
      <c r="D245" s="63" t="s">
        <v>128</v>
      </c>
      <c r="E245" s="63" t="s">
        <v>76</v>
      </c>
      <c r="F245" s="63" t="s">
        <v>127</v>
      </c>
      <c r="G245" s="63">
        <v>35</v>
      </c>
      <c r="H245" s="63" t="s">
        <v>131</v>
      </c>
      <c r="I245" s="63">
        <f>INDEX(Matériel!A:Z, MATCH(E245, Matériel!A:A, 0), MATCH(H245, INDEX(Matériel!A:Z, MATCH(E245, Matériel!A:A, 0), 0), 0) + 1)</f>
        <v>100</v>
      </c>
      <c r="J245" s="63">
        <f t="shared" si="23"/>
        <v>1</v>
      </c>
      <c r="K245" s="63">
        <f>VLOOKUP(H245,Manutention!A:E, 3, FALSE) * J245</f>
        <v>1</v>
      </c>
      <c r="L245" s="63" t="s">
        <v>164</v>
      </c>
      <c r="M245" s="63">
        <f>ROUNDUP(K245/VLOOKUP(L245,Camion!A:D, 3, FALSE),0)</f>
        <v>1</v>
      </c>
      <c r="N245" s="63">
        <f>INT(K245/VLOOKUP(L245,Camion!A:D, 3, FALSE))</f>
        <v>0</v>
      </c>
      <c r="O245" s="64">
        <f>ROUND(K245/VLOOKUP(L245,Camion!A:D, 3, FALSE) - N245,2)</f>
        <v>0.11</v>
      </c>
      <c r="P245" s="63" t="s">
        <v>129</v>
      </c>
    </row>
    <row r="246" spans="1:16" x14ac:dyDescent="0.25">
      <c r="A246" s="7">
        <v>9</v>
      </c>
      <c r="B246" s="62" t="s">
        <v>185</v>
      </c>
      <c r="C246" s="63" t="s">
        <v>1</v>
      </c>
      <c r="D246" s="63" t="s">
        <v>135</v>
      </c>
      <c r="E246" s="63" t="s">
        <v>77</v>
      </c>
      <c r="F246" s="63" t="s">
        <v>127</v>
      </c>
      <c r="G246" s="63">
        <v>291</v>
      </c>
      <c r="H246" s="63" t="s">
        <v>131</v>
      </c>
      <c r="I246" s="63">
        <f>INDEX(Matériel!A:Z, MATCH(E246, Matériel!A:A, 0), MATCH(H246, INDEX(Matériel!A:Z, MATCH(E246, Matériel!A:A, 0), 0), 0) + 1)</f>
        <v>20</v>
      </c>
      <c r="J246" s="63">
        <f t="shared" si="23"/>
        <v>15</v>
      </c>
      <c r="K246" s="63">
        <f>VLOOKUP(H246,Manutention!A:E, 3, FALSE) * J246</f>
        <v>15</v>
      </c>
      <c r="L246" s="63" t="s">
        <v>166</v>
      </c>
      <c r="M246" s="63">
        <f>ROUNDUP(K246/VLOOKUP(L246,Camion!A:D, 3, FALSE),0)</f>
        <v>1</v>
      </c>
      <c r="N246" s="63">
        <f>INT(K246/VLOOKUP(L246,Camion!A:D, 3, FALSE))</f>
        <v>0</v>
      </c>
      <c r="O246" s="64">
        <f>ROUND(K246/VLOOKUP(L246,Camion!A:D, 3, FALSE) - N246,2)</f>
        <v>0.88</v>
      </c>
      <c r="P246" s="63" t="s">
        <v>129</v>
      </c>
    </row>
    <row r="247" spans="1:16" x14ac:dyDescent="0.25">
      <c r="A247" s="7">
        <v>9</v>
      </c>
      <c r="B247" s="62" t="s">
        <v>185</v>
      </c>
      <c r="C247" s="63" t="s">
        <v>1</v>
      </c>
      <c r="D247" s="63" t="s">
        <v>135</v>
      </c>
      <c r="E247" s="63" t="s">
        <v>78</v>
      </c>
      <c r="F247" s="63" t="s">
        <v>127</v>
      </c>
      <c r="G247" s="63">
        <v>6</v>
      </c>
      <c r="H247" s="63" t="s">
        <v>133</v>
      </c>
      <c r="I247" s="63">
        <f>INDEX(Matériel!A:Z, MATCH(E247, Matériel!A:A, 0), MATCH(H247, INDEX(Matériel!A:Z, MATCH(E247, Matériel!A:A, 0), 0), 0) + 1)</f>
        <v>1</v>
      </c>
      <c r="J247" s="63">
        <f t="shared" si="23"/>
        <v>6</v>
      </c>
      <c r="K247" s="63">
        <f>VLOOKUP(H247,Manutention!A:E, 3, FALSE) * J247</f>
        <v>12</v>
      </c>
      <c r="L247" s="63" t="s">
        <v>165</v>
      </c>
      <c r="M247" s="63">
        <f>ROUNDUP(K247/VLOOKUP(L247,Camion!A:D, 3, FALSE),0)</f>
        <v>1</v>
      </c>
      <c r="N247" s="63">
        <f>INT(K247/VLOOKUP(L247,Camion!A:D, 3, FALSE))</f>
        <v>1</v>
      </c>
      <c r="O247" s="64">
        <f>ROUND(K247/VLOOKUP(L247,Camion!A:D, 3, FALSE) - N247,2)</f>
        <v>0</v>
      </c>
      <c r="P247" s="63" t="s">
        <v>129</v>
      </c>
    </row>
    <row r="248" spans="1:16" x14ac:dyDescent="0.25">
      <c r="A248" s="7">
        <v>9</v>
      </c>
      <c r="B248" s="62" t="s">
        <v>185</v>
      </c>
      <c r="C248" s="63" t="s">
        <v>1</v>
      </c>
      <c r="D248" s="63" t="s">
        <v>135</v>
      </c>
      <c r="E248" s="63" t="s">
        <v>79</v>
      </c>
      <c r="F248" s="63" t="s">
        <v>127</v>
      </c>
      <c r="G248" s="63">
        <v>4</v>
      </c>
      <c r="H248" s="63" t="s">
        <v>133</v>
      </c>
      <c r="I248" s="63">
        <f>INDEX(Matériel!A:Z, MATCH(E248, Matériel!A:A, 0), MATCH(H248, INDEX(Matériel!A:Z, MATCH(E248, Matériel!A:A, 0), 0), 0) + 1)</f>
        <v>1</v>
      </c>
      <c r="J248" s="63">
        <f t="shared" si="23"/>
        <v>4</v>
      </c>
      <c r="K248" s="63">
        <f>VLOOKUP(H248,Manutention!A:E, 3, FALSE) * J248</f>
        <v>8</v>
      </c>
      <c r="L248" s="63" t="s">
        <v>164</v>
      </c>
      <c r="M248" s="63">
        <f>ROUNDUP(K248/VLOOKUP(L248,Camion!A:D, 3, FALSE),0)</f>
        <v>1</v>
      </c>
      <c r="N248" s="63">
        <f>INT(K248/VLOOKUP(L248,Camion!A:D, 3, FALSE))</f>
        <v>0</v>
      </c>
      <c r="O248" s="64">
        <f>ROUND(K248/VLOOKUP(L248,Camion!A:D, 3, FALSE) - N248,2)</f>
        <v>0.89</v>
      </c>
      <c r="P248" s="63" t="s">
        <v>129</v>
      </c>
    </row>
    <row r="249" spans="1:16" x14ac:dyDescent="0.25">
      <c r="A249" s="7">
        <v>9</v>
      </c>
      <c r="B249" s="62" t="s">
        <v>185</v>
      </c>
      <c r="C249" s="63" t="s">
        <v>1</v>
      </c>
      <c r="D249" s="63" t="s">
        <v>128</v>
      </c>
      <c r="E249" s="63" t="s">
        <v>81</v>
      </c>
      <c r="F249" s="63" t="s">
        <v>127</v>
      </c>
      <c r="G249" s="63">
        <v>13</v>
      </c>
      <c r="H249" s="63" t="s">
        <v>131</v>
      </c>
      <c r="I249" s="63">
        <f>INDEX(Matériel!A:Z, MATCH(E249, Matériel!A:A, 0), MATCH(H249, INDEX(Matériel!A:Z, MATCH(E249, Matériel!A:A, 0), 0), 0) + 1)</f>
        <v>100</v>
      </c>
      <c r="J249" s="63">
        <f t="shared" si="23"/>
        <v>1</v>
      </c>
      <c r="K249" s="63">
        <f>VLOOKUP(H249,Manutention!A:E, 3, FALSE) * J249</f>
        <v>1</v>
      </c>
      <c r="L249" s="63" t="s">
        <v>164</v>
      </c>
      <c r="M249" s="63">
        <f>ROUNDUP(K249/VLOOKUP(L249,Camion!A:D, 3, FALSE),0)</f>
        <v>1</v>
      </c>
      <c r="N249" s="63">
        <f>INT(K249/VLOOKUP(L249,Camion!A:D, 3, FALSE))</f>
        <v>0</v>
      </c>
      <c r="O249" s="64">
        <f>ROUND(K249/VLOOKUP(L249,Camion!A:D, 3, FALSE) - N249,2)</f>
        <v>0.11</v>
      </c>
      <c r="P249" s="63" t="s">
        <v>130</v>
      </c>
    </row>
    <row r="250" spans="1:16" x14ac:dyDescent="0.25">
      <c r="A250" s="7">
        <v>9</v>
      </c>
      <c r="B250" s="5" t="s">
        <v>185</v>
      </c>
      <c r="C250" s="65"/>
      <c r="D250" s="65"/>
      <c r="E250" s="65" t="s">
        <v>187</v>
      </c>
      <c r="F250" s="65"/>
      <c r="G250" s="65"/>
      <c r="H250" s="65" t="s">
        <v>131</v>
      </c>
      <c r="I250" s="65"/>
      <c r="J250" s="65"/>
      <c r="K250" s="65">
        <f>SUMIFS(K:K, A:A, 9, B:B, "Z3 Z4", P:P, "Oui", D:D, "Production")</f>
        <v>1</v>
      </c>
      <c r="L250" s="65" t="s">
        <v>164</v>
      </c>
      <c r="M250" s="65">
        <f>ROUNDUP(K250/VLOOKUP(L250,Camion!A:D, 3, FALSE),0)</f>
        <v>1</v>
      </c>
      <c r="N250" s="65">
        <f>INT(K250/VLOOKUP(L250,Camion!A:D, 3, FALSE))</f>
        <v>0</v>
      </c>
      <c r="O250" s="66">
        <f>ROUND(K250/VLOOKUP(L250,Camion!A:D, 3, FALSE) - N250,2)</f>
        <v>0.11</v>
      </c>
      <c r="P250" s="65"/>
    </row>
    <row r="251" spans="1:16" x14ac:dyDescent="0.25">
      <c r="A251" s="7">
        <v>9</v>
      </c>
      <c r="B251" s="5" t="s">
        <v>185</v>
      </c>
      <c r="C251" s="65"/>
      <c r="D251" s="65"/>
      <c r="E251" s="65" t="s">
        <v>188</v>
      </c>
      <c r="F251" s="65"/>
      <c r="G251" s="65"/>
      <c r="H251" s="65" t="s">
        <v>131</v>
      </c>
      <c r="I251" s="65"/>
      <c r="J251" s="65"/>
      <c r="K251" s="65">
        <f>SUMIFS(K:K, A:A, 9, B:B, "Z3 Z4", P:P, "Oui", D:D, "Terminaux")</f>
        <v>37</v>
      </c>
      <c r="L251" s="65" t="s">
        <v>167</v>
      </c>
      <c r="M251" s="65">
        <f>ROUNDUP(K251/VLOOKUP(L251,Camion!A:D, 3, FALSE),0)</f>
        <v>2</v>
      </c>
      <c r="N251" s="65">
        <f>INT(K251/VLOOKUP(L251,Camion!A:D, 3, FALSE))</f>
        <v>1</v>
      </c>
      <c r="O251" s="66">
        <f>ROUND(K251/VLOOKUP(L251,Camion!A:D, 3, FALSE) - N251,2)</f>
        <v>0.85</v>
      </c>
      <c r="P251" s="65"/>
    </row>
    <row r="252" spans="1:16" x14ac:dyDescent="0.25">
      <c r="A252" s="7">
        <v>10</v>
      </c>
      <c r="B252" s="62" t="s">
        <v>184</v>
      </c>
      <c r="C252" s="63" t="s">
        <v>1</v>
      </c>
      <c r="D252" s="63" t="s">
        <v>128</v>
      </c>
      <c r="E252" s="63" t="s">
        <v>71</v>
      </c>
      <c r="F252" s="63" t="s">
        <v>138</v>
      </c>
      <c r="G252" s="63">
        <v>438</v>
      </c>
      <c r="H252" s="63" t="s">
        <v>139</v>
      </c>
      <c r="I252" s="63">
        <f>INDEX(Matériel!A:Z, MATCH(E252, Matériel!A:A, 0), MATCH(H252, INDEX(Matériel!A:Z, MATCH(E252, Matériel!A:A, 0), 0), 0) + 1)</f>
        <v>150</v>
      </c>
      <c r="J252" s="63">
        <f t="shared" ref="J252:J259" si="24">ROUNDUP(G252 / I252, 0)</f>
        <v>3</v>
      </c>
      <c r="K252" s="63">
        <f>VLOOKUP(H252,Manutention!A:E, 3, FALSE) * J252</f>
        <v>9</v>
      </c>
      <c r="L252" s="63" t="s">
        <v>164</v>
      </c>
      <c r="M252" s="63">
        <f>ROUNDUP(K252/VLOOKUP(L252,Camion!A:D, 3, FALSE),0)</f>
        <v>1</v>
      </c>
      <c r="N252" s="63">
        <f>INT(K252/VLOOKUP(L252,Camion!A:D, 3, FALSE))</f>
        <v>1</v>
      </c>
      <c r="O252" s="64">
        <f>ROUND(K252/VLOOKUP(L252,Camion!A:D, 3, FALSE) - N252,2)</f>
        <v>0</v>
      </c>
      <c r="P252" s="63" t="s">
        <v>130</v>
      </c>
    </row>
    <row r="253" spans="1:16" x14ac:dyDescent="0.25">
      <c r="A253" s="7">
        <v>10</v>
      </c>
      <c r="B253" s="62" t="s">
        <v>184</v>
      </c>
      <c r="C253" s="63" t="s">
        <v>1</v>
      </c>
      <c r="D253" s="63" t="s">
        <v>135</v>
      </c>
      <c r="E253" s="63" t="s">
        <v>72</v>
      </c>
      <c r="F253" s="63" t="s">
        <v>138</v>
      </c>
      <c r="G253" s="63">
        <v>1341</v>
      </c>
      <c r="H253" s="63" t="s">
        <v>143</v>
      </c>
      <c r="I253" s="63">
        <f>INDEX(Matériel!A:Z, MATCH(E253, Matériel!A:A, 0), MATCH(H253, INDEX(Matériel!A:Z, MATCH(E253, Matériel!A:A, 0), 0), 0) + 1)</f>
        <v>1000</v>
      </c>
      <c r="J253" s="63">
        <f t="shared" si="24"/>
        <v>2</v>
      </c>
      <c r="K253" s="63">
        <f>VLOOKUP(H253,Manutention!A:E, 3, FALSE) * J253</f>
        <v>2</v>
      </c>
      <c r="L253" s="63" t="s">
        <v>164</v>
      </c>
      <c r="M253" s="63">
        <f>ROUNDUP(K253/VLOOKUP(L253,Camion!A:D, 3, FALSE),0)</f>
        <v>1</v>
      </c>
      <c r="N253" s="63">
        <f>INT(K253/VLOOKUP(L253,Camion!A:D, 3, FALSE))</f>
        <v>0</v>
      </c>
      <c r="O253" s="64">
        <f>ROUND(K253/VLOOKUP(L253,Camion!A:D, 3, FALSE) - N253,2)</f>
        <v>0.22</v>
      </c>
      <c r="P253" s="63" t="s">
        <v>130</v>
      </c>
    </row>
    <row r="254" spans="1:16" x14ac:dyDescent="0.25">
      <c r="A254" s="7">
        <v>10</v>
      </c>
      <c r="B254" s="62" t="s">
        <v>184</v>
      </c>
      <c r="C254" s="63" t="s">
        <v>1</v>
      </c>
      <c r="D254" s="63" t="s">
        <v>135</v>
      </c>
      <c r="E254" s="63" t="s">
        <v>75</v>
      </c>
      <c r="F254" s="63" t="s">
        <v>127</v>
      </c>
      <c r="G254" s="63">
        <v>69</v>
      </c>
      <c r="H254" s="63" t="s">
        <v>136</v>
      </c>
      <c r="I254" s="63">
        <f>INDEX(Matériel!A:Z, MATCH(E254, Matériel!A:A, 0), MATCH(H254, INDEX(Matériel!A:Z, MATCH(E254, Matériel!A:A, 0), 0), 0) + 1)</f>
        <v>60</v>
      </c>
      <c r="J254" s="63">
        <f t="shared" si="24"/>
        <v>2</v>
      </c>
      <c r="K254" s="63">
        <f>VLOOKUP(H254,Manutention!A:E, 3, FALSE) * J254</f>
        <v>2</v>
      </c>
      <c r="L254" s="63" t="s">
        <v>164</v>
      </c>
      <c r="M254" s="63">
        <f>ROUNDUP(K254/VLOOKUP(L254,Camion!A:D, 3, FALSE),0)</f>
        <v>1</v>
      </c>
      <c r="N254" s="63">
        <f>INT(K254/VLOOKUP(L254,Camion!A:D, 3, FALSE))</f>
        <v>0</v>
      </c>
      <c r="O254" s="64">
        <f>ROUND(K254/VLOOKUP(L254,Camion!A:D, 3, FALSE) - N254,2)</f>
        <v>0.22</v>
      </c>
      <c r="P254" s="63" t="s">
        <v>129</v>
      </c>
    </row>
    <row r="255" spans="1:16" x14ac:dyDescent="0.25">
      <c r="A255" s="7">
        <v>10</v>
      </c>
      <c r="B255" s="62" t="s">
        <v>184</v>
      </c>
      <c r="C255" s="63" t="s">
        <v>1</v>
      </c>
      <c r="D255" s="63" t="s">
        <v>128</v>
      </c>
      <c r="E255" s="63" t="s">
        <v>76</v>
      </c>
      <c r="F255" s="63" t="s">
        <v>127</v>
      </c>
      <c r="G255" s="63">
        <v>34</v>
      </c>
      <c r="H255" s="63" t="s">
        <v>131</v>
      </c>
      <c r="I255" s="63">
        <f>INDEX(Matériel!A:Z, MATCH(E255, Matériel!A:A, 0), MATCH(H255, INDEX(Matériel!A:Z, MATCH(E255, Matériel!A:A, 0), 0), 0) + 1)</f>
        <v>100</v>
      </c>
      <c r="J255" s="63">
        <f t="shared" si="24"/>
        <v>1</v>
      </c>
      <c r="K255" s="63">
        <f>VLOOKUP(H255,Manutention!A:E, 3, FALSE) * J255</f>
        <v>1</v>
      </c>
      <c r="L255" s="63" t="s">
        <v>164</v>
      </c>
      <c r="M255" s="63">
        <f>ROUNDUP(K255/VLOOKUP(L255,Camion!A:D, 3, FALSE),0)</f>
        <v>1</v>
      </c>
      <c r="N255" s="63">
        <f>INT(K255/VLOOKUP(L255,Camion!A:D, 3, FALSE))</f>
        <v>0</v>
      </c>
      <c r="O255" s="64">
        <f>ROUND(K255/VLOOKUP(L255,Camion!A:D, 3, FALSE) - N255,2)</f>
        <v>0.11</v>
      </c>
      <c r="P255" s="63" t="s">
        <v>129</v>
      </c>
    </row>
    <row r="256" spans="1:16" x14ac:dyDescent="0.25">
      <c r="A256" s="7">
        <v>10</v>
      </c>
      <c r="B256" s="62" t="s">
        <v>184</v>
      </c>
      <c r="C256" s="63" t="s">
        <v>1</v>
      </c>
      <c r="D256" s="63" t="s">
        <v>135</v>
      </c>
      <c r="E256" s="63" t="s">
        <v>77</v>
      </c>
      <c r="F256" s="63" t="s">
        <v>127</v>
      </c>
      <c r="G256" s="63">
        <v>287</v>
      </c>
      <c r="H256" s="63" t="s">
        <v>131</v>
      </c>
      <c r="I256" s="63">
        <f>INDEX(Matériel!A:Z, MATCH(E256, Matériel!A:A, 0), MATCH(H256, INDEX(Matériel!A:Z, MATCH(E256, Matériel!A:A, 0), 0), 0) + 1)</f>
        <v>20</v>
      </c>
      <c r="J256" s="63">
        <f t="shared" si="24"/>
        <v>15</v>
      </c>
      <c r="K256" s="63">
        <f>VLOOKUP(H256,Manutention!A:E, 3, FALSE) * J256</f>
        <v>15</v>
      </c>
      <c r="L256" s="63" t="s">
        <v>166</v>
      </c>
      <c r="M256" s="63">
        <f>ROUNDUP(K256/VLOOKUP(L256,Camion!A:D, 3, FALSE),0)</f>
        <v>1</v>
      </c>
      <c r="N256" s="63">
        <f>INT(K256/VLOOKUP(L256,Camion!A:D, 3, FALSE))</f>
        <v>0</v>
      </c>
      <c r="O256" s="64">
        <f>ROUND(K256/VLOOKUP(L256,Camion!A:D, 3, FALSE) - N256,2)</f>
        <v>0.88</v>
      </c>
      <c r="P256" s="63" t="s">
        <v>129</v>
      </c>
    </row>
    <row r="257" spans="1:16" x14ac:dyDescent="0.25">
      <c r="A257" s="7">
        <v>10</v>
      </c>
      <c r="B257" s="62" t="s">
        <v>184</v>
      </c>
      <c r="C257" s="63" t="s">
        <v>1</v>
      </c>
      <c r="D257" s="63" t="s">
        <v>135</v>
      </c>
      <c r="E257" s="63" t="s">
        <v>78</v>
      </c>
      <c r="F257" s="63" t="s">
        <v>127</v>
      </c>
      <c r="G257" s="63">
        <v>6</v>
      </c>
      <c r="H257" s="63" t="s">
        <v>133</v>
      </c>
      <c r="I257" s="63">
        <f>INDEX(Matériel!A:Z, MATCH(E257, Matériel!A:A, 0), MATCH(H257, INDEX(Matériel!A:Z, MATCH(E257, Matériel!A:A, 0), 0), 0) + 1)</f>
        <v>1</v>
      </c>
      <c r="J257" s="63">
        <f t="shared" si="24"/>
        <v>6</v>
      </c>
      <c r="K257" s="63">
        <f>VLOOKUP(H257,Manutention!A:E, 3, FALSE) * J257</f>
        <v>12</v>
      </c>
      <c r="L257" s="63" t="s">
        <v>165</v>
      </c>
      <c r="M257" s="63">
        <f>ROUNDUP(K257/VLOOKUP(L257,Camion!A:D, 3, FALSE),0)</f>
        <v>1</v>
      </c>
      <c r="N257" s="63">
        <f>INT(K257/VLOOKUP(L257,Camion!A:D, 3, FALSE))</f>
        <v>1</v>
      </c>
      <c r="O257" s="64">
        <f>ROUND(K257/VLOOKUP(L257,Camion!A:D, 3, FALSE) - N257,2)</f>
        <v>0</v>
      </c>
      <c r="P257" s="63" t="s">
        <v>129</v>
      </c>
    </row>
    <row r="258" spans="1:16" x14ac:dyDescent="0.25">
      <c r="A258" s="7">
        <v>10</v>
      </c>
      <c r="B258" s="62" t="s">
        <v>184</v>
      </c>
      <c r="C258" s="63" t="s">
        <v>1</v>
      </c>
      <c r="D258" s="63" t="s">
        <v>135</v>
      </c>
      <c r="E258" s="63" t="s">
        <v>79</v>
      </c>
      <c r="F258" s="63" t="s">
        <v>127</v>
      </c>
      <c r="G258" s="63">
        <v>4</v>
      </c>
      <c r="H258" s="63" t="s">
        <v>133</v>
      </c>
      <c r="I258" s="63">
        <f>INDEX(Matériel!A:Z, MATCH(E258, Matériel!A:A, 0), MATCH(H258, INDEX(Matériel!A:Z, MATCH(E258, Matériel!A:A, 0), 0), 0) + 1)</f>
        <v>1</v>
      </c>
      <c r="J258" s="63">
        <f t="shared" si="24"/>
        <v>4</v>
      </c>
      <c r="K258" s="63">
        <f>VLOOKUP(H258,Manutention!A:E, 3, FALSE) * J258</f>
        <v>8</v>
      </c>
      <c r="L258" s="63" t="s">
        <v>164</v>
      </c>
      <c r="M258" s="63">
        <f>ROUNDUP(K258/VLOOKUP(L258,Camion!A:D, 3, FALSE),0)</f>
        <v>1</v>
      </c>
      <c r="N258" s="63">
        <f>INT(K258/VLOOKUP(L258,Camion!A:D, 3, FALSE))</f>
        <v>0</v>
      </c>
      <c r="O258" s="64">
        <f>ROUND(K258/VLOOKUP(L258,Camion!A:D, 3, FALSE) - N258,2)</f>
        <v>0.89</v>
      </c>
      <c r="P258" s="63" t="s">
        <v>129</v>
      </c>
    </row>
    <row r="259" spans="1:16" x14ac:dyDescent="0.25">
      <c r="A259" s="7">
        <v>10</v>
      </c>
      <c r="B259" s="62" t="s">
        <v>184</v>
      </c>
      <c r="C259" s="63" t="s">
        <v>1</v>
      </c>
      <c r="D259" s="63" t="s">
        <v>128</v>
      </c>
      <c r="E259" s="63" t="s">
        <v>81</v>
      </c>
      <c r="F259" s="63" t="s">
        <v>127</v>
      </c>
      <c r="G259" s="63">
        <v>13</v>
      </c>
      <c r="H259" s="63" t="s">
        <v>131</v>
      </c>
      <c r="I259" s="63">
        <f>INDEX(Matériel!A:Z, MATCH(E259, Matériel!A:A, 0), MATCH(H259, INDEX(Matériel!A:Z, MATCH(E259, Matériel!A:A, 0), 0), 0) + 1)</f>
        <v>100</v>
      </c>
      <c r="J259" s="63">
        <f t="shared" si="24"/>
        <v>1</v>
      </c>
      <c r="K259" s="63">
        <f>VLOOKUP(H259,Manutention!A:E, 3, FALSE) * J259</f>
        <v>1</v>
      </c>
      <c r="L259" s="63" t="s">
        <v>164</v>
      </c>
      <c r="M259" s="63">
        <f>ROUNDUP(K259/VLOOKUP(L259,Camion!A:D, 3, FALSE),0)</f>
        <v>1</v>
      </c>
      <c r="N259" s="63">
        <f>INT(K259/VLOOKUP(L259,Camion!A:D, 3, FALSE))</f>
        <v>0</v>
      </c>
      <c r="O259" s="64">
        <f>ROUND(K259/VLOOKUP(L259,Camion!A:D, 3, FALSE) - N259,2)</f>
        <v>0.11</v>
      </c>
      <c r="P259" s="63" t="s">
        <v>130</v>
      </c>
    </row>
    <row r="260" spans="1:16" x14ac:dyDescent="0.25">
      <c r="A260" s="7">
        <v>10</v>
      </c>
      <c r="B260" s="5" t="s">
        <v>184</v>
      </c>
      <c r="C260" s="65"/>
      <c r="D260" s="65"/>
      <c r="E260" s="65" t="s">
        <v>187</v>
      </c>
      <c r="F260" s="65"/>
      <c r="G260" s="65"/>
      <c r="H260" s="65" t="s">
        <v>131</v>
      </c>
      <c r="I260" s="65"/>
      <c r="J260" s="65"/>
      <c r="K260" s="65">
        <f>SUMIFS(K:K, A:A, 10, B:B, "Z1 Z2", P:P, "Oui", D:D, "Production")</f>
        <v>1</v>
      </c>
      <c r="L260" s="65" t="s">
        <v>164</v>
      </c>
      <c r="M260" s="65">
        <f>ROUNDUP(K260/VLOOKUP(L260,Camion!A:D, 3, FALSE),0)</f>
        <v>1</v>
      </c>
      <c r="N260" s="65">
        <f>INT(K260/VLOOKUP(L260,Camion!A:D, 3, FALSE))</f>
        <v>0</v>
      </c>
      <c r="O260" s="66">
        <f>ROUND(K260/VLOOKUP(L260,Camion!A:D, 3, FALSE) - N260,2)</f>
        <v>0.11</v>
      </c>
      <c r="P260" s="65"/>
    </row>
    <row r="261" spans="1:16" x14ac:dyDescent="0.25">
      <c r="A261" s="7">
        <v>10</v>
      </c>
      <c r="B261" s="5" t="s">
        <v>184</v>
      </c>
      <c r="C261" s="65"/>
      <c r="D261" s="65"/>
      <c r="E261" s="65" t="s">
        <v>188</v>
      </c>
      <c r="F261" s="65"/>
      <c r="G261" s="65"/>
      <c r="H261" s="65" t="s">
        <v>131</v>
      </c>
      <c r="I261" s="65"/>
      <c r="J261" s="65"/>
      <c r="K261" s="65">
        <f>SUMIFS(K:K, A:A, 10, B:B, "Z1 Z2", P:P, "Oui", D:D, "Terminaux")</f>
        <v>37</v>
      </c>
      <c r="L261" s="65" t="s">
        <v>167</v>
      </c>
      <c r="M261" s="65">
        <f>ROUNDUP(K261/VLOOKUP(L261,Camion!A:D, 3, FALSE),0)</f>
        <v>2</v>
      </c>
      <c r="N261" s="65">
        <f>INT(K261/VLOOKUP(L261,Camion!A:D, 3, FALSE))</f>
        <v>1</v>
      </c>
      <c r="O261" s="66">
        <f>ROUND(K261/VLOOKUP(L261,Camion!A:D, 3, FALSE) - N261,2)</f>
        <v>0.85</v>
      </c>
      <c r="P261" s="65"/>
    </row>
    <row r="262" spans="1:16" x14ac:dyDescent="0.25">
      <c r="A262" s="7">
        <v>10</v>
      </c>
      <c r="B262" s="62" t="s">
        <v>185</v>
      </c>
      <c r="C262" s="63" t="s">
        <v>1</v>
      </c>
      <c r="D262" s="63" t="s">
        <v>128</v>
      </c>
      <c r="E262" s="63" t="s">
        <v>71</v>
      </c>
      <c r="F262" s="63" t="s">
        <v>138</v>
      </c>
      <c r="G262" s="63">
        <v>431</v>
      </c>
      <c r="H262" s="63" t="s">
        <v>139</v>
      </c>
      <c r="I262" s="63">
        <f>INDEX(Matériel!A:Z, MATCH(E262, Matériel!A:A, 0), MATCH(H262, INDEX(Matériel!A:Z, MATCH(E262, Matériel!A:A, 0), 0), 0) + 1)</f>
        <v>150</v>
      </c>
      <c r="J262" s="63">
        <f t="shared" ref="J262:J269" si="25">ROUNDUP(G262 / I262, 0)</f>
        <v>3</v>
      </c>
      <c r="K262" s="63">
        <f>VLOOKUP(H262,Manutention!A:E, 3, FALSE) * J262</f>
        <v>9</v>
      </c>
      <c r="L262" s="63" t="s">
        <v>164</v>
      </c>
      <c r="M262" s="63">
        <f>ROUNDUP(K262/VLOOKUP(L262,Camion!A:D, 3, FALSE),0)</f>
        <v>1</v>
      </c>
      <c r="N262" s="63">
        <f>INT(K262/VLOOKUP(L262,Camion!A:D, 3, FALSE))</f>
        <v>1</v>
      </c>
      <c r="O262" s="64">
        <f>ROUND(K262/VLOOKUP(L262,Camion!A:D, 3, FALSE) - N262,2)</f>
        <v>0</v>
      </c>
      <c r="P262" s="63" t="s">
        <v>130</v>
      </c>
    </row>
    <row r="263" spans="1:16" x14ac:dyDescent="0.25">
      <c r="A263" s="7">
        <v>10</v>
      </c>
      <c r="B263" s="62" t="s">
        <v>185</v>
      </c>
      <c r="C263" s="63" t="s">
        <v>1</v>
      </c>
      <c r="D263" s="63" t="s">
        <v>135</v>
      </c>
      <c r="E263" s="63" t="s">
        <v>72</v>
      </c>
      <c r="F263" s="63" t="s">
        <v>138</v>
      </c>
      <c r="G263" s="63">
        <v>1321</v>
      </c>
      <c r="H263" s="63" t="s">
        <v>143</v>
      </c>
      <c r="I263" s="63">
        <f>INDEX(Matériel!A:Z, MATCH(E263, Matériel!A:A, 0), MATCH(H263, INDEX(Matériel!A:Z, MATCH(E263, Matériel!A:A, 0), 0), 0) + 1)</f>
        <v>1000</v>
      </c>
      <c r="J263" s="63">
        <f t="shared" si="25"/>
        <v>2</v>
      </c>
      <c r="K263" s="63">
        <f>VLOOKUP(H263,Manutention!A:E, 3, FALSE) * J263</f>
        <v>2</v>
      </c>
      <c r="L263" s="63" t="s">
        <v>164</v>
      </c>
      <c r="M263" s="63">
        <f>ROUNDUP(K263/VLOOKUP(L263,Camion!A:D, 3, FALSE),0)</f>
        <v>1</v>
      </c>
      <c r="N263" s="63">
        <f>INT(K263/VLOOKUP(L263,Camion!A:D, 3, FALSE))</f>
        <v>0</v>
      </c>
      <c r="O263" s="64">
        <f>ROUND(K263/VLOOKUP(L263,Camion!A:D, 3, FALSE) - N263,2)</f>
        <v>0.22</v>
      </c>
      <c r="P263" s="63" t="s">
        <v>130</v>
      </c>
    </row>
    <row r="264" spans="1:16" x14ac:dyDescent="0.25">
      <c r="A264" s="7">
        <v>10</v>
      </c>
      <c r="B264" s="62" t="s">
        <v>185</v>
      </c>
      <c r="C264" s="63" t="s">
        <v>1</v>
      </c>
      <c r="D264" s="63" t="s">
        <v>135</v>
      </c>
      <c r="E264" s="63" t="s">
        <v>75</v>
      </c>
      <c r="F264" s="63" t="s">
        <v>127</v>
      </c>
      <c r="G264" s="63">
        <v>68</v>
      </c>
      <c r="H264" s="63" t="s">
        <v>136</v>
      </c>
      <c r="I264" s="63">
        <f>INDEX(Matériel!A:Z, MATCH(E264, Matériel!A:A, 0), MATCH(H264, INDEX(Matériel!A:Z, MATCH(E264, Matériel!A:A, 0), 0), 0) + 1)</f>
        <v>60</v>
      </c>
      <c r="J264" s="63">
        <f t="shared" si="25"/>
        <v>2</v>
      </c>
      <c r="K264" s="63">
        <f>VLOOKUP(H264,Manutention!A:E, 3, FALSE) * J264</f>
        <v>2</v>
      </c>
      <c r="L264" s="63" t="s">
        <v>164</v>
      </c>
      <c r="M264" s="63">
        <f>ROUNDUP(K264/VLOOKUP(L264,Camion!A:D, 3, FALSE),0)</f>
        <v>1</v>
      </c>
      <c r="N264" s="63">
        <f>INT(K264/VLOOKUP(L264,Camion!A:D, 3, FALSE))</f>
        <v>0</v>
      </c>
      <c r="O264" s="64">
        <f>ROUND(K264/VLOOKUP(L264,Camion!A:D, 3, FALSE) - N264,2)</f>
        <v>0.22</v>
      </c>
      <c r="P264" s="63" t="s">
        <v>129</v>
      </c>
    </row>
    <row r="265" spans="1:16" x14ac:dyDescent="0.25">
      <c r="A265" s="7">
        <v>10</v>
      </c>
      <c r="B265" s="62" t="s">
        <v>185</v>
      </c>
      <c r="C265" s="63" t="s">
        <v>1</v>
      </c>
      <c r="D265" s="63" t="s">
        <v>128</v>
      </c>
      <c r="E265" s="63" t="s">
        <v>76</v>
      </c>
      <c r="F265" s="63" t="s">
        <v>127</v>
      </c>
      <c r="G265" s="63">
        <v>34</v>
      </c>
      <c r="H265" s="63" t="s">
        <v>131</v>
      </c>
      <c r="I265" s="63">
        <f>INDEX(Matériel!A:Z, MATCH(E265, Matériel!A:A, 0), MATCH(H265, INDEX(Matériel!A:Z, MATCH(E265, Matériel!A:A, 0), 0), 0) + 1)</f>
        <v>100</v>
      </c>
      <c r="J265" s="63">
        <f t="shared" si="25"/>
        <v>1</v>
      </c>
      <c r="K265" s="63">
        <f>VLOOKUP(H265,Manutention!A:E, 3, FALSE) * J265</f>
        <v>1</v>
      </c>
      <c r="L265" s="63" t="s">
        <v>164</v>
      </c>
      <c r="M265" s="63">
        <f>ROUNDUP(K265/VLOOKUP(L265,Camion!A:D, 3, FALSE),0)</f>
        <v>1</v>
      </c>
      <c r="N265" s="63">
        <f>INT(K265/VLOOKUP(L265,Camion!A:D, 3, FALSE))</f>
        <v>0</v>
      </c>
      <c r="O265" s="64">
        <f>ROUND(K265/VLOOKUP(L265,Camion!A:D, 3, FALSE) - N265,2)</f>
        <v>0.11</v>
      </c>
      <c r="P265" s="63" t="s">
        <v>129</v>
      </c>
    </row>
    <row r="266" spans="1:16" x14ac:dyDescent="0.25">
      <c r="A266" s="7">
        <v>10</v>
      </c>
      <c r="B266" s="62" t="s">
        <v>185</v>
      </c>
      <c r="C266" s="63" t="s">
        <v>1</v>
      </c>
      <c r="D266" s="63" t="s">
        <v>135</v>
      </c>
      <c r="E266" s="63" t="s">
        <v>77</v>
      </c>
      <c r="F266" s="63" t="s">
        <v>127</v>
      </c>
      <c r="G266" s="63">
        <v>282</v>
      </c>
      <c r="H266" s="63" t="s">
        <v>131</v>
      </c>
      <c r="I266" s="63">
        <f>INDEX(Matériel!A:Z, MATCH(E266, Matériel!A:A, 0), MATCH(H266, INDEX(Matériel!A:Z, MATCH(E266, Matériel!A:A, 0), 0), 0) + 1)</f>
        <v>20</v>
      </c>
      <c r="J266" s="63">
        <f t="shared" si="25"/>
        <v>15</v>
      </c>
      <c r="K266" s="63">
        <f>VLOOKUP(H266,Manutention!A:E, 3, FALSE) * J266</f>
        <v>15</v>
      </c>
      <c r="L266" s="63" t="s">
        <v>166</v>
      </c>
      <c r="M266" s="63">
        <f>ROUNDUP(K266/VLOOKUP(L266,Camion!A:D, 3, FALSE),0)</f>
        <v>1</v>
      </c>
      <c r="N266" s="63">
        <f>INT(K266/VLOOKUP(L266,Camion!A:D, 3, FALSE))</f>
        <v>0</v>
      </c>
      <c r="O266" s="64">
        <f>ROUND(K266/VLOOKUP(L266,Camion!A:D, 3, FALSE) - N266,2)</f>
        <v>0.88</v>
      </c>
      <c r="P266" s="63" t="s">
        <v>129</v>
      </c>
    </row>
    <row r="267" spans="1:16" x14ac:dyDescent="0.25">
      <c r="A267" s="7">
        <v>10</v>
      </c>
      <c r="B267" s="62" t="s">
        <v>185</v>
      </c>
      <c r="C267" s="63" t="s">
        <v>1</v>
      </c>
      <c r="D267" s="63" t="s">
        <v>135</v>
      </c>
      <c r="E267" s="63" t="s">
        <v>78</v>
      </c>
      <c r="F267" s="63" t="s">
        <v>127</v>
      </c>
      <c r="G267" s="63">
        <v>6</v>
      </c>
      <c r="H267" s="63" t="s">
        <v>133</v>
      </c>
      <c r="I267" s="63">
        <f>INDEX(Matériel!A:Z, MATCH(E267, Matériel!A:A, 0), MATCH(H267, INDEX(Matériel!A:Z, MATCH(E267, Matériel!A:A, 0), 0), 0) + 1)</f>
        <v>1</v>
      </c>
      <c r="J267" s="63">
        <f t="shared" si="25"/>
        <v>6</v>
      </c>
      <c r="K267" s="63">
        <f>VLOOKUP(H267,Manutention!A:E, 3, FALSE) * J267</f>
        <v>12</v>
      </c>
      <c r="L267" s="63" t="s">
        <v>165</v>
      </c>
      <c r="M267" s="63">
        <f>ROUNDUP(K267/VLOOKUP(L267,Camion!A:D, 3, FALSE),0)</f>
        <v>1</v>
      </c>
      <c r="N267" s="63">
        <f>INT(K267/VLOOKUP(L267,Camion!A:D, 3, FALSE))</f>
        <v>1</v>
      </c>
      <c r="O267" s="64">
        <f>ROUND(K267/VLOOKUP(L267,Camion!A:D, 3, FALSE) - N267,2)</f>
        <v>0</v>
      </c>
      <c r="P267" s="63" t="s">
        <v>129</v>
      </c>
    </row>
    <row r="268" spans="1:16" x14ac:dyDescent="0.25">
      <c r="A268" s="7">
        <v>10</v>
      </c>
      <c r="B268" s="62" t="s">
        <v>185</v>
      </c>
      <c r="C268" s="63" t="s">
        <v>1</v>
      </c>
      <c r="D268" s="63" t="s">
        <v>135</v>
      </c>
      <c r="E268" s="63" t="s">
        <v>79</v>
      </c>
      <c r="F268" s="63" t="s">
        <v>127</v>
      </c>
      <c r="G268" s="63">
        <v>4</v>
      </c>
      <c r="H268" s="63" t="s">
        <v>133</v>
      </c>
      <c r="I268" s="63">
        <f>INDEX(Matériel!A:Z, MATCH(E268, Matériel!A:A, 0), MATCH(H268, INDEX(Matériel!A:Z, MATCH(E268, Matériel!A:A, 0), 0), 0) + 1)</f>
        <v>1</v>
      </c>
      <c r="J268" s="63">
        <f t="shared" si="25"/>
        <v>4</v>
      </c>
      <c r="K268" s="63">
        <f>VLOOKUP(H268,Manutention!A:E, 3, FALSE) * J268</f>
        <v>8</v>
      </c>
      <c r="L268" s="63" t="s">
        <v>164</v>
      </c>
      <c r="M268" s="63">
        <f>ROUNDUP(K268/VLOOKUP(L268,Camion!A:D, 3, FALSE),0)</f>
        <v>1</v>
      </c>
      <c r="N268" s="63">
        <f>INT(K268/VLOOKUP(L268,Camion!A:D, 3, FALSE))</f>
        <v>0</v>
      </c>
      <c r="O268" s="64">
        <f>ROUND(K268/VLOOKUP(L268,Camion!A:D, 3, FALSE) - N268,2)</f>
        <v>0.89</v>
      </c>
      <c r="P268" s="63" t="s">
        <v>129</v>
      </c>
    </row>
    <row r="269" spans="1:16" x14ac:dyDescent="0.25">
      <c r="A269" s="7">
        <v>10</v>
      </c>
      <c r="B269" s="62" t="s">
        <v>185</v>
      </c>
      <c r="C269" s="63" t="s">
        <v>1</v>
      </c>
      <c r="D269" s="63" t="s">
        <v>128</v>
      </c>
      <c r="E269" s="63" t="s">
        <v>81</v>
      </c>
      <c r="F269" s="63" t="s">
        <v>127</v>
      </c>
      <c r="G269" s="63">
        <v>12</v>
      </c>
      <c r="H269" s="63" t="s">
        <v>131</v>
      </c>
      <c r="I269" s="63">
        <f>INDEX(Matériel!A:Z, MATCH(E269, Matériel!A:A, 0), MATCH(H269, INDEX(Matériel!A:Z, MATCH(E269, Matériel!A:A, 0), 0), 0) + 1)</f>
        <v>100</v>
      </c>
      <c r="J269" s="63">
        <f t="shared" si="25"/>
        <v>1</v>
      </c>
      <c r="K269" s="63">
        <f>VLOOKUP(H269,Manutention!A:E, 3, FALSE) * J269</f>
        <v>1</v>
      </c>
      <c r="L269" s="63" t="s">
        <v>164</v>
      </c>
      <c r="M269" s="63">
        <f>ROUNDUP(K269/VLOOKUP(L269,Camion!A:D, 3, FALSE),0)</f>
        <v>1</v>
      </c>
      <c r="N269" s="63">
        <f>INT(K269/VLOOKUP(L269,Camion!A:D, 3, FALSE))</f>
        <v>0</v>
      </c>
      <c r="O269" s="64">
        <f>ROUND(K269/VLOOKUP(L269,Camion!A:D, 3, FALSE) - N269,2)</f>
        <v>0.11</v>
      </c>
      <c r="P269" s="63" t="s">
        <v>130</v>
      </c>
    </row>
    <row r="270" spans="1:16" x14ac:dyDescent="0.25">
      <c r="A270" s="7">
        <v>10</v>
      </c>
      <c r="B270" s="5" t="s">
        <v>185</v>
      </c>
      <c r="C270" s="65"/>
      <c r="D270" s="65"/>
      <c r="E270" s="65" t="s">
        <v>187</v>
      </c>
      <c r="F270" s="65"/>
      <c r="G270" s="65"/>
      <c r="H270" s="65" t="s">
        <v>131</v>
      </c>
      <c r="I270" s="65"/>
      <c r="J270" s="65"/>
      <c r="K270" s="65">
        <f>SUMIFS(K:K, A:A, 10, B:B, "Z3 Z4", P:P, "Oui", D:D, "Production")</f>
        <v>1</v>
      </c>
      <c r="L270" s="65" t="s">
        <v>164</v>
      </c>
      <c r="M270" s="65">
        <f>ROUNDUP(K270/VLOOKUP(L270,Camion!A:D, 3, FALSE),0)</f>
        <v>1</v>
      </c>
      <c r="N270" s="65">
        <f>INT(K270/VLOOKUP(L270,Camion!A:D, 3, FALSE))</f>
        <v>0</v>
      </c>
      <c r="O270" s="66">
        <f>ROUND(K270/VLOOKUP(L270,Camion!A:D, 3, FALSE) - N270,2)</f>
        <v>0.11</v>
      </c>
      <c r="P270" s="65"/>
    </row>
    <row r="271" spans="1:16" x14ac:dyDescent="0.25">
      <c r="A271" s="7">
        <v>10</v>
      </c>
      <c r="B271" s="5" t="s">
        <v>185</v>
      </c>
      <c r="C271" s="65"/>
      <c r="D271" s="65"/>
      <c r="E271" s="65" t="s">
        <v>188</v>
      </c>
      <c r="F271" s="65"/>
      <c r="G271" s="65"/>
      <c r="H271" s="65" t="s">
        <v>131</v>
      </c>
      <c r="I271" s="65"/>
      <c r="J271" s="65"/>
      <c r="K271" s="65">
        <f>SUMIFS(K:K, A:A, 10, B:B, "Z3 Z4", P:P, "Oui", D:D, "Terminaux")</f>
        <v>37</v>
      </c>
      <c r="L271" s="65" t="s">
        <v>167</v>
      </c>
      <c r="M271" s="65">
        <f>ROUNDUP(K271/VLOOKUP(L271,Camion!A:D, 3, FALSE),0)</f>
        <v>2</v>
      </c>
      <c r="N271" s="65">
        <f>INT(K271/VLOOKUP(L271,Camion!A:D, 3, FALSE))</f>
        <v>1</v>
      </c>
      <c r="O271" s="66">
        <f>ROUND(K271/VLOOKUP(L271,Camion!A:D, 3, FALSE) - N271,2)</f>
        <v>0.85</v>
      </c>
      <c r="P271" s="65"/>
    </row>
    <row r="272" spans="1:16" x14ac:dyDescent="0.25">
      <c r="A272" s="7">
        <v>11</v>
      </c>
      <c r="B272" s="62" t="s">
        <v>184</v>
      </c>
      <c r="C272" s="63" t="s">
        <v>1</v>
      </c>
      <c r="D272" s="63" t="s">
        <v>128</v>
      </c>
      <c r="E272" s="63" t="s">
        <v>71</v>
      </c>
      <c r="F272" s="63" t="s">
        <v>138</v>
      </c>
      <c r="G272" s="63">
        <v>425</v>
      </c>
      <c r="H272" s="63" t="s">
        <v>139</v>
      </c>
      <c r="I272" s="63">
        <f>INDEX(Matériel!A:Z, MATCH(E272, Matériel!A:A, 0), MATCH(H272, INDEX(Matériel!A:Z, MATCH(E272, Matériel!A:A, 0), 0), 0) + 1)</f>
        <v>150</v>
      </c>
      <c r="J272" s="63">
        <f t="shared" ref="J272:J279" si="26">ROUNDUP(G272 / I272, 0)</f>
        <v>3</v>
      </c>
      <c r="K272" s="63">
        <f>VLOOKUP(H272,Manutention!A:E, 3, FALSE) * J272</f>
        <v>9</v>
      </c>
      <c r="L272" s="63" t="s">
        <v>164</v>
      </c>
      <c r="M272" s="63">
        <f>ROUNDUP(K272/VLOOKUP(L272,Camion!A:D, 3, FALSE),0)</f>
        <v>1</v>
      </c>
      <c r="N272" s="63">
        <f>INT(K272/VLOOKUP(L272,Camion!A:D, 3, FALSE))</f>
        <v>1</v>
      </c>
      <c r="O272" s="64">
        <f>ROUND(K272/VLOOKUP(L272,Camion!A:D, 3, FALSE) - N272,2)</f>
        <v>0</v>
      </c>
      <c r="P272" s="63" t="s">
        <v>130</v>
      </c>
    </row>
    <row r="273" spans="1:16" x14ac:dyDescent="0.25">
      <c r="A273" s="7">
        <v>11</v>
      </c>
      <c r="B273" s="62" t="s">
        <v>184</v>
      </c>
      <c r="C273" s="63" t="s">
        <v>1</v>
      </c>
      <c r="D273" s="63" t="s">
        <v>135</v>
      </c>
      <c r="E273" s="63" t="s">
        <v>72</v>
      </c>
      <c r="F273" s="63" t="s">
        <v>138</v>
      </c>
      <c r="G273" s="63">
        <v>1301</v>
      </c>
      <c r="H273" s="63" t="s">
        <v>143</v>
      </c>
      <c r="I273" s="63">
        <f>INDEX(Matériel!A:Z, MATCH(E273, Matériel!A:A, 0), MATCH(H273, INDEX(Matériel!A:Z, MATCH(E273, Matériel!A:A, 0), 0), 0) + 1)</f>
        <v>1000</v>
      </c>
      <c r="J273" s="63">
        <f t="shared" si="26"/>
        <v>2</v>
      </c>
      <c r="K273" s="63">
        <f>VLOOKUP(H273,Manutention!A:E, 3, FALSE) * J273</f>
        <v>2</v>
      </c>
      <c r="L273" s="63" t="s">
        <v>164</v>
      </c>
      <c r="M273" s="63">
        <f>ROUNDUP(K273/VLOOKUP(L273,Camion!A:D, 3, FALSE),0)</f>
        <v>1</v>
      </c>
      <c r="N273" s="63">
        <f>INT(K273/VLOOKUP(L273,Camion!A:D, 3, FALSE))</f>
        <v>0</v>
      </c>
      <c r="O273" s="64">
        <f>ROUND(K273/VLOOKUP(L273,Camion!A:D, 3, FALSE) - N273,2)</f>
        <v>0.22</v>
      </c>
      <c r="P273" s="63" t="s">
        <v>130</v>
      </c>
    </row>
    <row r="274" spans="1:16" x14ac:dyDescent="0.25">
      <c r="A274" s="7">
        <v>11</v>
      </c>
      <c r="B274" s="62" t="s">
        <v>184</v>
      </c>
      <c r="C274" s="63" t="s">
        <v>1</v>
      </c>
      <c r="D274" s="63" t="s">
        <v>135</v>
      </c>
      <c r="E274" s="63" t="s">
        <v>75</v>
      </c>
      <c r="F274" s="63" t="s">
        <v>127</v>
      </c>
      <c r="G274" s="63">
        <v>67</v>
      </c>
      <c r="H274" s="63" t="s">
        <v>136</v>
      </c>
      <c r="I274" s="63">
        <f>INDEX(Matériel!A:Z, MATCH(E274, Matériel!A:A, 0), MATCH(H274, INDEX(Matériel!A:Z, MATCH(E274, Matériel!A:A, 0), 0), 0) + 1)</f>
        <v>60</v>
      </c>
      <c r="J274" s="63">
        <f t="shared" si="26"/>
        <v>2</v>
      </c>
      <c r="K274" s="63">
        <f>VLOOKUP(H274,Manutention!A:E, 3, FALSE) * J274</f>
        <v>2</v>
      </c>
      <c r="L274" s="63" t="s">
        <v>164</v>
      </c>
      <c r="M274" s="63">
        <f>ROUNDUP(K274/VLOOKUP(L274,Camion!A:D, 3, FALSE),0)</f>
        <v>1</v>
      </c>
      <c r="N274" s="63">
        <f>INT(K274/VLOOKUP(L274,Camion!A:D, 3, FALSE))</f>
        <v>0</v>
      </c>
      <c r="O274" s="64">
        <f>ROUND(K274/VLOOKUP(L274,Camion!A:D, 3, FALSE) - N274,2)</f>
        <v>0.22</v>
      </c>
      <c r="P274" s="63" t="s">
        <v>129</v>
      </c>
    </row>
    <row r="275" spans="1:16" x14ac:dyDescent="0.25">
      <c r="A275" s="7">
        <v>11</v>
      </c>
      <c r="B275" s="62" t="s">
        <v>184</v>
      </c>
      <c r="C275" s="63" t="s">
        <v>1</v>
      </c>
      <c r="D275" s="63" t="s">
        <v>128</v>
      </c>
      <c r="E275" s="63" t="s">
        <v>76</v>
      </c>
      <c r="F275" s="63" t="s">
        <v>127</v>
      </c>
      <c r="G275" s="63">
        <v>33</v>
      </c>
      <c r="H275" s="63" t="s">
        <v>131</v>
      </c>
      <c r="I275" s="63">
        <f>INDEX(Matériel!A:Z, MATCH(E275, Matériel!A:A, 0), MATCH(H275, INDEX(Matériel!A:Z, MATCH(E275, Matériel!A:A, 0), 0), 0) + 1)</f>
        <v>100</v>
      </c>
      <c r="J275" s="63">
        <f t="shared" si="26"/>
        <v>1</v>
      </c>
      <c r="K275" s="63">
        <f>VLOOKUP(H275,Manutention!A:E, 3, FALSE) * J275</f>
        <v>1</v>
      </c>
      <c r="L275" s="63" t="s">
        <v>164</v>
      </c>
      <c r="M275" s="63">
        <f>ROUNDUP(K275/VLOOKUP(L275,Camion!A:D, 3, FALSE),0)</f>
        <v>1</v>
      </c>
      <c r="N275" s="63">
        <f>INT(K275/VLOOKUP(L275,Camion!A:D, 3, FALSE))</f>
        <v>0</v>
      </c>
      <c r="O275" s="64">
        <f>ROUND(K275/VLOOKUP(L275,Camion!A:D, 3, FALSE) - N275,2)</f>
        <v>0.11</v>
      </c>
      <c r="P275" s="63" t="s">
        <v>129</v>
      </c>
    </row>
    <row r="276" spans="1:16" x14ac:dyDescent="0.25">
      <c r="A276" s="7">
        <v>11</v>
      </c>
      <c r="B276" s="62" t="s">
        <v>184</v>
      </c>
      <c r="C276" s="63" t="s">
        <v>1</v>
      </c>
      <c r="D276" s="63" t="s">
        <v>135</v>
      </c>
      <c r="E276" s="63" t="s">
        <v>77</v>
      </c>
      <c r="F276" s="63" t="s">
        <v>127</v>
      </c>
      <c r="G276" s="63">
        <v>278</v>
      </c>
      <c r="H276" s="63" t="s">
        <v>131</v>
      </c>
      <c r="I276" s="63">
        <f>INDEX(Matériel!A:Z, MATCH(E276, Matériel!A:A, 0), MATCH(H276, INDEX(Matériel!A:Z, MATCH(E276, Matériel!A:A, 0), 0), 0) + 1)</f>
        <v>20</v>
      </c>
      <c r="J276" s="63">
        <f t="shared" si="26"/>
        <v>14</v>
      </c>
      <c r="K276" s="63">
        <f>VLOOKUP(H276,Manutention!A:E, 3, FALSE) * J276</f>
        <v>14</v>
      </c>
      <c r="L276" s="63" t="s">
        <v>166</v>
      </c>
      <c r="M276" s="63">
        <f>ROUNDUP(K276/VLOOKUP(L276,Camion!A:D, 3, FALSE),0)</f>
        <v>1</v>
      </c>
      <c r="N276" s="63">
        <f>INT(K276/VLOOKUP(L276,Camion!A:D, 3, FALSE))</f>
        <v>0</v>
      </c>
      <c r="O276" s="64">
        <f>ROUND(K276/VLOOKUP(L276,Camion!A:D, 3, FALSE) - N276,2)</f>
        <v>0.82</v>
      </c>
      <c r="P276" s="63" t="s">
        <v>129</v>
      </c>
    </row>
    <row r="277" spans="1:16" x14ac:dyDescent="0.25">
      <c r="A277" s="7">
        <v>11</v>
      </c>
      <c r="B277" s="62" t="s">
        <v>184</v>
      </c>
      <c r="C277" s="63" t="s">
        <v>1</v>
      </c>
      <c r="D277" s="63" t="s">
        <v>135</v>
      </c>
      <c r="E277" s="63" t="s">
        <v>78</v>
      </c>
      <c r="F277" s="63" t="s">
        <v>127</v>
      </c>
      <c r="G277" s="63">
        <v>6</v>
      </c>
      <c r="H277" s="63" t="s">
        <v>133</v>
      </c>
      <c r="I277" s="63">
        <f>INDEX(Matériel!A:Z, MATCH(E277, Matériel!A:A, 0), MATCH(H277, INDEX(Matériel!A:Z, MATCH(E277, Matériel!A:A, 0), 0), 0) + 1)</f>
        <v>1</v>
      </c>
      <c r="J277" s="63">
        <f t="shared" si="26"/>
        <v>6</v>
      </c>
      <c r="K277" s="63">
        <f>VLOOKUP(H277,Manutention!A:E, 3, FALSE) * J277</f>
        <v>12</v>
      </c>
      <c r="L277" s="63" t="s">
        <v>165</v>
      </c>
      <c r="M277" s="63">
        <f>ROUNDUP(K277/VLOOKUP(L277,Camion!A:D, 3, FALSE),0)</f>
        <v>1</v>
      </c>
      <c r="N277" s="63">
        <f>INT(K277/VLOOKUP(L277,Camion!A:D, 3, FALSE))</f>
        <v>1</v>
      </c>
      <c r="O277" s="64">
        <f>ROUND(K277/VLOOKUP(L277,Camion!A:D, 3, FALSE) - N277,2)</f>
        <v>0</v>
      </c>
      <c r="P277" s="63" t="s">
        <v>129</v>
      </c>
    </row>
    <row r="278" spans="1:16" x14ac:dyDescent="0.25">
      <c r="A278" s="7">
        <v>11</v>
      </c>
      <c r="B278" s="62" t="s">
        <v>184</v>
      </c>
      <c r="C278" s="63" t="s">
        <v>1</v>
      </c>
      <c r="D278" s="63" t="s">
        <v>135</v>
      </c>
      <c r="E278" s="63" t="s">
        <v>79</v>
      </c>
      <c r="F278" s="63" t="s">
        <v>127</v>
      </c>
      <c r="G278" s="63">
        <v>4</v>
      </c>
      <c r="H278" s="63" t="s">
        <v>133</v>
      </c>
      <c r="I278" s="63">
        <f>INDEX(Matériel!A:Z, MATCH(E278, Matériel!A:A, 0), MATCH(H278, INDEX(Matériel!A:Z, MATCH(E278, Matériel!A:A, 0), 0), 0) + 1)</f>
        <v>1</v>
      </c>
      <c r="J278" s="63">
        <f t="shared" si="26"/>
        <v>4</v>
      </c>
      <c r="K278" s="63">
        <f>VLOOKUP(H278,Manutention!A:E, 3, FALSE) * J278</f>
        <v>8</v>
      </c>
      <c r="L278" s="63" t="s">
        <v>164</v>
      </c>
      <c r="M278" s="63">
        <f>ROUNDUP(K278/VLOOKUP(L278,Camion!A:D, 3, FALSE),0)</f>
        <v>1</v>
      </c>
      <c r="N278" s="63">
        <f>INT(K278/VLOOKUP(L278,Camion!A:D, 3, FALSE))</f>
        <v>0</v>
      </c>
      <c r="O278" s="64">
        <f>ROUND(K278/VLOOKUP(L278,Camion!A:D, 3, FALSE) - N278,2)</f>
        <v>0.89</v>
      </c>
      <c r="P278" s="63" t="s">
        <v>129</v>
      </c>
    </row>
    <row r="279" spans="1:16" x14ac:dyDescent="0.25">
      <c r="A279" s="7">
        <v>11</v>
      </c>
      <c r="B279" s="62" t="s">
        <v>184</v>
      </c>
      <c r="C279" s="63" t="s">
        <v>1</v>
      </c>
      <c r="D279" s="63" t="s">
        <v>128</v>
      </c>
      <c r="E279" s="63" t="s">
        <v>81</v>
      </c>
      <c r="F279" s="63" t="s">
        <v>127</v>
      </c>
      <c r="G279" s="63">
        <v>12</v>
      </c>
      <c r="H279" s="63" t="s">
        <v>131</v>
      </c>
      <c r="I279" s="63">
        <f>INDEX(Matériel!A:Z, MATCH(E279, Matériel!A:A, 0), MATCH(H279, INDEX(Matériel!A:Z, MATCH(E279, Matériel!A:A, 0), 0), 0) + 1)</f>
        <v>100</v>
      </c>
      <c r="J279" s="63">
        <f t="shared" si="26"/>
        <v>1</v>
      </c>
      <c r="K279" s="63">
        <f>VLOOKUP(H279,Manutention!A:E, 3, FALSE) * J279</f>
        <v>1</v>
      </c>
      <c r="L279" s="63" t="s">
        <v>164</v>
      </c>
      <c r="M279" s="63">
        <f>ROUNDUP(K279/VLOOKUP(L279,Camion!A:D, 3, FALSE),0)</f>
        <v>1</v>
      </c>
      <c r="N279" s="63">
        <f>INT(K279/VLOOKUP(L279,Camion!A:D, 3, FALSE))</f>
        <v>0</v>
      </c>
      <c r="O279" s="64">
        <f>ROUND(K279/VLOOKUP(L279,Camion!A:D, 3, FALSE) - N279,2)</f>
        <v>0.11</v>
      </c>
      <c r="P279" s="63" t="s">
        <v>130</v>
      </c>
    </row>
    <row r="280" spans="1:16" x14ac:dyDescent="0.25">
      <c r="A280" s="7">
        <v>11</v>
      </c>
      <c r="B280" s="5" t="s">
        <v>184</v>
      </c>
      <c r="C280" s="65"/>
      <c r="D280" s="65"/>
      <c r="E280" s="65" t="s">
        <v>187</v>
      </c>
      <c r="F280" s="65"/>
      <c r="G280" s="65"/>
      <c r="H280" s="65" t="s">
        <v>131</v>
      </c>
      <c r="I280" s="65"/>
      <c r="J280" s="65"/>
      <c r="K280" s="65">
        <f>SUMIFS(K:K, A:A, 11, B:B, "Z1 Z2", P:P, "Oui", D:D, "Production")</f>
        <v>1</v>
      </c>
      <c r="L280" s="65" t="s">
        <v>164</v>
      </c>
      <c r="M280" s="65">
        <f>ROUNDUP(K280/VLOOKUP(L280,Camion!A:D, 3, FALSE),0)</f>
        <v>1</v>
      </c>
      <c r="N280" s="65">
        <f>INT(K280/VLOOKUP(L280,Camion!A:D, 3, FALSE))</f>
        <v>0</v>
      </c>
      <c r="O280" s="66">
        <f>ROUND(K280/VLOOKUP(L280,Camion!A:D, 3, FALSE) - N280,2)</f>
        <v>0.11</v>
      </c>
      <c r="P280" s="65"/>
    </row>
    <row r="281" spans="1:16" x14ac:dyDescent="0.25">
      <c r="A281" s="7">
        <v>11</v>
      </c>
      <c r="B281" s="5" t="s">
        <v>184</v>
      </c>
      <c r="C281" s="65"/>
      <c r="D281" s="65"/>
      <c r="E281" s="65" t="s">
        <v>188</v>
      </c>
      <c r="F281" s="65"/>
      <c r="G281" s="65"/>
      <c r="H281" s="65" t="s">
        <v>131</v>
      </c>
      <c r="I281" s="65"/>
      <c r="J281" s="65"/>
      <c r="K281" s="65">
        <f>SUMIFS(K:K, A:A, 11, B:B, "Z1 Z2", P:P, "Oui", D:D, "Terminaux")</f>
        <v>36</v>
      </c>
      <c r="L281" s="65" t="s">
        <v>167</v>
      </c>
      <c r="M281" s="65">
        <f>ROUNDUP(K281/VLOOKUP(L281,Camion!A:D, 3, FALSE),0)</f>
        <v>2</v>
      </c>
      <c r="N281" s="65">
        <f>INT(K281/VLOOKUP(L281,Camion!A:D, 3, FALSE))</f>
        <v>1</v>
      </c>
      <c r="O281" s="66">
        <f>ROUND(K281/VLOOKUP(L281,Camion!A:D, 3, FALSE) - N281,2)</f>
        <v>0.8</v>
      </c>
      <c r="P281" s="65"/>
    </row>
    <row r="282" spans="1:16" x14ac:dyDescent="0.25">
      <c r="A282" s="7">
        <v>11</v>
      </c>
      <c r="B282" s="62" t="s">
        <v>185</v>
      </c>
      <c r="C282" s="63" t="s">
        <v>1</v>
      </c>
      <c r="D282" s="63" t="s">
        <v>128</v>
      </c>
      <c r="E282" s="63" t="s">
        <v>71</v>
      </c>
      <c r="F282" s="63" t="s">
        <v>138</v>
      </c>
      <c r="G282" s="63">
        <v>419</v>
      </c>
      <c r="H282" s="63" t="s">
        <v>139</v>
      </c>
      <c r="I282" s="63">
        <f>INDEX(Matériel!A:Z, MATCH(E282, Matériel!A:A, 0), MATCH(H282, INDEX(Matériel!A:Z, MATCH(E282, Matériel!A:A, 0), 0), 0) + 1)</f>
        <v>150</v>
      </c>
      <c r="J282" s="63">
        <f t="shared" ref="J282:J289" si="27">ROUNDUP(G282 / I282, 0)</f>
        <v>3</v>
      </c>
      <c r="K282" s="63">
        <f>VLOOKUP(H282,Manutention!A:E, 3, FALSE) * J282</f>
        <v>9</v>
      </c>
      <c r="L282" s="63" t="s">
        <v>164</v>
      </c>
      <c r="M282" s="63">
        <f>ROUNDUP(K282/VLOOKUP(L282,Camion!A:D, 3, FALSE),0)</f>
        <v>1</v>
      </c>
      <c r="N282" s="63">
        <f>INT(K282/VLOOKUP(L282,Camion!A:D, 3, FALSE))</f>
        <v>1</v>
      </c>
      <c r="O282" s="64">
        <f>ROUND(K282/VLOOKUP(L282,Camion!A:D, 3, FALSE) - N282,2)</f>
        <v>0</v>
      </c>
      <c r="P282" s="63" t="s">
        <v>130</v>
      </c>
    </row>
    <row r="283" spans="1:16" x14ac:dyDescent="0.25">
      <c r="A283" s="7">
        <v>11</v>
      </c>
      <c r="B283" s="62" t="s">
        <v>185</v>
      </c>
      <c r="C283" s="63" t="s">
        <v>1</v>
      </c>
      <c r="D283" s="63" t="s">
        <v>135</v>
      </c>
      <c r="E283" s="63" t="s">
        <v>72</v>
      </c>
      <c r="F283" s="63" t="s">
        <v>138</v>
      </c>
      <c r="G283" s="63">
        <v>1281</v>
      </c>
      <c r="H283" s="63" t="s">
        <v>143</v>
      </c>
      <c r="I283" s="63">
        <f>INDEX(Matériel!A:Z, MATCH(E283, Matériel!A:A, 0), MATCH(H283, INDEX(Matériel!A:Z, MATCH(E283, Matériel!A:A, 0), 0), 0) + 1)</f>
        <v>1000</v>
      </c>
      <c r="J283" s="63">
        <f t="shared" si="27"/>
        <v>2</v>
      </c>
      <c r="K283" s="63">
        <f>VLOOKUP(H283,Manutention!A:E, 3, FALSE) * J283</f>
        <v>2</v>
      </c>
      <c r="L283" s="63" t="s">
        <v>164</v>
      </c>
      <c r="M283" s="63">
        <f>ROUNDUP(K283/VLOOKUP(L283,Camion!A:D, 3, FALSE),0)</f>
        <v>1</v>
      </c>
      <c r="N283" s="63">
        <f>INT(K283/VLOOKUP(L283,Camion!A:D, 3, FALSE))</f>
        <v>0</v>
      </c>
      <c r="O283" s="64">
        <f>ROUND(K283/VLOOKUP(L283,Camion!A:D, 3, FALSE) - N283,2)</f>
        <v>0.22</v>
      </c>
      <c r="P283" s="63" t="s">
        <v>130</v>
      </c>
    </row>
    <row r="284" spans="1:16" x14ac:dyDescent="0.25">
      <c r="A284" s="7">
        <v>11</v>
      </c>
      <c r="B284" s="62" t="s">
        <v>185</v>
      </c>
      <c r="C284" s="63" t="s">
        <v>1</v>
      </c>
      <c r="D284" s="63" t="s">
        <v>135</v>
      </c>
      <c r="E284" s="63" t="s">
        <v>75</v>
      </c>
      <c r="F284" s="63" t="s">
        <v>127</v>
      </c>
      <c r="G284" s="63">
        <v>66</v>
      </c>
      <c r="H284" s="63" t="s">
        <v>136</v>
      </c>
      <c r="I284" s="63">
        <f>INDEX(Matériel!A:Z, MATCH(E284, Matériel!A:A, 0), MATCH(H284, INDEX(Matériel!A:Z, MATCH(E284, Matériel!A:A, 0), 0), 0) + 1)</f>
        <v>60</v>
      </c>
      <c r="J284" s="63">
        <f t="shared" si="27"/>
        <v>2</v>
      </c>
      <c r="K284" s="63">
        <f>VLOOKUP(H284,Manutention!A:E, 3, FALSE) * J284</f>
        <v>2</v>
      </c>
      <c r="L284" s="63" t="s">
        <v>164</v>
      </c>
      <c r="M284" s="63">
        <f>ROUNDUP(K284/VLOOKUP(L284,Camion!A:D, 3, FALSE),0)</f>
        <v>1</v>
      </c>
      <c r="N284" s="63">
        <f>INT(K284/VLOOKUP(L284,Camion!A:D, 3, FALSE))</f>
        <v>0</v>
      </c>
      <c r="O284" s="64">
        <f>ROUND(K284/VLOOKUP(L284,Camion!A:D, 3, FALSE) - N284,2)</f>
        <v>0.22</v>
      </c>
      <c r="P284" s="63" t="s">
        <v>129</v>
      </c>
    </row>
    <row r="285" spans="1:16" x14ac:dyDescent="0.25">
      <c r="A285" s="7">
        <v>11</v>
      </c>
      <c r="B285" s="62" t="s">
        <v>185</v>
      </c>
      <c r="C285" s="63" t="s">
        <v>1</v>
      </c>
      <c r="D285" s="63" t="s">
        <v>128</v>
      </c>
      <c r="E285" s="63" t="s">
        <v>76</v>
      </c>
      <c r="F285" s="63" t="s">
        <v>127</v>
      </c>
      <c r="G285" s="63">
        <v>33</v>
      </c>
      <c r="H285" s="63" t="s">
        <v>131</v>
      </c>
      <c r="I285" s="63">
        <f>INDEX(Matériel!A:Z, MATCH(E285, Matériel!A:A, 0), MATCH(H285, INDEX(Matériel!A:Z, MATCH(E285, Matériel!A:A, 0), 0), 0) + 1)</f>
        <v>100</v>
      </c>
      <c r="J285" s="63">
        <f t="shared" si="27"/>
        <v>1</v>
      </c>
      <c r="K285" s="63">
        <f>VLOOKUP(H285,Manutention!A:E, 3, FALSE) * J285</f>
        <v>1</v>
      </c>
      <c r="L285" s="63" t="s">
        <v>164</v>
      </c>
      <c r="M285" s="63">
        <f>ROUNDUP(K285/VLOOKUP(L285,Camion!A:D, 3, FALSE),0)</f>
        <v>1</v>
      </c>
      <c r="N285" s="63">
        <f>INT(K285/VLOOKUP(L285,Camion!A:D, 3, FALSE))</f>
        <v>0</v>
      </c>
      <c r="O285" s="64">
        <f>ROUND(K285/VLOOKUP(L285,Camion!A:D, 3, FALSE) - N285,2)</f>
        <v>0.11</v>
      </c>
      <c r="P285" s="63" t="s">
        <v>129</v>
      </c>
    </row>
    <row r="286" spans="1:16" x14ac:dyDescent="0.25">
      <c r="A286" s="7">
        <v>11</v>
      </c>
      <c r="B286" s="62" t="s">
        <v>185</v>
      </c>
      <c r="C286" s="63" t="s">
        <v>1</v>
      </c>
      <c r="D286" s="63" t="s">
        <v>135</v>
      </c>
      <c r="E286" s="63" t="s">
        <v>77</v>
      </c>
      <c r="F286" s="63" t="s">
        <v>127</v>
      </c>
      <c r="G286" s="63">
        <v>274</v>
      </c>
      <c r="H286" s="63" t="s">
        <v>131</v>
      </c>
      <c r="I286" s="63">
        <f>INDEX(Matériel!A:Z, MATCH(E286, Matériel!A:A, 0), MATCH(H286, INDEX(Matériel!A:Z, MATCH(E286, Matériel!A:A, 0), 0), 0) + 1)</f>
        <v>20</v>
      </c>
      <c r="J286" s="63">
        <f t="shared" si="27"/>
        <v>14</v>
      </c>
      <c r="K286" s="63">
        <f>VLOOKUP(H286,Manutention!A:E, 3, FALSE) * J286</f>
        <v>14</v>
      </c>
      <c r="L286" s="63" t="s">
        <v>166</v>
      </c>
      <c r="M286" s="63">
        <f>ROUNDUP(K286/VLOOKUP(L286,Camion!A:D, 3, FALSE),0)</f>
        <v>1</v>
      </c>
      <c r="N286" s="63">
        <f>INT(K286/VLOOKUP(L286,Camion!A:D, 3, FALSE))</f>
        <v>0</v>
      </c>
      <c r="O286" s="64">
        <f>ROUND(K286/VLOOKUP(L286,Camion!A:D, 3, FALSE) - N286,2)</f>
        <v>0.82</v>
      </c>
      <c r="P286" s="63" t="s">
        <v>129</v>
      </c>
    </row>
    <row r="287" spans="1:16" x14ac:dyDescent="0.25">
      <c r="A287" s="7">
        <v>11</v>
      </c>
      <c r="B287" s="62" t="s">
        <v>185</v>
      </c>
      <c r="C287" s="63" t="s">
        <v>1</v>
      </c>
      <c r="D287" s="63" t="s">
        <v>135</v>
      </c>
      <c r="E287" s="63" t="s">
        <v>78</v>
      </c>
      <c r="F287" s="63" t="s">
        <v>127</v>
      </c>
      <c r="G287" s="63">
        <v>5</v>
      </c>
      <c r="H287" s="63" t="s">
        <v>133</v>
      </c>
      <c r="I287" s="63">
        <f>INDEX(Matériel!A:Z, MATCH(E287, Matériel!A:A, 0), MATCH(H287, INDEX(Matériel!A:Z, MATCH(E287, Matériel!A:A, 0), 0), 0) + 1)</f>
        <v>1</v>
      </c>
      <c r="J287" s="63">
        <f t="shared" si="27"/>
        <v>5</v>
      </c>
      <c r="K287" s="63">
        <f>VLOOKUP(H287,Manutention!A:E, 3, FALSE) * J287</f>
        <v>10</v>
      </c>
      <c r="L287" s="63" t="s">
        <v>165</v>
      </c>
      <c r="M287" s="63">
        <f>ROUNDUP(K287/VLOOKUP(L287,Camion!A:D, 3, FALSE),0)</f>
        <v>1</v>
      </c>
      <c r="N287" s="63">
        <f>INT(K287/VLOOKUP(L287,Camion!A:D, 3, FALSE))</f>
        <v>0</v>
      </c>
      <c r="O287" s="64">
        <f>ROUND(K287/VLOOKUP(L287,Camion!A:D, 3, FALSE) - N287,2)</f>
        <v>0.83</v>
      </c>
      <c r="P287" s="63" t="s">
        <v>129</v>
      </c>
    </row>
    <row r="288" spans="1:16" x14ac:dyDescent="0.25">
      <c r="A288" s="7">
        <v>11</v>
      </c>
      <c r="B288" s="62" t="s">
        <v>185</v>
      </c>
      <c r="C288" s="63" t="s">
        <v>1</v>
      </c>
      <c r="D288" s="63" t="s">
        <v>135</v>
      </c>
      <c r="E288" s="63" t="s">
        <v>79</v>
      </c>
      <c r="F288" s="63" t="s">
        <v>127</v>
      </c>
      <c r="G288" s="63">
        <v>4</v>
      </c>
      <c r="H288" s="63" t="s">
        <v>133</v>
      </c>
      <c r="I288" s="63">
        <f>INDEX(Matériel!A:Z, MATCH(E288, Matériel!A:A, 0), MATCH(H288, INDEX(Matériel!A:Z, MATCH(E288, Matériel!A:A, 0), 0), 0) + 1)</f>
        <v>1</v>
      </c>
      <c r="J288" s="63">
        <f t="shared" si="27"/>
        <v>4</v>
      </c>
      <c r="K288" s="63">
        <f>VLOOKUP(H288,Manutention!A:E, 3, FALSE) * J288</f>
        <v>8</v>
      </c>
      <c r="L288" s="63" t="s">
        <v>164</v>
      </c>
      <c r="M288" s="63">
        <f>ROUNDUP(K288/VLOOKUP(L288,Camion!A:D, 3, FALSE),0)</f>
        <v>1</v>
      </c>
      <c r="N288" s="63">
        <f>INT(K288/VLOOKUP(L288,Camion!A:D, 3, FALSE))</f>
        <v>0</v>
      </c>
      <c r="O288" s="64">
        <f>ROUND(K288/VLOOKUP(L288,Camion!A:D, 3, FALSE) - N288,2)</f>
        <v>0.89</v>
      </c>
      <c r="P288" s="63" t="s">
        <v>129</v>
      </c>
    </row>
    <row r="289" spans="1:16" x14ac:dyDescent="0.25">
      <c r="A289" s="7">
        <v>11</v>
      </c>
      <c r="B289" s="62" t="s">
        <v>185</v>
      </c>
      <c r="C289" s="63" t="s">
        <v>1</v>
      </c>
      <c r="D289" s="63" t="s">
        <v>128</v>
      </c>
      <c r="E289" s="63" t="s">
        <v>81</v>
      </c>
      <c r="F289" s="63" t="s">
        <v>127</v>
      </c>
      <c r="G289" s="63">
        <v>12</v>
      </c>
      <c r="H289" s="63" t="s">
        <v>131</v>
      </c>
      <c r="I289" s="63">
        <f>INDEX(Matériel!A:Z, MATCH(E289, Matériel!A:A, 0), MATCH(H289, INDEX(Matériel!A:Z, MATCH(E289, Matériel!A:A, 0), 0), 0) + 1)</f>
        <v>100</v>
      </c>
      <c r="J289" s="63">
        <f t="shared" si="27"/>
        <v>1</v>
      </c>
      <c r="K289" s="63">
        <f>VLOOKUP(H289,Manutention!A:E, 3, FALSE) * J289</f>
        <v>1</v>
      </c>
      <c r="L289" s="63" t="s">
        <v>164</v>
      </c>
      <c r="M289" s="63">
        <f>ROUNDUP(K289/VLOOKUP(L289,Camion!A:D, 3, FALSE),0)</f>
        <v>1</v>
      </c>
      <c r="N289" s="63">
        <f>INT(K289/VLOOKUP(L289,Camion!A:D, 3, FALSE))</f>
        <v>0</v>
      </c>
      <c r="O289" s="64">
        <f>ROUND(K289/VLOOKUP(L289,Camion!A:D, 3, FALSE) - N289,2)</f>
        <v>0.11</v>
      </c>
      <c r="P289" s="63" t="s">
        <v>130</v>
      </c>
    </row>
    <row r="290" spans="1:16" x14ac:dyDescent="0.25">
      <c r="A290" s="7">
        <v>11</v>
      </c>
      <c r="B290" s="5" t="s">
        <v>185</v>
      </c>
      <c r="C290" s="65"/>
      <c r="D290" s="65"/>
      <c r="E290" s="65" t="s">
        <v>187</v>
      </c>
      <c r="F290" s="65"/>
      <c r="G290" s="65"/>
      <c r="H290" s="65" t="s">
        <v>131</v>
      </c>
      <c r="I290" s="65"/>
      <c r="J290" s="65"/>
      <c r="K290" s="65">
        <f>SUMIFS(K:K, A:A, 11, B:B, "Z3 Z4", P:P, "Oui", D:D, "Production")</f>
        <v>1</v>
      </c>
      <c r="L290" s="65" t="s">
        <v>164</v>
      </c>
      <c r="M290" s="65">
        <f>ROUNDUP(K290/VLOOKUP(L290,Camion!A:D, 3, FALSE),0)</f>
        <v>1</v>
      </c>
      <c r="N290" s="65">
        <f>INT(K290/VLOOKUP(L290,Camion!A:D, 3, FALSE))</f>
        <v>0</v>
      </c>
      <c r="O290" s="66">
        <f>ROUND(K290/VLOOKUP(L290,Camion!A:D, 3, FALSE) - N290,2)</f>
        <v>0.11</v>
      </c>
      <c r="P290" s="65"/>
    </row>
    <row r="291" spans="1:16" x14ac:dyDescent="0.25">
      <c r="A291" s="7">
        <v>11</v>
      </c>
      <c r="B291" s="5" t="s">
        <v>185</v>
      </c>
      <c r="C291" s="65"/>
      <c r="D291" s="65"/>
      <c r="E291" s="65" t="s">
        <v>188</v>
      </c>
      <c r="F291" s="65"/>
      <c r="G291" s="65"/>
      <c r="H291" s="65" t="s">
        <v>131</v>
      </c>
      <c r="I291" s="65"/>
      <c r="J291" s="65"/>
      <c r="K291" s="65">
        <f>SUMIFS(K:K, A:A, 11, B:B, "Z3 Z4", P:P, "Oui", D:D, "Terminaux")</f>
        <v>34</v>
      </c>
      <c r="L291" s="65" t="s">
        <v>168</v>
      </c>
      <c r="M291" s="65">
        <f>ROUNDUP(K291/VLOOKUP(L291,Camion!A:D, 3, FALSE),0)</f>
        <v>1</v>
      </c>
      <c r="N291" s="65">
        <f>INT(K291/VLOOKUP(L291,Camion!A:D, 3, FALSE))</f>
        <v>1</v>
      </c>
      <c r="O291" s="66">
        <f>ROUND(K291/VLOOKUP(L291,Camion!A:D, 3, FALSE) - N291,2)</f>
        <v>0</v>
      </c>
      <c r="P291" s="65"/>
    </row>
    <row r="292" spans="1:16" x14ac:dyDescent="0.25">
      <c r="A292" s="7">
        <v>12</v>
      </c>
      <c r="B292" s="62" t="s">
        <v>184</v>
      </c>
      <c r="C292" s="63" t="s">
        <v>1</v>
      </c>
      <c r="D292" s="63" t="s">
        <v>128</v>
      </c>
      <c r="E292" s="63" t="s">
        <v>71</v>
      </c>
      <c r="F292" s="63" t="s">
        <v>138</v>
      </c>
      <c r="G292" s="63">
        <v>412</v>
      </c>
      <c r="H292" s="63" t="s">
        <v>139</v>
      </c>
      <c r="I292" s="63">
        <f>INDEX(Matériel!A:Z, MATCH(E292, Matériel!A:A, 0), MATCH(H292, INDEX(Matériel!A:Z, MATCH(E292, Matériel!A:A, 0), 0), 0) + 1)</f>
        <v>150</v>
      </c>
      <c r="J292" s="63">
        <f t="shared" ref="J292:J299" si="28">ROUNDUP(G292 / I292, 0)</f>
        <v>3</v>
      </c>
      <c r="K292" s="63">
        <f>VLOOKUP(H292,Manutention!A:E, 3, FALSE) * J292</f>
        <v>9</v>
      </c>
      <c r="L292" s="63" t="s">
        <v>164</v>
      </c>
      <c r="M292" s="63">
        <f>ROUNDUP(K292/VLOOKUP(L292,Camion!A:D, 3, FALSE),0)</f>
        <v>1</v>
      </c>
      <c r="N292" s="63">
        <f>INT(K292/VLOOKUP(L292,Camion!A:D, 3, FALSE))</f>
        <v>1</v>
      </c>
      <c r="O292" s="64">
        <f>ROUND(K292/VLOOKUP(L292,Camion!A:D, 3, FALSE) - N292,2)</f>
        <v>0</v>
      </c>
      <c r="P292" s="63" t="s">
        <v>130</v>
      </c>
    </row>
    <row r="293" spans="1:16" x14ac:dyDescent="0.25">
      <c r="A293" s="7">
        <v>12</v>
      </c>
      <c r="B293" s="62" t="s">
        <v>184</v>
      </c>
      <c r="C293" s="63" t="s">
        <v>1</v>
      </c>
      <c r="D293" s="63" t="s">
        <v>135</v>
      </c>
      <c r="E293" s="63" t="s">
        <v>72</v>
      </c>
      <c r="F293" s="63" t="s">
        <v>138</v>
      </c>
      <c r="G293" s="63">
        <v>1262</v>
      </c>
      <c r="H293" s="63" t="s">
        <v>143</v>
      </c>
      <c r="I293" s="63">
        <f>INDEX(Matériel!A:Z, MATCH(E293, Matériel!A:A, 0), MATCH(H293, INDEX(Matériel!A:Z, MATCH(E293, Matériel!A:A, 0), 0), 0) + 1)</f>
        <v>1000</v>
      </c>
      <c r="J293" s="63">
        <f t="shared" si="28"/>
        <v>2</v>
      </c>
      <c r="K293" s="63">
        <f>VLOOKUP(H293,Manutention!A:E, 3, FALSE) * J293</f>
        <v>2</v>
      </c>
      <c r="L293" s="63" t="s">
        <v>164</v>
      </c>
      <c r="M293" s="63">
        <f>ROUNDUP(K293/VLOOKUP(L293,Camion!A:D, 3, FALSE),0)</f>
        <v>1</v>
      </c>
      <c r="N293" s="63">
        <f>INT(K293/VLOOKUP(L293,Camion!A:D, 3, FALSE))</f>
        <v>0</v>
      </c>
      <c r="O293" s="64">
        <f>ROUND(K293/VLOOKUP(L293,Camion!A:D, 3, FALSE) - N293,2)</f>
        <v>0.22</v>
      </c>
      <c r="P293" s="63" t="s">
        <v>130</v>
      </c>
    </row>
    <row r="294" spans="1:16" x14ac:dyDescent="0.25">
      <c r="A294" s="7">
        <v>12</v>
      </c>
      <c r="B294" s="62" t="s">
        <v>184</v>
      </c>
      <c r="C294" s="63" t="s">
        <v>1</v>
      </c>
      <c r="D294" s="63" t="s">
        <v>135</v>
      </c>
      <c r="E294" s="63" t="s">
        <v>75</v>
      </c>
      <c r="F294" s="63" t="s">
        <v>127</v>
      </c>
      <c r="G294" s="63">
        <v>65</v>
      </c>
      <c r="H294" s="63" t="s">
        <v>136</v>
      </c>
      <c r="I294" s="63">
        <f>INDEX(Matériel!A:Z, MATCH(E294, Matériel!A:A, 0), MATCH(H294, INDEX(Matériel!A:Z, MATCH(E294, Matériel!A:A, 0), 0), 0) + 1)</f>
        <v>60</v>
      </c>
      <c r="J294" s="63">
        <f t="shared" si="28"/>
        <v>2</v>
      </c>
      <c r="K294" s="63">
        <f>VLOOKUP(H294,Manutention!A:E, 3, FALSE) * J294</f>
        <v>2</v>
      </c>
      <c r="L294" s="63" t="s">
        <v>164</v>
      </c>
      <c r="M294" s="63">
        <f>ROUNDUP(K294/VLOOKUP(L294,Camion!A:D, 3, FALSE),0)</f>
        <v>1</v>
      </c>
      <c r="N294" s="63">
        <f>INT(K294/VLOOKUP(L294,Camion!A:D, 3, FALSE))</f>
        <v>0</v>
      </c>
      <c r="O294" s="64">
        <f>ROUND(K294/VLOOKUP(L294,Camion!A:D, 3, FALSE) - N294,2)</f>
        <v>0.22</v>
      </c>
      <c r="P294" s="63" t="s">
        <v>129</v>
      </c>
    </row>
    <row r="295" spans="1:16" x14ac:dyDescent="0.25">
      <c r="A295" s="7">
        <v>12</v>
      </c>
      <c r="B295" s="62" t="s">
        <v>184</v>
      </c>
      <c r="C295" s="63" t="s">
        <v>1</v>
      </c>
      <c r="D295" s="63" t="s">
        <v>128</v>
      </c>
      <c r="E295" s="63" t="s">
        <v>76</v>
      </c>
      <c r="F295" s="63" t="s">
        <v>127</v>
      </c>
      <c r="G295" s="63">
        <v>32</v>
      </c>
      <c r="H295" s="63" t="s">
        <v>131</v>
      </c>
      <c r="I295" s="63">
        <f>INDEX(Matériel!A:Z, MATCH(E295, Matériel!A:A, 0), MATCH(H295, INDEX(Matériel!A:Z, MATCH(E295, Matériel!A:A, 0), 0), 0) + 1)</f>
        <v>100</v>
      </c>
      <c r="J295" s="63">
        <f t="shared" si="28"/>
        <v>1</v>
      </c>
      <c r="K295" s="63">
        <f>VLOOKUP(H295,Manutention!A:E, 3, FALSE) * J295</f>
        <v>1</v>
      </c>
      <c r="L295" s="63" t="s">
        <v>164</v>
      </c>
      <c r="M295" s="63">
        <f>ROUNDUP(K295/VLOOKUP(L295,Camion!A:D, 3, FALSE),0)</f>
        <v>1</v>
      </c>
      <c r="N295" s="63">
        <f>INT(K295/VLOOKUP(L295,Camion!A:D, 3, FALSE))</f>
        <v>0</v>
      </c>
      <c r="O295" s="64">
        <f>ROUND(K295/VLOOKUP(L295,Camion!A:D, 3, FALSE) - N295,2)</f>
        <v>0.11</v>
      </c>
      <c r="P295" s="63" t="s">
        <v>129</v>
      </c>
    </row>
    <row r="296" spans="1:16" x14ac:dyDescent="0.25">
      <c r="A296" s="7">
        <v>12</v>
      </c>
      <c r="B296" s="62" t="s">
        <v>184</v>
      </c>
      <c r="C296" s="63" t="s">
        <v>1</v>
      </c>
      <c r="D296" s="63" t="s">
        <v>135</v>
      </c>
      <c r="E296" s="63" t="s">
        <v>77</v>
      </c>
      <c r="F296" s="63" t="s">
        <v>127</v>
      </c>
      <c r="G296" s="63">
        <v>270</v>
      </c>
      <c r="H296" s="63" t="s">
        <v>131</v>
      </c>
      <c r="I296" s="63">
        <f>INDEX(Matériel!A:Z, MATCH(E296, Matériel!A:A, 0), MATCH(H296, INDEX(Matériel!A:Z, MATCH(E296, Matériel!A:A, 0), 0), 0) + 1)</f>
        <v>20</v>
      </c>
      <c r="J296" s="63">
        <f t="shared" si="28"/>
        <v>14</v>
      </c>
      <c r="K296" s="63">
        <f>VLOOKUP(H296,Manutention!A:E, 3, FALSE) * J296</f>
        <v>14</v>
      </c>
      <c r="L296" s="63" t="s">
        <v>166</v>
      </c>
      <c r="M296" s="63">
        <f>ROUNDUP(K296/VLOOKUP(L296,Camion!A:D, 3, FALSE),0)</f>
        <v>1</v>
      </c>
      <c r="N296" s="63">
        <f>INT(K296/VLOOKUP(L296,Camion!A:D, 3, FALSE))</f>
        <v>0</v>
      </c>
      <c r="O296" s="64">
        <f>ROUND(K296/VLOOKUP(L296,Camion!A:D, 3, FALSE) - N296,2)</f>
        <v>0.82</v>
      </c>
      <c r="P296" s="63" t="s">
        <v>129</v>
      </c>
    </row>
    <row r="297" spans="1:16" x14ac:dyDescent="0.25">
      <c r="A297" s="7">
        <v>12</v>
      </c>
      <c r="B297" s="62" t="s">
        <v>184</v>
      </c>
      <c r="C297" s="63" t="s">
        <v>1</v>
      </c>
      <c r="D297" s="63" t="s">
        <v>135</v>
      </c>
      <c r="E297" s="63" t="s">
        <v>78</v>
      </c>
      <c r="F297" s="63" t="s">
        <v>127</v>
      </c>
      <c r="G297" s="63">
        <v>5</v>
      </c>
      <c r="H297" s="63" t="s">
        <v>133</v>
      </c>
      <c r="I297" s="63">
        <f>INDEX(Matériel!A:Z, MATCH(E297, Matériel!A:A, 0), MATCH(H297, INDEX(Matériel!A:Z, MATCH(E297, Matériel!A:A, 0), 0), 0) + 1)</f>
        <v>1</v>
      </c>
      <c r="J297" s="63">
        <f t="shared" si="28"/>
        <v>5</v>
      </c>
      <c r="K297" s="63">
        <f>VLOOKUP(H297,Manutention!A:E, 3, FALSE) * J297</f>
        <v>10</v>
      </c>
      <c r="L297" s="63" t="s">
        <v>165</v>
      </c>
      <c r="M297" s="63">
        <f>ROUNDUP(K297/VLOOKUP(L297,Camion!A:D, 3, FALSE),0)</f>
        <v>1</v>
      </c>
      <c r="N297" s="63">
        <f>INT(K297/VLOOKUP(L297,Camion!A:D, 3, FALSE))</f>
        <v>0</v>
      </c>
      <c r="O297" s="64">
        <f>ROUND(K297/VLOOKUP(L297,Camion!A:D, 3, FALSE) - N297,2)</f>
        <v>0.83</v>
      </c>
      <c r="P297" s="63" t="s">
        <v>129</v>
      </c>
    </row>
    <row r="298" spans="1:16" x14ac:dyDescent="0.25">
      <c r="A298" s="7">
        <v>12</v>
      </c>
      <c r="B298" s="62" t="s">
        <v>184</v>
      </c>
      <c r="C298" s="63" t="s">
        <v>1</v>
      </c>
      <c r="D298" s="63" t="s">
        <v>135</v>
      </c>
      <c r="E298" s="63" t="s">
        <v>79</v>
      </c>
      <c r="F298" s="63" t="s">
        <v>127</v>
      </c>
      <c r="G298" s="63">
        <v>4</v>
      </c>
      <c r="H298" s="63" t="s">
        <v>133</v>
      </c>
      <c r="I298" s="63">
        <f>INDEX(Matériel!A:Z, MATCH(E298, Matériel!A:A, 0), MATCH(H298, INDEX(Matériel!A:Z, MATCH(E298, Matériel!A:A, 0), 0), 0) + 1)</f>
        <v>1</v>
      </c>
      <c r="J298" s="63">
        <f t="shared" si="28"/>
        <v>4</v>
      </c>
      <c r="K298" s="63">
        <f>VLOOKUP(H298,Manutention!A:E, 3, FALSE) * J298</f>
        <v>8</v>
      </c>
      <c r="L298" s="63" t="s">
        <v>164</v>
      </c>
      <c r="M298" s="63">
        <f>ROUNDUP(K298/VLOOKUP(L298,Camion!A:D, 3, FALSE),0)</f>
        <v>1</v>
      </c>
      <c r="N298" s="63">
        <f>INT(K298/VLOOKUP(L298,Camion!A:D, 3, FALSE))</f>
        <v>0</v>
      </c>
      <c r="O298" s="64">
        <f>ROUND(K298/VLOOKUP(L298,Camion!A:D, 3, FALSE) - N298,2)</f>
        <v>0.89</v>
      </c>
      <c r="P298" s="63" t="s">
        <v>129</v>
      </c>
    </row>
    <row r="299" spans="1:16" x14ac:dyDescent="0.25">
      <c r="A299" s="7">
        <v>12</v>
      </c>
      <c r="B299" s="62" t="s">
        <v>184</v>
      </c>
      <c r="C299" s="63" t="s">
        <v>1</v>
      </c>
      <c r="D299" s="63" t="s">
        <v>128</v>
      </c>
      <c r="E299" s="63" t="s">
        <v>81</v>
      </c>
      <c r="F299" s="63" t="s">
        <v>127</v>
      </c>
      <c r="G299" s="63">
        <v>12</v>
      </c>
      <c r="H299" s="63" t="s">
        <v>131</v>
      </c>
      <c r="I299" s="63">
        <f>INDEX(Matériel!A:Z, MATCH(E299, Matériel!A:A, 0), MATCH(H299, INDEX(Matériel!A:Z, MATCH(E299, Matériel!A:A, 0), 0), 0) + 1)</f>
        <v>100</v>
      </c>
      <c r="J299" s="63">
        <f t="shared" si="28"/>
        <v>1</v>
      </c>
      <c r="K299" s="63">
        <f>VLOOKUP(H299,Manutention!A:E, 3, FALSE) * J299</f>
        <v>1</v>
      </c>
      <c r="L299" s="63" t="s">
        <v>164</v>
      </c>
      <c r="M299" s="63">
        <f>ROUNDUP(K299/VLOOKUP(L299,Camion!A:D, 3, FALSE),0)</f>
        <v>1</v>
      </c>
      <c r="N299" s="63">
        <f>INT(K299/VLOOKUP(L299,Camion!A:D, 3, FALSE))</f>
        <v>0</v>
      </c>
      <c r="O299" s="64">
        <f>ROUND(K299/VLOOKUP(L299,Camion!A:D, 3, FALSE) - N299,2)</f>
        <v>0.11</v>
      </c>
      <c r="P299" s="63" t="s">
        <v>130</v>
      </c>
    </row>
    <row r="300" spans="1:16" x14ac:dyDescent="0.25">
      <c r="A300" s="7">
        <v>12</v>
      </c>
      <c r="B300" s="5" t="s">
        <v>184</v>
      </c>
      <c r="C300" s="65"/>
      <c r="D300" s="65"/>
      <c r="E300" s="65" t="s">
        <v>187</v>
      </c>
      <c r="F300" s="65"/>
      <c r="G300" s="65"/>
      <c r="H300" s="65" t="s">
        <v>131</v>
      </c>
      <c r="I300" s="65"/>
      <c r="J300" s="65"/>
      <c r="K300" s="65">
        <f>SUMIFS(K:K, A:A, 12, B:B, "Z1 Z2", P:P, "Oui", D:D, "Production")</f>
        <v>1</v>
      </c>
      <c r="L300" s="65" t="s">
        <v>164</v>
      </c>
      <c r="M300" s="65">
        <f>ROUNDUP(K300/VLOOKUP(L300,Camion!A:D, 3, FALSE),0)</f>
        <v>1</v>
      </c>
      <c r="N300" s="65">
        <f>INT(K300/VLOOKUP(L300,Camion!A:D, 3, FALSE))</f>
        <v>0</v>
      </c>
      <c r="O300" s="66">
        <f>ROUND(K300/VLOOKUP(L300,Camion!A:D, 3, FALSE) - N300,2)</f>
        <v>0.11</v>
      </c>
      <c r="P300" s="65"/>
    </row>
    <row r="301" spans="1:16" x14ac:dyDescent="0.25">
      <c r="A301" s="7">
        <v>12</v>
      </c>
      <c r="B301" s="5" t="s">
        <v>184</v>
      </c>
      <c r="C301" s="65"/>
      <c r="D301" s="65"/>
      <c r="E301" s="65" t="s">
        <v>188</v>
      </c>
      <c r="F301" s="65"/>
      <c r="G301" s="65"/>
      <c r="H301" s="65" t="s">
        <v>131</v>
      </c>
      <c r="I301" s="65"/>
      <c r="J301" s="65"/>
      <c r="K301" s="65">
        <f>SUMIFS(K:K, A:A, 12, B:B, "Z1 Z2", P:P, "Oui", D:D, "Terminaux")</f>
        <v>34</v>
      </c>
      <c r="L301" s="65" t="s">
        <v>168</v>
      </c>
      <c r="M301" s="65">
        <f>ROUNDUP(K301/VLOOKUP(L301,Camion!A:D, 3, FALSE),0)</f>
        <v>1</v>
      </c>
      <c r="N301" s="65">
        <f>INT(K301/VLOOKUP(L301,Camion!A:D, 3, FALSE))</f>
        <v>1</v>
      </c>
      <c r="O301" s="66">
        <f>ROUND(K301/VLOOKUP(L301,Camion!A:D, 3, FALSE) - N301,2)</f>
        <v>0</v>
      </c>
      <c r="P301" s="65"/>
    </row>
    <row r="302" spans="1:16" x14ac:dyDescent="0.25">
      <c r="A302" s="7">
        <v>12</v>
      </c>
      <c r="B302" s="62" t="s">
        <v>185</v>
      </c>
      <c r="C302" s="63" t="s">
        <v>1</v>
      </c>
      <c r="D302" s="63" t="s">
        <v>128</v>
      </c>
      <c r="E302" s="63" t="s">
        <v>71</v>
      </c>
      <c r="F302" s="63" t="s">
        <v>138</v>
      </c>
      <c r="G302" s="63">
        <v>406</v>
      </c>
      <c r="H302" s="63" t="s">
        <v>139</v>
      </c>
      <c r="I302" s="63">
        <f>INDEX(Matériel!A:Z, MATCH(E302, Matériel!A:A, 0), MATCH(H302, INDEX(Matériel!A:Z, MATCH(E302, Matériel!A:A, 0), 0), 0) + 1)</f>
        <v>150</v>
      </c>
      <c r="J302" s="63">
        <f t="shared" ref="J302:J309" si="29">ROUNDUP(G302 / I302, 0)</f>
        <v>3</v>
      </c>
      <c r="K302" s="63">
        <f>VLOOKUP(H302,Manutention!A:E, 3, FALSE) * J302</f>
        <v>9</v>
      </c>
      <c r="L302" s="63" t="s">
        <v>164</v>
      </c>
      <c r="M302" s="63">
        <f>ROUNDUP(K302/VLOOKUP(L302,Camion!A:D, 3, FALSE),0)</f>
        <v>1</v>
      </c>
      <c r="N302" s="63">
        <f>INT(K302/VLOOKUP(L302,Camion!A:D, 3, FALSE))</f>
        <v>1</v>
      </c>
      <c r="O302" s="64">
        <f>ROUND(K302/VLOOKUP(L302,Camion!A:D, 3, FALSE) - N302,2)</f>
        <v>0</v>
      </c>
      <c r="P302" s="63" t="s">
        <v>130</v>
      </c>
    </row>
    <row r="303" spans="1:16" x14ac:dyDescent="0.25">
      <c r="A303" s="7">
        <v>12</v>
      </c>
      <c r="B303" s="62" t="s">
        <v>185</v>
      </c>
      <c r="C303" s="63" t="s">
        <v>1</v>
      </c>
      <c r="D303" s="63" t="s">
        <v>135</v>
      </c>
      <c r="E303" s="63" t="s">
        <v>72</v>
      </c>
      <c r="F303" s="63" t="s">
        <v>138</v>
      </c>
      <c r="G303" s="63">
        <v>1243</v>
      </c>
      <c r="H303" s="63" t="s">
        <v>143</v>
      </c>
      <c r="I303" s="63">
        <f>INDEX(Matériel!A:Z, MATCH(E303, Matériel!A:A, 0), MATCH(H303, INDEX(Matériel!A:Z, MATCH(E303, Matériel!A:A, 0), 0), 0) + 1)</f>
        <v>1000</v>
      </c>
      <c r="J303" s="63">
        <f t="shared" si="29"/>
        <v>2</v>
      </c>
      <c r="K303" s="63">
        <f>VLOOKUP(H303,Manutention!A:E, 3, FALSE) * J303</f>
        <v>2</v>
      </c>
      <c r="L303" s="63" t="s">
        <v>164</v>
      </c>
      <c r="M303" s="63">
        <f>ROUNDUP(K303/VLOOKUP(L303,Camion!A:D, 3, FALSE),0)</f>
        <v>1</v>
      </c>
      <c r="N303" s="63">
        <f>INT(K303/VLOOKUP(L303,Camion!A:D, 3, FALSE))</f>
        <v>0</v>
      </c>
      <c r="O303" s="64">
        <f>ROUND(K303/VLOOKUP(L303,Camion!A:D, 3, FALSE) - N303,2)</f>
        <v>0.22</v>
      </c>
      <c r="P303" s="63" t="s">
        <v>130</v>
      </c>
    </row>
    <row r="304" spans="1:16" x14ac:dyDescent="0.25">
      <c r="A304" s="7">
        <v>12</v>
      </c>
      <c r="B304" s="62" t="s">
        <v>185</v>
      </c>
      <c r="C304" s="63" t="s">
        <v>1</v>
      </c>
      <c r="D304" s="63" t="s">
        <v>135</v>
      </c>
      <c r="E304" s="63" t="s">
        <v>75</v>
      </c>
      <c r="F304" s="63" t="s">
        <v>127</v>
      </c>
      <c r="G304" s="63">
        <v>64</v>
      </c>
      <c r="H304" s="63" t="s">
        <v>136</v>
      </c>
      <c r="I304" s="63">
        <f>INDEX(Matériel!A:Z, MATCH(E304, Matériel!A:A, 0), MATCH(H304, INDEX(Matériel!A:Z, MATCH(E304, Matériel!A:A, 0), 0), 0) + 1)</f>
        <v>60</v>
      </c>
      <c r="J304" s="63">
        <f t="shared" si="29"/>
        <v>2</v>
      </c>
      <c r="K304" s="63">
        <f>VLOOKUP(H304,Manutention!A:E, 3, FALSE) * J304</f>
        <v>2</v>
      </c>
      <c r="L304" s="63" t="s">
        <v>164</v>
      </c>
      <c r="M304" s="63">
        <f>ROUNDUP(K304/VLOOKUP(L304,Camion!A:D, 3, FALSE),0)</f>
        <v>1</v>
      </c>
      <c r="N304" s="63">
        <f>INT(K304/VLOOKUP(L304,Camion!A:D, 3, FALSE))</f>
        <v>0</v>
      </c>
      <c r="O304" s="64">
        <f>ROUND(K304/VLOOKUP(L304,Camion!A:D, 3, FALSE) - N304,2)</f>
        <v>0.22</v>
      </c>
      <c r="P304" s="63" t="s">
        <v>129</v>
      </c>
    </row>
    <row r="305" spans="1:16" x14ac:dyDescent="0.25">
      <c r="A305" s="7">
        <v>12</v>
      </c>
      <c r="B305" s="62" t="s">
        <v>185</v>
      </c>
      <c r="C305" s="63" t="s">
        <v>1</v>
      </c>
      <c r="D305" s="63" t="s">
        <v>128</v>
      </c>
      <c r="E305" s="63" t="s">
        <v>76</v>
      </c>
      <c r="F305" s="63" t="s">
        <v>127</v>
      </c>
      <c r="G305" s="63">
        <v>32</v>
      </c>
      <c r="H305" s="63" t="s">
        <v>131</v>
      </c>
      <c r="I305" s="63">
        <f>INDEX(Matériel!A:Z, MATCH(E305, Matériel!A:A, 0), MATCH(H305, INDEX(Matériel!A:Z, MATCH(E305, Matériel!A:A, 0), 0), 0) + 1)</f>
        <v>100</v>
      </c>
      <c r="J305" s="63">
        <f t="shared" si="29"/>
        <v>1</v>
      </c>
      <c r="K305" s="63">
        <f>VLOOKUP(H305,Manutention!A:E, 3, FALSE) * J305</f>
        <v>1</v>
      </c>
      <c r="L305" s="63" t="s">
        <v>164</v>
      </c>
      <c r="M305" s="63">
        <f>ROUNDUP(K305/VLOOKUP(L305,Camion!A:D, 3, FALSE),0)</f>
        <v>1</v>
      </c>
      <c r="N305" s="63">
        <f>INT(K305/VLOOKUP(L305,Camion!A:D, 3, FALSE))</f>
        <v>0</v>
      </c>
      <c r="O305" s="64">
        <f>ROUND(K305/VLOOKUP(L305,Camion!A:D, 3, FALSE) - N305,2)</f>
        <v>0.11</v>
      </c>
      <c r="P305" s="63" t="s">
        <v>129</v>
      </c>
    </row>
    <row r="306" spans="1:16" x14ac:dyDescent="0.25">
      <c r="A306" s="7">
        <v>12</v>
      </c>
      <c r="B306" s="62" t="s">
        <v>185</v>
      </c>
      <c r="C306" s="63" t="s">
        <v>1</v>
      </c>
      <c r="D306" s="63" t="s">
        <v>135</v>
      </c>
      <c r="E306" s="63" t="s">
        <v>77</v>
      </c>
      <c r="F306" s="63" t="s">
        <v>127</v>
      </c>
      <c r="G306" s="63">
        <v>266</v>
      </c>
      <c r="H306" s="63" t="s">
        <v>131</v>
      </c>
      <c r="I306" s="63">
        <f>INDEX(Matériel!A:Z, MATCH(E306, Matériel!A:A, 0), MATCH(H306, INDEX(Matériel!A:Z, MATCH(E306, Matériel!A:A, 0), 0), 0) + 1)</f>
        <v>20</v>
      </c>
      <c r="J306" s="63">
        <f t="shared" si="29"/>
        <v>14</v>
      </c>
      <c r="K306" s="63">
        <f>VLOOKUP(H306,Manutention!A:E, 3, FALSE) * J306</f>
        <v>14</v>
      </c>
      <c r="L306" s="63" t="s">
        <v>166</v>
      </c>
      <c r="M306" s="63">
        <f>ROUNDUP(K306/VLOOKUP(L306,Camion!A:D, 3, FALSE),0)</f>
        <v>1</v>
      </c>
      <c r="N306" s="63">
        <f>INT(K306/VLOOKUP(L306,Camion!A:D, 3, FALSE))</f>
        <v>0</v>
      </c>
      <c r="O306" s="64">
        <f>ROUND(K306/VLOOKUP(L306,Camion!A:D, 3, FALSE) - N306,2)</f>
        <v>0.82</v>
      </c>
      <c r="P306" s="63" t="s">
        <v>129</v>
      </c>
    </row>
    <row r="307" spans="1:16" x14ac:dyDescent="0.25">
      <c r="A307" s="7">
        <v>12</v>
      </c>
      <c r="B307" s="62" t="s">
        <v>185</v>
      </c>
      <c r="C307" s="63" t="s">
        <v>1</v>
      </c>
      <c r="D307" s="63" t="s">
        <v>135</v>
      </c>
      <c r="E307" s="63" t="s">
        <v>78</v>
      </c>
      <c r="F307" s="63" t="s">
        <v>127</v>
      </c>
      <c r="G307" s="63">
        <v>5</v>
      </c>
      <c r="H307" s="63" t="s">
        <v>133</v>
      </c>
      <c r="I307" s="63">
        <f>INDEX(Matériel!A:Z, MATCH(E307, Matériel!A:A, 0), MATCH(H307, INDEX(Matériel!A:Z, MATCH(E307, Matériel!A:A, 0), 0), 0) + 1)</f>
        <v>1</v>
      </c>
      <c r="J307" s="63">
        <f t="shared" si="29"/>
        <v>5</v>
      </c>
      <c r="K307" s="63">
        <f>VLOOKUP(H307,Manutention!A:E, 3, FALSE) * J307</f>
        <v>10</v>
      </c>
      <c r="L307" s="63" t="s">
        <v>165</v>
      </c>
      <c r="M307" s="63">
        <f>ROUNDUP(K307/VLOOKUP(L307,Camion!A:D, 3, FALSE),0)</f>
        <v>1</v>
      </c>
      <c r="N307" s="63">
        <f>INT(K307/VLOOKUP(L307,Camion!A:D, 3, FALSE))</f>
        <v>0</v>
      </c>
      <c r="O307" s="64">
        <f>ROUND(K307/VLOOKUP(L307,Camion!A:D, 3, FALSE) - N307,2)</f>
        <v>0.83</v>
      </c>
      <c r="P307" s="63" t="s">
        <v>129</v>
      </c>
    </row>
    <row r="308" spans="1:16" x14ac:dyDescent="0.25">
      <c r="A308" s="7">
        <v>12</v>
      </c>
      <c r="B308" s="62" t="s">
        <v>185</v>
      </c>
      <c r="C308" s="63" t="s">
        <v>1</v>
      </c>
      <c r="D308" s="63" t="s">
        <v>135</v>
      </c>
      <c r="E308" s="63" t="s">
        <v>79</v>
      </c>
      <c r="F308" s="63" t="s">
        <v>127</v>
      </c>
      <c r="G308" s="63">
        <v>4</v>
      </c>
      <c r="H308" s="63" t="s">
        <v>133</v>
      </c>
      <c r="I308" s="63">
        <f>INDEX(Matériel!A:Z, MATCH(E308, Matériel!A:A, 0), MATCH(H308, INDEX(Matériel!A:Z, MATCH(E308, Matériel!A:A, 0), 0), 0) + 1)</f>
        <v>1</v>
      </c>
      <c r="J308" s="63">
        <f t="shared" si="29"/>
        <v>4</v>
      </c>
      <c r="K308" s="63">
        <f>VLOOKUP(H308,Manutention!A:E, 3, FALSE) * J308</f>
        <v>8</v>
      </c>
      <c r="L308" s="63" t="s">
        <v>164</v>
      </c>
      <c r="M308" s="63">
        <f>ROUNDUP(K308/VLOOKUP(L308,Camion!A:D, 3, FALSE),0)</f>
        <v>1</v>
      </c>
      <c r="N308" s="63">
        <f>INT(K308/VLOOKUP(L308,Camion!A:D, 3, FALSE))</f>
        <v>0</v>
      </c>
      <c r="O308" s="64">
        <f>ROUND(K308/VLOOKUP(L308,Camion!A:D, 3, FALSE) - N308,2)</f>
        <v>0.89</v>
      </c>
      <c r="P308" s="63" t="s">
        <v>129</v>
      </c>
    </row>
    <row r="309" spans="1:16" x14ac:dyDescent="0.25">
      <c r="A309" s="7">
        <v>12</v>
      </c>
      <c r="B309" s="62" t="s">
        <v>185</v>
      </c>
      <c r="C309" s="63" t="s">
        <v>1</v>
      </c>
      <c r="D309" s="63" t="s">
        <v>128</v>
      </c>
      <c r="E309" s="63" t="s">
        <v>81</v>
      </c>
      <c r="F309" s="63" t="s">
        <v>127</v>
      </c>
      <c r="G309" s="63">
        <v>12</v>
      </c>
      <c r="H309" s="63" t="s">
        <v>131</v>
      </c>
      <c r="I309" s="63">
        <f>INDEX(Matériel!A:Z, MATCH(E309, Matériel!A:A, 0), MATCH(H309, INDEX(Matériel!A:Z, MATCH(E309, Matériel!A:A, 0), 0), 0) + 1)</f>
        <v>100</v>
      </c>
      <c r="J309" s="63">
        <f t="shared" si="29"/>
        <v>1</v>
      </c>
      <c r="K309" s="63">
        <f>VLOOKUP(H309,Manutention!A:E, 3, FALSE) * J309</f>
        <v>1</v>
      </c>
      <c r="L309" s="63" t="s">
        <v>164</v>
      </c>
      <c r="M309" s="63">
        <f>ROUNDUP(K309/VLOOKUP(L309,Camion!A:D, 3, FALSE),0)</f>
        <v>1</v>
      </c>
      <c r="N309" s="63">
        <f>INT(K309/VLOOKUP(L309,Camion!A:D, 3, FALSE))</f>
        <v>0</v>
      </c>
      <c r="O309" s="64">
        <f>ROUND(K309/VLOOKUP(L309,Camion!A:D, 3, FALSE) - N309,2)</f>
        <v>0.11</v>
      </c>
      <c r="P309" s="63" t="s">
        <v>130</v>
      </c>
    </row>
    <row r="310" spans="1:16" x14ac:dyDescent="0.25">
      <c r="A310" s="7">
        <v>12</v>
      </c>
      <c r="B310" s="5" t="s">
        <v>185</v>
      </c>
      <c r="C310" s="65"/>
      <c r="D310" s="65"/>
      <c r="E310" s="65" t="s">
        <v>187</v>
      </c>
      <c r="F310" s="65"/>
      <c r="G310" s="65"/>
      <c r="H310" s="65" t="s">
        <v>131</v>
      </c>
      <c r="I310" s="65"/>
      <c r="J310" s="65"/>
      <c r="K310" s="65">
        <f>SUMIFS(K:K, A:A, 12, B:B, "Z3 Z4", P:P, "Oui", D:D, "Production")</f>
        <v>1</v>
      </c>
      <c r="L310" s="65" t="s">
        <v>164</v>
      </c>
      <c r="M310" s="65">
        <f>ROUNDUP(K310/VLOOKUP(L310,Camion!A:D, 3, FALSE),0)</f>
        <v>1</v>
      </c>
      <c r="N310" s="65">
        <f>INT(K310/VLOOKUP(L310,Camion!A:D, 3, FALSE))</f>
        <v>0</v>
      </c>
      <c r="O310" s="66">
        <f>ROUND(K310/VLOOKUP(L310,Camion!A:D, 3, FALSE) - N310,2)</f>
        <v>0.11</v>
      </c>
      <c r="P310" s="65"/>
    </row>
    <row r="311" spans="1:16" x14ac:dyDescent="0.25">
      <c r="A311" s="7">
        <v>12</v>
      </c>
      <c r="B311" s="5" t="s">
        <v>185</v>
      </c>
      <c r="C311" s="65"/>
      <c r="D311" s="65"/>
      <c r="E311" s="65" t="s">
        <v>188</v>
      </c>
      <c r="F311" s="65"/>
      <c r="G311" s="65"/>
      <c r="H311" s="65" t="s">
        <v>131</v>
      </c>
      <c r="I311" s="65"/>
      <c r="J311" s="65"/>
      <c r="K311" s="65">
        <f>SUMIFS(K:K, A:A, 12, B:B, "Z3 Z4", P:P, "Oui", D:D, "Terminaux")</f>
        <v>34</v>
      </c>
      <c r="L311" s="65" t="s">
        <v>168</v>
      </c>
      <c r="M311" s="65">
        <f>ROUNDUP(K311/VLOOKUP(L311,Camion!A:D, 3, FALSE),0)</f>
        <v>1</v>
      </c>
      <c r="N311" s="65">
        <f>INT(K311/VLOOKUP(L311,Camion!A:D, 3, FALSE))</f>
        <v>1</v>
      </c>
      <c r="O311" s="66">
        <f>ROUND(K311/VLOOKUP(L311,Camion!A:D, 3, FALSE) - N311,2)</f>
        <v>0</v>
      </c>
      <c r="P311" s="65"/>
    </row>
    <row r="312" spans="1:16" x14ac:dyDescent="0.25">
      <c r="A312" s="7">
        <v>13</v>
      </c>
      <c r="B312" s="62" t="s">
        <v>184</v>
      </c>
      <c r="C312" s="63" t="s">
        <v>1</v>
      </c>
      <c r="D312" s="63" t="s">
        <v>128</v>
      </c>
      <c r="E312" s="63" t="s">
        <v>71</v>
      </c>
      <c r="F312" s="63" t="s">
        <v>138</v>
      </c>
      <c r="G312" s="63">
        <v>400</v>
      </c>
      <c r="H312" s="63" t="s">
        <v>139</v>
      </c>
      <c r="I312" s="63">
        <f>INDEX(Matériel!A:Z, MATCH(E312, Matériel!A:A, 0), MATCH(H312, INDEX(Matériel!A:Z, MATCH(E312, Matériel!A:A, 0), 0), 0) + 1)</f>
        <v>150</v>
      </c>
      <c r="J312" s="63">
        <f t="shared" ref="J312:J319" si="30">ROUNDUP(G312 / I312, 0)</f>
        <v>3</v>
      </c>
      <c r="K312" s="63">
        <f>VLOOKUP(H312,Manutention!A:E, 3, FALSE) * J312</f>
        <v>9</v>
      </c>
      <c r="L312" s="63" t="s">
        <v>164</v>
      </c>
      <c r="M312" s="63">
        <f>ROUNDUP(K312/VLOOKUP(L312,Camion!A:D, 3, FALSE),0)</f>
        <v>1</v>
      </c>
      <c r="N312" s="63">
        <f>INT(K312/VLOOKUP(L312,Camion!A:D, 3, FALSE))</f>
        <v>1</v>
      </c>
      <c r="O312" s="64">
        <f>ROUND(K312/VLOOKUP(L312,Camion!A:D, 3, FALSE) - N312,2)</f>
        <v>0</v>
      </c>
      <c r="P312" s="63" t="s">
        <v>130</v>
      </c>
    </row>
    <row r="313" spans="1:16" x14ac:dyDescent="0.25">
      <c r="A313" s="7">
        <v>13</v>
      </c>
      <c r="B313" s="62" t="s">
        <v>184</v>
      </c>
      <c r="C313" s="63" t="s">
        <v>1</v>
      </c>
      <c r="D313" s="63" t="s">
        <v>135</v>
      </c>
      <c r="E313" s="63" t="s">
        <v>72</v>
      </c>
      <c r="F313" s="63" t="s">
        <v>138</v>
      </c>
      <c r="G313" s="63">
        <v>1225</v>
      </c>
      <c r="H313" s="63" t="s">
        <v>143</v>
      </c>
      <c r="I313" s="63">
        <f>INDEX(Matériel!A:Z, MATCH(E313, Matériel!A:A, 0), MATCH(H313, INDEX(Matériel!A:Z, MATCH(E313, Matériel!A:A, 0), 0), 0) + 1)</f>
        <v>1000</v>
      </c>
      <c r="J313" s="63">
        <f t="shared" si="30"/>
        <v>2</v>
      </c>
      <c r="K313" s="63">
        <f>VLOOKUP(H313,Manutention!A:E, 3, FALSE) * J313</f>
        <v>2</v>
      </c>
      <c r="L313" s="63" t="s">
        <v>164</v>
      </c>
      <c r="M313" s="63">
        <f>ROUNDUP(K313/VLOOKUP(L313,Camion!A:D, 3, FALSE),0)</f>
        <v>1</v>
      </c>
      <c r="N313" s="63">
        <f>INT(K313/VLOOKUP(L313,Camion!A:D, 3, FALSE))</f>
        <v>0</v>
      </c>
      <c r="O313" s="64">
        <f>ROUND(K313/VLOOKUP(L313,Camion!A:D, 3, FALSE) - N313,2)</f>
        <v>0.22</v>
      </c>
      <c r="P313" s="63" t="s">
        <v>130</v>
      </c>
    </row>
    <row r="314" spans="1:16" x14ac:dyDescent="0.25">
      <c r="A314" s="7">
        <v>13</v>
      </c>
      <c r="B314" s="62" t="s">
        <v>184</v>
      </c>
      <c r="C314" s="63" t="s">
        <v>1</v>
      </c>
      <c r="D314" s="63" t="s">
        <v>135</v>
      </c>
      <c r="E314" s="63" t="s">
        <v>75</v>
      </c>
      <c r="F314" s="63" t="s">
        <v>127</v>
      </c>
      <c r="G314" s="63">
        <v>63</v>
      </c>
      <c r="H314" s="63" t="s">
        <v>136</v>
      </c>
      <c r="I314" s="63">
        <f>INDEX(Matériel!A:Z, MATCH(E314, Matériel!A:A, 0), MATCH(H314, INDEX(Matériel!A:Z, MATCH(E314, Matériel!A:A, 0), 0), 0) + 1)</f>
        <v>60</v>
      </c>
      <c r="J314" s="63">
        <f t="shared" si="30"/>
        <v>2</v>
      </c>
      <c r="K314" s="63">
        <f>VLOOKUP(H314,Manutention!A:E, 3, FALSE) * J314</f>
        <v>2</v>
      </c>
      <c r="L314" s="63" t="s">
        <v>164</v>
      </c>
      <c r="M314" s="63">
        <f>ROUNDUP(K314/VLOOKUP(L314,Camion!A:D, 3, FALSE),0)</f>
        <v>1</v>
      </c>
      <c r="N314" s="63">
        <f>INT(K314/VLOOKUP(L314,Camion!A:D, 3, FALSE))</f>
        <v>0</v>
      </c>
      <c r="O314" s="64">
        <f>ROUND(K314/VLOOKUP(L314,Camion!A:D, 3, FALSE) - N314,2)</f>
        <v>0.22</v>
      </c>
      <c r="P314" s="63" t="s">
        <v>129</v>
      </c>
    </row>
    <row r="315" spans="1:16" x14ac:dyDescent="0.25">
      <c r="A315" s="7">
        <v>13</v>
      </c>
      <c r="B315" s="62" t="s">
        <v>184</v>
      </c>
      <c r="C315" s="63" t="s">
        <v>1</v>
      </c>
      <c r="D315" s="63" t="s">
        <v>128</v>
      </c>
      <c r="E315" s="63" t="s">
        <v>76</v>
      </c>
      <c r="F315" s="63" t="s">
        <v>127</v>
      </c>
      <c r="G315" s="63">
        <v>31</v>
      </c>
      <c r="H315" s="63" t="s">
        <v>131</v>
      </c>
      <c r="I315" s="63">
        <f>INDEX(Matériel!A:Z, MATCH(E315, Matériel!A:A, 0), MATCH(H315, INDEX(Matériel!A:Z, MATCH(E315, Matériel!A:A, 0), 0), 0) + 1)</f>
        <v>100</v>
      </c>
      <c r="J315" s="63">
        <f t="shared" si="30"/>
        <v>1</v>
      </c>
      <c r="K315" s="63">
        <f>VLOOKUP(H315,Manutention!A:E, 3, FALSE) * J315</f>
        <v>1</v>
      </c>
      <c r="L315" s="63" t="s">
        <v>164</v>
      </c>
      <c r="M315" s="63">
        <f>ROUNDUP(K315/VLOOKUP(L315,Camion!A:D, 3, FALSE),0)</f>
        <v>1</v>
      </c>
      <c r="N315" s="63">
        <f>INT(K315/VLOOKUP(L315,Camion!A:D, 3, FALSE))</f>
        <v>0</v>
      </c>
      <c r="O315" s="64">
        <f>ROUND(K315/VLOOKUP(L315,Camion!A:D, 3, FALSE) - N315,2)</f>
        <v>0.11</v>
      </c>
      <c r="P315" s="63" t="s">
        <v>129</v>
      </c>
    </row>
    <row r="316" spans="1:16" x14ac:dyDescent="0.25">
      <c r="A316" s="7">
        <v>13</v>
      </c>
      <c r="B316" s="62" t="s">
        <v>184</v>
      </c>
      <c r="C316" s="63" t="s">
        <v>1</v>
      </c>
      <c r="D316" s="63" t="s">
        <v>135</v>
      </c>
      <c r="E316" s="63" t="s">
        <v>77</v>
      </c>
      <c r="F316" s="63" t="s">
        <v>127</v>
      </c>
      <c r="G316" s="63">
        <v>262</v>
      </c>
      <c r="H316" s="63" t="s">
        <v>131</v>
      </c>
      <c r="I316" s="63">
        <f>INDEX(Matériel!A:Z, MATCH(E316, Matériel!A:A, 0), MATCH(H316, INDEX(Matériel!A:Z, MATCH(E316, Matériel!A:A, 0), 0), 0) + 1)</f>
        <v>20</v>
      </c>
      <c r="J316" s="63">
        <f t="shared" si="30"/>
        <v>14</v>
      </c>
      <c r="K316" s="63">
        <f>VLOOKUP(H316,Manutention!A:E, 3, FALSE) * J316</f>
        <v>14</v>
      </c>
      <c r="L316" s="63" t="s">
        <v>166</v>
      </c>
      <c r="M316" s="63">
        <f>ROUNDUP(K316/VLOOKUP(L316,Camion!A:D, 3, FALSE),0)</f>
        <v>1</v>
      </c>
      <c r="N316" s="63">
        <f>INT(K316/VLOOKUP(L316,Camion!A:D, 3, FALSE))</f>
        <v>0</v>
      </c>
      <c r="O316" s="64">
        <f>ROUND(K316/VLOOKUP(L316,Camion!A:D, 3, FALSE) - N316,2)</f>
        <v>0.82</v>
      </c>
      <c r="P316" s="63" t="s">
        <v>129</v>
      </c>
    </row>
    <row r="317" spans="1:16" x14ac:dyDescent="0.25">
      <c r="A317" s="7">
        <v>13</v>
      </c>
      <c r="B317" s="62" t="s">
        <v>184</v>
      </c>
      <c r="C317" s="63" t="s">
        <v>1</v>
      </c>
      <c r="D317" s="63" t="s">
        <v>135</v>
      </c>
      <c r="E317" s="63" t="s">
        <v>78</v>
      </c>
      <c r="F317" s="63" t="s">
        <v>127</v>
      </c>
      <c r="G317" s="63">
        <v>5</v>
      </c>
      <c r="H317" s="63" t="s">
        <v>133</v>
      </c>
      <c r="I317" s="63">
        <f>INDEX(Matériel!A:Z, MATCH(E317, Matériel!A:A, 0), MATCH(H317, INDEX(Matériel!A:Z, MATCH(E317, Matériel!A:A, 0), 0), 0) + 1)</f>
        <v>1</v>
      </c>
      <c r="J317" s="63">
        <f t="shared" si="30"/>
        <v>5</v>
      </c>
      <c r="K317" s="63">
        <f>VLOOKUP(H317,Manutention!A:E, 3, FALSE) * J317</f>
        <v>10</v>
      </c>
      <c r="L317" s="63" t="s">
        <v>165</v>
      </c>
      <c r="M317" s="63">
        <f>ROUNDUP(K317/VLOOKUP(L317,Camion!A:D, 3, FALSE),0)</f>
        <v>1</v>
      </c>
      <c r="N317" s="63">
        <f>INT(K317/VLOOKUP(L317,Camion!A:D, 3, FALSE))</f>
        <v>0</v>
      </c>
      <c r="O317" s="64">
        <f>ROUND(K317/VLOOKUP(L317,Camion!A:D, 3, FALSE) - N317,2)</f>
        <v>0.83</v>
      </c>
      <c r="P317" s="63" t="s">
        <v>129</v>
      </c>
    </row>
    <row r="318" spans="1:16" x14ac:dyDescent="0.25">
      <c r="A318" s="7">
        <v>13</v>
      </c>
      <c r="B318" s="62" t="s">
        <v>184</v>
      </c>
      <c r="C318" s="63" t="s">
        <v>1</v>
      </c>
      <c r="D318" s="63" t="s">
        <v>135</v>
      </c>
      <c r="E318" s="63" t="s">
        <v>79</v>
      </c>
      <c r="F318" s="63" t="s">
        <v>127</v>
      </c>
      <c r="G318" s="63">
        <v>3</v>
      </c>
      <c r="H318" s="63" t="s">
        <v>133</v>
      </c>
      <c r="I318" s="63">
        <f>INDEX(Matériel!A:Z, MATCH(E318, Matériel!A:A, 0), MATCH(H318, INDEX(Matériel!A:Z, MATCH(E318, Matériel!A:A, 0), 0), 0) + 1)</f>
        <v>1</v>
      </c>
      <c r="J318" s="63">
        <f t="shared" si="30"/>
        <v>3</v>
      </c>
      <c r="K318" s="63">
        <f>VLOOKUP(H318,Manutention!A:E, 3, FALSE) * J318</f>
        <v>6</v>
      </c>
      <c r="L318" s="63" t="s">
        <v>164</v>
      </c>
      <c r="M318" s="63">
        <f>ROUNDUP(K318/VLOOKUP(L318,Camion!A:D, 3, FALSE),0)</f>
        <v>1</v>
      </c>
      <c r="N318" s="63">
        <f>INT(K318/VLOOKUP(L318,Camion!A:D, 3, FALSE))</f>
        <v>0</v>
      </c>
      <c r="O318" s="64">
        <f>ROUND(K318/VLOOKUP(L318,Camion!A:D, 3, FALSE) - N318,2)</f>
        <v>0.67</v>
      </c>
      <c r="P318" s="63" t="s">
        <v>129</v>
      </c>
    </row>
    <row r="319" spans="1:16" x14ac:dyDescent="0.25">
      <c r="A319" s="7">
        <v>13</v>
      </c>
      <c r="B319" s="62" t="s">
        <v>184</v>
      </c>
      <c r="C319" s="63" t="s">
        <v>1</v>
      </c>
      <c r="D319" s="63" t="s">
        <v>128</v>
      </c>
      <c r="E319" s="63" t="s">
        <v>81</v>
      </c>
      <c r="F319" s="63" t="s">
        <v>127</v>
      </c>
      <c r="G319" s="63">
        <v>12</v>
      </c>
      <c r="H319" s="63" t="s">
        <v>131</v>
      </c>
      <c r="I319" s="63">
        <f>INDEX(Matériel!A:Z, MATCH(E319, Matériel!A:A, 0), MATCH(H319, INDEX(Matériel!A:Z, MATCH(E319, Matériel!A:A, 0), 0), 0) + 1)</f>
        <v>100</v>
      </c>
      <c r="J319" s="63">
        <f t="shared" si="30"/>
        <v>1</v>
      </c>
      <c r="K319" s="63">
        <f>VLOOKUP(H319,Manutention!A:E, 3, FALSE) * J319</f>
        <v>1</v>
      </c>
      <c r="L319" s="63" t="s">
        <v>164</v>
      </c>
      <c r="M319" s="63">
        <f>ROUNDUP(K319/VLOOKUP(L319,Camion!A:D, 3, FALSE),0)</f>
        <v>1</v>
      </c>
      <c r="N319" s="63">
        <f>INT(K319/VLOOKUP(L319,Camion!A:D, 3, FALSE))</f>
        <v>0</v>
      </c>
      <c r="O319" s="64">
        <f>ROUND(K319/VLOOKUP(L319,Camion!A:D, 3, FALSE) - N319,2)</f>
        <v>0.11</v>
      </c>
      <c r="P319" s="63" t="s">
        <v>130</v>
      </c>
    </row>
    <row r="320" spans="1:16" x14ac:dyDescent="0.25">
      <c r="A320" s="7">
        <v>13</v>
      </c>
      <c r="B320" s="5" t="s">
        <v>184</v>
      </c>
      <c r="C320" s="65"/>
      <c r="D320" s="65"/>
      <c r="E320" s="65" t="s">
        <v>187</v>
      </c>
      <c r="F320" s="65"/>
      <c r="G320" s="65"/>
      <c r="H320" s="65" t="s">
        <v>131</v>
      </c>
      <c r="I320" s="65"/>
      <c r="J320" s="65"/>
      <c r="K320" s="65">
        <f>SUMIFS(K:K, A:A, 13, B:B, "Z1 Z2", P:P, "Oui", D:D, "Production")</f>
        <v>1</v>
      </c>
      <c r="L320" s="65" t="s">
        <v>164</v>
      </c>
      <c r="M320" s="65">
        <f>ROUNDUP(K320/VLOOKUP(L320,Camion!A:D, 3, FALSE),0)</f>
        <v>1</v>
      </c>
      <c r="N320" s="65">
        <f>INT(K320/VLOOKUP(L320,Camion!A:D, 3, FALSE))</f>
        <v>0</v>
      </c>
      <c r="O320" s="66">
        <f>ROUND(K320/VLOOKUP(L320,Camion!A:D, 3, FALSE) - N320,2)</f>
        <v>0.11</v>
      </c>
      <c r="P320" s="65"/>
    </row>
    <row r="321" spans="1:16" x14ac:dyDescent="0.25">
      <c r="A321" s="7">
        <v>13</v>
      </c>
      <c r="B321" s="5" t="s">
        <v>184</v>
      </c>
      <c r="C321" s="65"/>
      <c r="D321" s="65"/>
      <c r="E321" s="65" t="s">
        <v>188</v>
      </c>
      <c r="F321" s="65"/>
      <c r="G321" s="65"/>
      <c r="H321" s="65" t="s">
        <v>131</v>
      </c>
      <c r="I321" s="65"/>
      <c r="J321" s="65"/>
      <c r="K321" s="65">
        <f>SUMIFS(K:K, A:A, 13, B:B, "Z1 Z2", P:P, "Oui", D:D, "Terminaux")</f>
        <v>32</v>
      </c>
      <c r="L321" s="65" t="s">
        <v>168</v>
      </c>
      <c r="M321" s="65">
        <f>ROUNDUP(K321/VLOOKUP(L321,Camion!A:D, 3, FALSE),0)</f>
        <v>1</v>
      </c>
      <c r="N321" s="65">
        <f>INT(K321/VLOOKUP(L321,Camion!A:D, 3, FALSE))</f>
        <v>0</v>
      </c>
      <c r="O321" s="66">
        <f>ROUND(K321/VLOOKUP(L321,Camion!A:D, 3, FALSE) - N321,2)</f>
        <v>0.94</v>
      </c>
      <c r="P321" s="65"/>
    </row>
    <row r="322" spans="1:16" x14ac:dyDescent="0.25">
      <c r="A322" s="7">
        <v>13</v>
      </c>
      <c r="B322" s="62" t="s">
        <v>185</v>
      </c>
      <c r="C322" s="63" t="s">
        <v>1</v>
      </c>
      <c r="D322" s="63" t="s">
        <v>128</v>
      </c>
      <c r="E322" s="63" t="s">
        <v>71</v>
      </c>
      <c r="F322" s="63" t="s">
        <v>138</v>
      </c>
      <c r="G322" s="63">
        <v>394</v>
      </c>
      <c r="H322" s="63" t="s">
        <v>139</v>
      </c>
      <c r="I322" s="63">
        <f>INDEX(Matériel!A:Z, MATCH(E322, Matériel!A:A, 0), MATCH(H322, INDEX(Matériel!A:Z, MATCH(E322, Matériel!A:A, 0), 0), 0) + 1)</f>
        <v>150</v>
      </c>
      <c r="J322" s="63">
        <f t="shared" ref="J322:J329" si="31">ROUNDUP(G322 / I322, 0)</f>
        <v>3</v>
      </c>
      <c r="K322" s="63">
        <f>VLOOKUP(H322,Manutention!A:E, 3, FALSE) * J322</f>
        <v>9</v>
      </c>
      <c r="L322" s="63" t="s">
        <v>164</v>
      </c>
      <c r="M322" s="63">
        <f>ROUNDUP(K322/VLOOKUP(L322,Camion!A:D, 3, FALSE),0)</f>
        <v>1</v>
      </c>
      <c r="N322" s="63">
        <f>INT(K322/VLOOKUP(L322,Camion!A:D, 3, FALSE))</f>
        <v>1</v>
      </c>
      <c r="O322" s="64">
        <f>ROUND(K322/VLOOKUP(L322,Camion!A:D, 3, FALSE) - N322,2)</f>
        <v>0</v>
      </c>
      <c r="P322" s="63" t="s">
        <v>130</v>
      </c>
    </row>
    <row r="323" spans="1:16" x14ac:dyDescent="0.25">
      <c r="A323" s="7">
        <v>13</v>
      </c>
      <c r="B323" s="62" t="s">
        <v>185</v>
      </c>
      <c r="C323" s="63" t="s">
        <v>1</v>
      </c>
      <c r="D323" s="63" t="s">
        <v>135</v>
      </c>
      <c r="E323" s="63" t="s">
        <v>72</v>
      </c>
      <c r="F323" s="63" t="s">
        <v>138</v>
      </c>
      <c r="G323" s="63">
        <v>1206</v>
      </c>
      <c r="H323" s="63" t="s">
        <v>143</v>
      </c>
      <c r="I323" s="63">
        <f>INDEX(Matériel!A:Z, MATCH(E323, Matériel!A:A, 0), MATCH(H323, INDEX(Matériel!A:Z, MATCH(E323, Matériel!A:A, 0), 0), 0) + 1)</f>
        <v>1000</v>
      </c>
      <c r="J323" s="63">
        <f t="shared" si="31"/>
        <v>2</v>
      </c>
      <c r="K323" s="63">
        <f>VLOOKUP(H323,Manutention!A:E, 3, FALSE) * J323</f>
        <v>2</v>
      </c>
      <c r="L323" s="63" t="s">
        <v>164</v>
      </c>
      <c r="M323" s="63">
        <f>ROUNDUP(K323/VLOOKUP(L323,Camion!A:D, 3, FALSE),0)</f>
        <v>1</v>
      </c>
      <c r="N323" s="63">
        <f>INT(K323/VLOOKUP(L323,Camion!A:D, 3, FALSE))</f>
        <v>0</v>
      </c>
      <c r="O323" s="64">
        <f>ROUND(K323/VLOOKUP(L323,Camion!A:D, 3, FALSE) - N323,2)</f>
        <v>0.22</v>
      </c>
      <c r="P323" s="63" t="s">
        <v>130</v>
      </c>
    </row>
    <row r="324" spans="1:16" x14ac:dyDescent="0.25">
      <c r="A324" s="7">
        <v>13</v>
      </c>
      <c r="B324" s="62" t="s">
        <v>185</v>
      </c>
      <c r="C324" s="63" t="s">
        <v>1</v>
      </c>
      <c r="D324" s="63" t="s">
        <v>135</v>
      </c>
      <c r="E324" s="63" t="s">
        <v>75</v>
      </c>
      <c r="F324" s="63" t="s">
        <v>127</v>
      </c>
      <c r="G324" s="63">
        <v>62</v>
      </c>
      <c r="H324" s="63" t="s">
        <v>136</v>
      </c>
      <c r="I324" s="63">
        <f>INDEX(Matériel!A:Z, MATCH(E324, Matériel!A:A, 0), MATCH(H324, INDEX(Matériel!A:Z, MATCH(E324, Matériel!A:A, 0), 0), 0) + 1)</f>
        <v>60</v>
      </c>
      <c r="J324" s="63">
        <f t="shared" si="31"/>
        <v>2</v>
      </c>
      <c r="K324" s="63">
        <f>VLOOKUP(H324,Manutention!A:E, 3, FALSE) * J324</f>
        <v>2</v>
      </c>
      <c r="L324" s="63" t="s">
        <v>164</v>
      </c>
      <c r="M324" s="63">
        <f>ROUNDUP(K324/VLOOKUP(L324,Camion!A:D, 3, FALSE),0)</f>
        <v>1</v>
      </c>
      <c r="N324" s="63">
        <f>INT(K324/VLOOKUP(L324,Camion!A:D, 3, FALSE))</f>
        <v>0</v>
      </c>
      <c r="O324" s="64">
        <f>ROUND(K324/VLOOKUP(L324,Camion!A:D, 3, FALSE) - N324,2)</f>
        <v>0.22</v>
      </c>
      <c r="P324" s="63" t="s">
        <v>129</v>
      </c>
    </row>
    <row r="325" spans="1:16" x14ac:dyDescent="0.25">
      <c r="A325" s="7">
        <v>13</v>
      </c>
      <c r="B325" s="62" t="s">
        <v>185</v>
      </c>
      <c r="C325" s="63" t="s">
        <v>1</v>
      </c>
      <c r="D325" s="63" t="s">
        <v>128</v>
      </c>
      <c r="E325" s="63" t="s">
        <v>76</v>
      </c>
      <c r="F325" s="63" t="s">
        <v>127</v>
      </c>
      <c r="G325" s="63">
        <v>31</v>
      </c>
      <c r="H325" s="63" t="s">
        <v>131</v>
      </c>
      <c r="I325" s="63">
        <f>INDEX(Matériel!A:Z, MATCH(E325, Matériel!A:A, 0), MATCH(H325, INDEX(Matériel!A:Z, MATCH(E325, Matériel!A:A, 0), 0), 0) + 1)</f>
        <v>100</v>
      </c>
      <c r="J325" s="63">
        <f t="shared" si="31"/>
        <v>1</v>
      </c>
      <c r="K325" s="63">
        <f>VLOOKUP(H325,Manutention!A:E, 3, FALSE) * J325</f>
        <v>1</v>
      </c>
      <c r="L325" s="63" t="s">
        <v>164</v>
      </c>
      <c r="M325" s="63">
        <f>ROUNDUP(K325/VLOOKUP(L325,Camion!A:D, 3, FALSE),0)</f>
        <v>1</v>
      </c>
      <c r="N325" s="63">
        <f>INT(K325/VLOOKUP(L325,Camion!A:D, 3, FALSE))</f>
        <v>0</v>
      </c>
      <c r="O325" s="64">
        <f>ROUND(K325/VLOOKUP(L325,Camion!A:D, 3, FALSE) - N325,2)</f>
        <v>0.11</v>
      </c>
      <c r="P325" s="63" t="s">
        <v>129</v>
      </c>
    </row>
    <row r="326" spans="1:16" x14ac:dyDescent="0.25">
      <c r="A326" s="7">
        <v>13</v>
      </c>
      <c r="B326" s="62" t="s">
        <v>185</v>
      </c>
      <c r="C326" s="63" t="s">
        <v>1</v>
      </c>
      <c r="D326" s="63" t="s">
        <v>135</v>
      </c>
      <c r="E326" s="63" t="s">
        <v>77</v>
      </c>
      <c r="F326" s="63" t="s">
        <v>127</v>
      </c>
      <c r="G326" s="63">
        <v>258</v>
      </c>
      <c r="H326" s="63" t="s">
        <v>131</v>
      </c>
      <c r="I326" s="63">
        <f>INDEX(Matériel!A:Z, MATCH(E326, Matériel!A:A, 0), MATCH(H326, INDEX(Matériel!A:Z, MATCH(E326, Matériel!A:A, 0), 0), 0) + 1)</f>
        <v>20</v>
      </c>
      <c r="J326" s="63">
        <f t="shared" si="31"/>
        <v>13</v>
      </c>
      <c r="K326" s="63">
        <f>VLOOKUP(H326,Manutention!A:E, 3, FALSE) * J326</f>
        <v>13</v>
      </c>
      <c r="L326" s="63" t="s">
        <v>166</v>
      </c>
      <c r="M326" s="63">
        <f>ROUNDUP(K326/VLOOKUP(L326,Camion!A:D, 3, FALSE),0)</f>
        <v>1</v>
      </c>
      <c r="N326" s="63">
        <f>INT(K326/VLOOKUP(L326,Camion!A:D, 3, FALSE))</f>
        <v>0</v>
      </c>
      <c r="O326" s="64">
        <f>ROUND(K326/VLOOKUP(L326,Camion!A:D, 3, FALSE) - N326,2)</f>
        <v>0.76</v>
      </c>
      <c r="P326" s="63" t="s">
        <v>129</v>
      </c>
    </row>
    <row r="327" spans="1:16" x14ac:dyDescent="0.25">
      <c r="A327" s="7">
        <v>13</v>
      </c>
      <c r="B327" s="62" t="s">
        <v>185</v>
      </c>
      <c r="C327" s="63" t="s">
        <v>1</v>
      </c>
      <c r="D327" s="63" t="s">
        <v>135</v>
      </c>
      <c r="E327" s="63" t="s">
        <v>78</v>
      </c>
      <c r="F327" s="63" t="s">
        <v>127</v>
      </c>
      <c r="G327" s="63">
        <v>5</v>
      </c>
      <c r="H327" s="63" t="s">
        <v>133</v>
      </c>
      <c r="I327" s="63">
        <f>INDEX(Matériel!A:Z, MATCH(E327, Matériel!A:A, 0), MATCH(H327, INDEX(Matériel!A:Z, MATCH(E327, Matériel!A:A, 0), 0), 0) + 1)</f>
        <v>1</v>
      </c>
      <c r="J327" s="63">
        <f t="shared" si="31"/>
        <v>5</v>
      </c>
      <c r="K327" s="63">
        <f>VLOOKUP(H327,Manutention!A:E, 3, FALSE) * J327</f>
        <v>10</v>
      </c>
      <c r="L327" s="63" t="s">
        <v>165</v>
      </c>
      <c r="M327" s="63">
        <f>ROUNDUP(K327/VLOOKUP(L327,Camion!A:D, 3, FALSE),0)</f>
        <v>1</v>
      </c>
      <c r="N327" s="63">
        <f>INT(K327/VLOOKUP(L327,Camion!A:D, 3, FALSE))</f>
        <v>0</v>
      </c>
      <c r="O327" s="64">
        <f>ROUND(K327/VLOOKUP(L327,Camion!A:D, 3, FALSE) - N327,2)</f>
        <v>0.83</v>
      </c>
      <c r="P327" s="63" t="s">
        <v>129</v>
      </c>
    </row>
    <row r="328" spans="1:16" x14ac:dyDescent="0.25">
      <c r="A328" s="7">
        <v>13</v>
      </c>
      <c r="B328" s="62" t="s">
        <v>185</v>
      </c>
      <c r="C328" s="63" t="s">
        <v>1</v>
      </c>
      <c r="D328" s="63" t="s">
        <v>135</v>
      </c>
      <c r="E328" s="63" t="s">
        <v>79</v>
      </c>
      <c r="F328" s="63" t="s">
        <v>127</v>
      </c>
      <c r="G328" s="63">
        <v>3</v>
      </c>
      <c r="H328" s="63" t="s">
        <v>133</v>
      </c>
      <c r="I328" s="63">
        <f>INDEX(Matériel!A:Z, MATCH(E328, Matériel!A:A, 0), MATCH(H328, INDEX(Matériel!A:Z, MATCH(E328, Matériel!A:A, 0), 0), 0) + 1)</f>
        <v>1</v>
      </c>
      <c r="J328" s="63">
        <f t="shared" si="31"/>
        <v>3</v>
      </c>
      <c r="K328" s="63">
        <f>VLOOKUP(H328,Manutention!A:E, 3, FALSE) * J328</f>
        <v>6</v>
      </c>
      <c r="L328" s="63" t="s">
        <v>164</v>
      </c>
      <c r="M328" s="63">
        <f>ROUNDUP(K328/VLOOKUP(L328,Camion!A:D, 3, FALSE),0)</f>
        <v>1</v>
      </c>
      <c r="N328" s="63">
        <f>INT(K328/VLOOKUP(L328,Camion!A:D, 3, FALSE))</f>
        <v>0</v>
      </c>
      <c r="O328" s="64">
        <f>ROUND(K328/VLOOKUP(L328,Camion!A:D, 3, FALSE) - N328,2)</f>
        <v>0.67</v>
      </c>
      <c r="P328" s="63" t="s">
        <v>129</v>
      </c>
    </row>
    <row r="329" spans="1:16" x14ac:dyDescent="0.25">
      <c r="A329" s="7">
        <v>13</v>
      </c>
      <c r="B329" s="62" t="s">
        <v>185</v>
      </c>
      <c r="C329" s="63" t="s">
        <v>1</v>
      </c>
      <c r="D329" s="63" t="s">
        <v>128</v>
      </c>
      <c r="E329" s="63" t="s">
        <v>81</v>
      </c>
      <c r="F329" s="63" t="s">
        <v>127</v>
      </c>
      <c r="G329" s="63">
        <v>11</v>
      </c>
      <c r="H329" s="63" t="s">
        <v>131</v>
      </c>
      <c r="I329" s="63">
        <f>INDEX(Matériel!A:Z, MATCH(E329, Matériel!A:A, 0), MATCH(H329, INDEX(Matériel!A:Z, MATCH(E329, Matériel!A:A, 0), 0), 0) + 1)</f>
        <v>100</v>
      </c>
      <c r="J329" s="63">
        <f t="shared" si="31"/>
        <v>1</v>
      </c>
      <c r="K329" s="63">
        <f>VLOOKUP(H329,Manutention!A:E, 3, FALSE) * J329</f>
        <v>1</v>
      </c>
      <c r="L329" s="63" t="s">
        <v>164</v>
      </c>
      <c r="M329" s="63">
        <f>ROUNDUP(K329/VLOOKUP(L329,Camion!A:D, 3, FALSE),0)</f>
        <v>1</v>
      </c>
      <c r="N329" s="63">
        <f>INT(K329/VLOOKUP(L329,Camion!A:D, 3, FALSE))</f>
        <v>0</v>
      </c>
      <c r="O329" s="64">
        <f>ROUND(K329/VLOOKUP(L329,Camion!A:D, 3, FALSE) - N329,2)</f>
        <v>0.11</v>
      </c>
      <c r="P329" s="63" t="s">
        <v>130</v>
      </c>
    </row>
    <row r="330" spans="1:16" x14ac:dyDescent="0.25">
      <c r="A330" s="7">
        <v>13</v>
      </c>
      <c r="B330" s="5" t="s">
        <v>185</v>
      </c>
      <c r="C330" s="65"/>
      <c r="D330" s="65"/>
      <c r="E330" s="65" t="s">
        <v>187</v>
      </c>
      <c r="F330" s="65"/>
      <c r="G330" s="65"/>
      <c r="H330" s="65" t="s">
        <v>131</v>
      </c>
      <c r="I330" s="65"/>
      <c r="J330" s="65"/>
      <c r="K330" s="65">
        <f>SUMIFS(K:K, A:A, 13, B:B, "Z3 Z4", P:P, "Oui", D:D, "Production")</f>
        <v>1</v>
      </c>
      <c r="L330" s="65" t="s">
        <v>164</v>
      </c>
      <c r="M330" s="65">
        <f>ROUNDUP(K330/VLOOKUP(L330,Camion!A:D, 3, FALSE),0)</f>
        <v>1</v>
      </c>
      <c r="N330" s="65">
        <f>INT(K330/VLOOKUP(L330,Camion!A:D, 3, FALSE))</f>
        <v>0</v>
      </c>
      <c r="O330" s="66">
        <f>ROUND(K330/VLOOKUP(L330,Camion!A:D, 3, FALSE) - N330,2)</f>
        <v>0.11</v>
      </c>
      <c r="P330" s="65"/>
    </row>
    <row r="331" spans="1:16" x14ac:dyDescent="0.25">
      <c r="A331" s="7">
        <v>13</v>
      </c>
      <c r="B331" s="5" t="s">
        <v>185</v>
      </c>
      <c r="C331" s="65"/>
      <c r="D331" s="65"/>
      <c r="E331" s="65" t="s">
        <v>188</v>
      </c>
      <c r="F331" s="65"/>
      <c r="G331" s="65"/>
      <c r="H331" s="65" t="s">
        <v>131</v>
      </c>
      <c r="I331" s="65"/>
      <c r="J331" s="65"/>
      <c r="K331" s="65">
        <f>SUMIFS(K:K, A:A, 13, B:B, "Z3 Z4", P:P, "Oui", D:D, "Terminaux")</f>
        <v>31</v>
      </c>
      <c r="L331" s="65" t="s">
        <v>168</v>
      </c>
      <c r="M331" s="65">
        <f>ROUNDUP(K331/VLOOKUP(L331,Camion!A:D, 3, FALSE),0)</f>
        <v>1</v>
      </c>
      <c r="N331" s="65">
        <f>INT(K331/VLOOKUP(L331,Camion!A:D, 3, FALSE))</f>
        <v>0</v>
      </c>
      <c r="O331" s="66">
        <f>ROUND(K331/VLOOKUP(L331,Camion!A:D, 3, FALSE) - N331,2)</f>
        <v>0.91</v>
      </c>
      <c r="P331" s="65"/>
    </row>
    <row r="332" spans="1:16" x14ac:dyDescent="0.25">
      <c r="A332" s="7">
        <v>14</v>
      </c>
      <c r="B332" s="62" t="s">
        <v>184</v>
      </c>
      <c r="C332" s="63" t="s">
        <v>1</v>
      </c>
      <c r="D332" s="63" t="s">
        <v>128</v>
      </c>
      <c r="E332" s="63" t="s">
        <v>71</v>
      </c>
      <c r="F332" s="63" t="s">
        <v>138</v>
      </c>
      <c r="G332" s="63">
        <v>388</v>
      </c>
      <c r="H332" s="63" t="s">
        <v>139</v>
      </c>
      <c r="I332" s="63">
        <f>INDEX(Matériel!A:Z, MATCH(E332, Matériel!A:A, 0), MATCH(H332, INDEX(Matériel!A:Z, MATCH(E332, Matériel!A:A, 0), 0), 0) + 1)</f>
        <v>150</v>
      </c>
      <c r="J332" s="63">
        <f t="shared" ref="J332:J339" si="32">ROUNDUP(G332 / I332, 0)</f>
        <v>3</v>
      </c>
      <c r="K332" s="63">
        <f>VLOOKUP(H332,Manutention!A:E, 3, FALSE) * J332</f>
        <v>9</v>
      </c>
      <c r="L332" s="63" t="s">
        <v>164</v>
      </c>
      <c r="M332" s="63">
        <f>ROUNDUP(K332/VLOOKUP(L332,Camion!A:D, 3, FALSE),0)</f>
        <v>1</v>
      </c>
      <c r="N332" s="63">
        <f>INT(K332/VLOOKUP(L332,Camion!A:D, 3, FALSE))</f>
        <v>1</v>
      </c>
      <c r="O332" s="64">
        <f>ROUND(K332/VLOOKUP(L332,Camion!A:D, 3, FALSE) - N332,2)</f>
        <v>0</v>
      </c>
      <c r="P332" s="63" t="s">
        <v>130</v>
      </c>
    </row>
    <row r="333" spans="1:16" x14ac:dyDescent="0.25">
      <c r="A333" s="7">
        <v>14</v>
      </c>
      <c r="B333" s="62" t="s">
        <v>184</v>
      </c>
      <c r="C333" s="63" t="s">
        <v>1</v>
      </c>
      <c r="D333" s="63" t="s">
        <v>135</v>
      </c>
      <c r="E333" s="63" t="s">
        <v>72</v>
      </c>
      <c r="F333" s="63" t="s">
        <v>138</v>
      </c>
      <c r="G333" s="63">
        <v>1188</v>
      </c>
      <c r="H333" s="63" t="s">
        <v>143</v>
      </c>
      <c r="I333" s="63">
        <f>INDEX(Matériel!A:Z, MATCH(E333, Matériel!A:A, 0), MATCH(H333, INDEX(Matériel!A:Z, MATCH(E333, Matériel!A:A, 0), 0), 0) + 1)</f>
        <v>1000</v>
      </c>
      <c r="J333" s="63">
        <f t="shared" si="32"/>
        <v>2</v>
      </c>
      <c r="K333" s="63">
        <f>VLOOKUP(H333,Manutention!A:E, 3, FALSE) * J333</f>
        <v>2</v>
      </c>
      <c r="L333" s="63" t="s">
        <v>164</v>
      </c>
      <c r="M333" s="63">
        <f>ROUNDUP(K333/VLOOKUP(L333,Camion!A:D, 3, FALSE),0)</f>
        <v>1</v>
      </c>
      <c r="N333" s="63">
        <f>INT(K333/VLOOKUP(L333,Camion!A:D, 3, FALSE))</f>
        <v>0</v>
      </c>
      <c r="O333" s="64">
        <f>ROUND(K333/VLOOKUP(L333,Camion!A:D, 3, FALSE) - N333,2)</f>
        <v>0.22</v>
      </c>
      <c r="P333" s="63" t="s">
        <v>130</v>
      </c>
    </row>
    <row r="334" spans="1:16" x14ac:dyDescent="0.25">
      <c r="A334" s="7">
        <v>14</v>
      </c>
      <c r="B334" s="62" t="s">
        <v>184</v>
      </c>
      <c r="C334" s="63" t="s">
        <v>1</v>
      </c>
      <c r="D334" s="63" t="s">
        <v>135</v>
      </c>
      <c r="E334" s="63" t="s">
        <v>75</v>
      </c>
      <c r="F334" s="63" t="s">
        <v>127</v>
      </c>
      <c r="G334" s="63">
        <v>61</v>
      </c>
      <c r="H334" s="63" t="s">
        <v>136</v>
      </c>
      <c r="I334" s="63">
        <f>INDEX(Matériel!A:Z, MATCH(E334, Matériel!A:A, 0), MATCH(H334, INDEX(Matériel!A:Z, MATCH(E334, Matériel!A:A, 0), 0), 0) + 1)</f>
        <v>60</v>
      </c>
      <c r="J334" s="63">
        <f t="shared" si="32"/>
        <v>2</v>
      </c>
      <c r="K334" s="63">
        <f>VLOOKUP(H334,Manutention!A:E, 3, FALSE) * J334</f>
        <v>2</v>
      </c>
      <c r="L334" s="63" t="s">
        <v>164</v>
      </c>
      <c r="M334" s="63">
        <f>ROUNDUP(K334/VLOOKUP(L334,Camion!A:D, 3, FALSE),0)</f>
        <v>1</v>
      </c>
      <c r="N334" s="63">
        <f>INT(K334/VLOOKUP(L334,Camion!A:D, 3, FALSE))</f>
        <v>0</v>
      </c>
      <c r="O334" s="64">
        <f>ROUND(K334/VLOOKUP(L334,Camion!A:D, 3, FALSE) - N334,2)</f>
        <v>0.22</v>
      </c>
      <c r="P334" s="63" t="s">
        <v>129</v>
      </c>
    </row>
    <row r="335" spans="1:16" x14ac:dyDescent="0.25">
      <c r="A335" s="7">
        <v>14</v>
      </c>
      <c r="B335" s="62" t="s">
        <v>184</v>
      </c>
      <c r="C335" s="63" t="s">
        <v>1</v>
      </c>
      <c r="D335" s="63" t="s">
        <v>128</v>
      </c>
      <c r="E335" s="63" t="s">
        <v>76</v>
      </c>
      <c r="F335" s="63" t="s">
        <v>127</v>
      </c>
      <c r="G335" s="63">
        <v>30</v>
      </c>
      <c r="H335" s="63" t="s">
        <v>131</v>
      </c>
      <c r="I335" s="63">
        <f>INDEX(Matériel!A:Z, MATCH(E335, Matériel!A:A, 0), MATCH(H335, INDEX(Matériel!A:Z, MATCH(E335, Matériel!A:A, 0), 0), 0) + 1)</f>
        <v>100</v>
      </c>
      <c r="J335" s="63">
        <f t="shared" si="32"/>
        <v>1</v>
      </c>
      <c r="K335" s="63">
        <f>VLOOKUP(H335,Manutention!A:E, 3, FALSE) * J335</f>
        <v>1</v>
      </c>
      <c r="L335" s="63" t="s">
        <v>164</v>
      </c>
      <c r="M335" s="63">
        <f>ROUNDUP(K335/VLOOKUP(L335,Camion!A:D, 3, FALSE),0)</f>
        <v>1</v>
      </c>
      <c r="N335" s="63">
        <f>INT(K335/VLOOKUP(L335,Camion!A:D, 3, FALSE))</f>
        <v>0</v>
      </c>
      <c r="O335" s="64">
        <f>ROUND(K335/VLOOKUP(L335,Camion!A:D, 3, FALSE) - N335,2)</f>
        <v>0.11</v>
      </c>
      <c r="P335" s="63" t="s">
        <v>129</v>
      </c>
    </row>
    <row r="336" spans="1:16" x14ac:dyDescent="0.25">
      <c r="A336" s="7">
        <v>14</v>
      </c>
      <c r="B336" s="62" t="s">
        <v>184</v>
      </c>
      <c r="C336" s="63" t="s">
        <v>1</v>
      </c>
      <c r="D336" s="63" t="s">
        <v>135</v>
      </c>
      <c r="E336" s="63" t="s">
        <v>77</v>
      </c>
      <c r="F336" s="63" t="s">
        <v>127</v>
      </c>
      <c r="G336" s="63">
        <v>254</v>
      </c>
      <c r="H336" s="63" t="s">
        <v>131</v>
      </c>
      <c r="I336" s="63">
        <f>INDEX(Matériel!A:Z, MATCH(E336, Matériel!A:A, 0), MATCH(H336, INDEX(Matériel!A:Z, MATCH(E336, Matériel!A:A, 0), 0), 0) + 1)</f>
        <v>20</v>
      </c>
      <c r="J336" s="63">
        <f t="shared" si="32"/>
        <v>13</v>
      </c>
      <c r="K336" s="63">
        <f>VLOOKUP(H336,Manutention!A:E, 3, FALSE) * J336</f>
        <v>13</v>
      </c>
      <c r="L336" s="63" t="s">
        <v>166</v>
      </c>
      <c r="M336" s="63">
        <f>ROUNDUP(K336/VLOOKUP(L336,Camion!A:D, 3, FALSE),0)</f>
        <v>1</v>
      </c>
      <c r="N336" s="63">
        <f>INT(K336/VLOOKUP(L336,Camion!A:D, 3, FALSE))</f>
        <v>0</v>
      </c>
      <c r="O336" s="64">
        <f>ROUND(K336/VLOOKUP(L336,Camion!A:D, 3, FALSE) - N336,2)</f>
        <v>0.76</v>
      </c>
      <c r="P336" s="63" t="s">
        <v>129</v>
      </c>
    </row>
    <row r="337" spans="1:16" x14ac:dyDescent="0.25">
      <c r="A337" s="7">
        <v>14</v>
      </c>
      <c r="B337" s="62" t="s">
        <v>184</v>
      </c>
      <c r="C337" s="63" t="s">
        <v>1</v>
      </c>
      <c r="D337" s="63" t="s">
        <v>135</v>
      </c>
      <c r="E337" s="63" t="s">
        <v>78</v>
      </c>
      <c r="F337" s="63" t="s">
        <v>127</v>
      </c>
      <c r="G337" s="63">
        <v>5</v>
      </c>
      <c r="H337" s="63" t="s">
        <v>133</v>
      </c>
      <c r="I337" s="63">
        <f>INDEX(Matériel!A:Z, MATCH(E337, Matériel!A:A, 0), MATCH(H337, INDEX(Matériel!A:Z, MATCH(E337, Matériel!A:A, 0), 0), 0) + 1)</f>
        <v>1</v>
      </c>
      <c r="J337" s="63">
        <f t="shared" si="32"/>
        <v>5</v>
      </c>
      <c r="K337" s="63">
        <f>VLOOKUP(H337,Manutention!A:E, 3, FALSE) * J337</f>
        <v>10</v>
      </c>
      <c r="L337" s="63" t="s">
        <v>165</v>
      </c>
      <c r="M337" s="63">
        <f>ROUNDUP(K337/VLOOKUP(L337,Camion!A:D, 3, FALSE),0)</f>
        <v>1</v>
      </c>
      <c r="N337" s="63">
        <f>INT(K337/VLOOKUP(L337,Camion!A:D, 3, FALSE))</f>
        <v>0</v>
      </c>
      <c r="O337" s="64">
        <f>ROUND(K337/VLOOKUP(L337,Camion!A:D, 3, FALSE) - N337,2)</f>
        <v>0.83</v>
      </c>
      <c r="P337" s="63" t="s">
        <v>129</v>
      </c>
    </row>
    <row r="338" spans="1:16" x14ac:dyDescent="0.25">
      <c r="A338" s="7">
        <v>14</v>
      </c>
      <c r="B338" s="62" t="s">
        <v>184</v>
      </c>
      <c r="C338" s="63" t="s">
        <v>1</v>
      </c>
      <c r="D338" s="63" t="s">
        <v>135</v>
      </c>
      <c r="E338" s="63" t="s">
        <v>79</v>
      </c>
      <c r="F338" s="63" t="s">
        <v>127</v>
      </c>
      <c r="G338" s="63">
        <v>3</v>
      </c>
      <c r="H338" s="63" t="s">
        <v>133</v>
      </c>
      <c r="I338" s="63">
        <f>INDEX(Matériel!A:Z, MATCH(E338, Matériel!A:A, 0), MATCH(H338, INDEX(Matériel!A:Z, MATCH(E338, Matériel!A:A, 0), 0), 0) + 1)</f>
        <v>1</v>
      </c>
      <c r="J338" s="63">
        <f t="shared" si="32"/>
        <v>3</v>
      </c>
      <c r="K338" s="63">
        <f>VLOOKUP(H338,Manutention!A:E, 3, FALSE) * J338</f>
        <v>6</v>
      </c>
      <c r="L338" s="63" t="s">
        <v>164</v>
      </c>
      <c r="M338" s="63">
        <f>ROUNDUP(K338/VLOOKUP(L338,Camion!A:D, 3, FALSE),0)</f>
        <v>1</v>
      </c>
      <c r="N338" s="63">
        <f>INT(K338/VLOOKUP(L338,Camion!A:D, 3, FALSE))</f>
        <v>0</v>
      </c>
      <c r="O338" s="64">
        <f>ROUND(K338/VLOOKUP(L338,Camion!A:D, 3, FALSE) - N338,2)</f>
        <v>0.67</v>
      </c>
      <c r="P338" s="63" t="s">
        <v>129</v>
      </c>
    </row>
    <row r="339" spans="1:16" x14ac:dyDescent="0.25">
      <c r="A339" s="7">
        <v>14</v>
      </c>
      <c r="B339" s="62" t="s">
        <v>184</v>
      </c>
      <c r="C339" s="63" t="s">
        <v>1</v>
      </c>
      <c r="D339" s="63" t="s">
        <v>128</v>
      </c>
      <c r="E339" s="63" t="s">
        <v>81</v>
      </c>
      <c r="F339" s="63" t="s">
        <v>127</v>
      </c>
      <c r="G339" s="63">
        <v>11</v>
      </c>
      <c r="H339" s="63" t="s">
        <v>131</v>
      </c>
      <c r="I339" s="63">
        <f>INDEX(Matériel!A:Z, MATCH(E339, Matériel!A:A, 0), MATCH(H339, INDEX(Matériel!A:Z, MATCH(E339, Matériel!A:A, 0), 0), 0) + 1)</f>
        <v>100</v>
      </c>
      <c r="J339" s="63">
        <f t="shared" si="32"/>
        <v>1</v>
      </c>
      <c r="K339" s="63">
        <f>VLOOKUP(H339,Manutention!A:E, 3, FALSE) * J339</f>
        <v>1</v>
      </c>
      <c r="L339" s="63" t="s">
        <v>164</v>
      </c>
      <c r="M339" s="63">
        <f>ROUNDUP(K339/VLOOKUP(L339,Camion!A:D, 3, FALSE),0)</f>
        <v>1</v>
      </c>
      <c r="N339" s="63">
        <f>INT(K339/VLOOKUP(L339,Camion!A:D, 3, FALSE))</f>
        <v>0</v>
      </c>
      <c r="O339" s="64">
        <f>ROUND(K339/VLOOKUP(L339,Camion!A:D, 3, FALSE) - N339,2)</f>
        <v>0.11</v>
      </c>
      <c r="P339" s="63" t="s">
        <v>130</v>
      </c>
    </row>
    <row r="340" spans="1:16" x14ac:dyDescent="0.25">
      <c r="A340" s="7">
        <v>14</v>
      </c>
      <c r="B340" s="5" t="s">
        <v>184</v>
      </c>
      <c r="C340" s="65"/>
      <c r="D340" s="65"/>
      <c r="E340" s="65" t="s">
        <v>187</v>
      </c>
      <c r="F340" s="65"/>
      <c r="G340" s="65"/>
      <c r="H340" s="65" t="s">
        <v>131</v>
      </c>
      <c r="I340" s="65"/>
      <c r="J340" s="65"/>
      <c r="K340" s="65">
        <f>SUMIFS(K:K, A:A, 14, B:B, "Z1 Z2", P:P, "Oui", D:D, "Production")</f>
        <v>1</v>
      </c>
      <c r="L340" s="65" t="s">
        <v>164</v>
      </c>
      <c r="M340" s="65">
        <f>ROUNDUP(K340/VLOOKUP(L340,Camion!A:D, 3, FALSE),0)</f>
        <v>1</v>
      </c>
      <c r="N340" s="65">
        <f>INT(K340/VLOOKUP(L340,Camion!A:D, 3, FALSE))</f>
        <v>0</v>
      </c>
      <c r="O340" s="66">
        <f>ROUND(K340/VLOOKUP(L340,Camion!A:D, 3, FALSE) - N340,2)</f>
        <v>0.11</v>
      </c>
      <c r="P340" s="65"/>
    </row>
    <row r="341" spans="1:16" x14ac:dyDescent="0.25">
      <c r="A341" s="7">
        <v>14</v>
      </c>
      <c r="B341" s="5" t="s">
        <v>184</v>
      </c>
      <c r="C341" s="65"/>
      <c r="D341" s="65"/>
      <c r="E341" s="65" t="s">
        <v>188</v>
      </c>
      <c r="F341" s="65"/>
      <c r="G341" s="65"/>
      <c r="H341" s="65" t="s">
        <v>131</v>
      </c>
      <c r="I341" s="65"/>
      <c r="J341" s="65"/>
      <c r="K341" s="65">
        <f>SUMIFS(K:K, A:A, 14, B:B, "Z1 Z2", P:P, "Oui", D:D, "Terminaux")</f>
        <v>31</v>
      </c>
      <c r="L341" s="65" t="s">
        <v>168</v>
      </c>
      <c r="M341" s="65">
        <f>ROUNDUP(K341/VLOOKUP(L341,Camion!A:D, 3, FALSE),0)</f>
        <v>1</v>
      </c>
      <c r="N341" s="65">
        <f>INT(K341/VLOOKUP(L341,Camion!A:D, 3, FALSE))</f>
        <v>0</v>
      </c>
      <c r="O341" s="66">
        <f>ROUND(K341/VLOOKUP(L341,Camion!A:D, 3, FALSE) - N341,2)</f>
        <v>0.91</v>
      </c>
      <c r="P341" s="65"/>
    </row>
    <row r="342" spans="1:16" x14ac:dyDescent="0.25">
      <c r="A342" s="7">
        <v>14</v>
      </c>
      <c r="B342" s="62" t="s">
        <v>185</v>
      </c>
      <c r="C342" s="63" t="s">
        <v>1</v>
      </c>
      <c r="D342" s="63" t="s">
        <v>128</v>
      </c>
      <c r="E342" s="63" t="s">
        <v>71</v>
      </c>
      <c r="F342" s="63" t="s">
        <v>138</v>
      </c>
      <c r="G342" s="63">
        <v>382</v>
      </c>
      <c r="H342" s="63" t="s">
        <v>139</v>
      </c>
      <c r="I342" s="63">
        <f>INDEX(Matériel!A:Z, MATCH(E342, Matériel!A:A, 0), MATCH(H342, INDEX(Matériel!A:Z, MATCH(E342, Matériel!A:A, 0), 0), 0) + 1)</f>
        <v>150</v>
      </c>
      <c r="J342" s="63">
        <f t="shared" ref="J342:J349" si="33">ROUNDUP(G342 / I342, 0)</f>
        <v>3</v>
      </c>
      <c r="K342" s="63">
        <f>VLOOKUP(H342,Manutention!A:E, 3, FALSE) * J342</f>
        <v>9</v>
      </c>
      <c r="L342" s="63" t="s">
        <v>164</v>
      </c>
      <c r="M342" s="63">
        <f>ROUNDUP(K342/VLOOKUP(L342,Camion!A:D, 3, FALSE),0)</f>
        <v>1</v>
      </c>
      <c r="N342" s="63">
        <f>INT(K342/VLOOKUP(L342,Camion!A:D, 3, FALSE))</f>
        <v>1</v>
      </c>
      <c r="O342" s="64">
        <f>ROUND(K342/VLOOKUP(L342,Camion!A:D, 3, FALSE) - N342,2)</f>
        <v>0</v>
      </c>
      <c r="P342" s="63" t="s">
        <v>130</v>
      </c>
    </row>
    <row r="343" spans="1:16" x14ac:dyDescent="0.25">
      <c r="A343" s="7">
        <v>14</v>
      </c>
      <c r="B343" s="62" t="s">
        <v>185</v>
      </c>
      <c r="C343" s="63" t="s">
        <v>1</v>
      </c>
      <c r="D343" s="63" t="s">
        <v>135</v>
      </c>
      <c r="E343" s="63" t="s">
        <v>72</v>
      </c>
      <c r="F343" s="63" t="s">
        <v>138</v>
      </c>
      <c r="G343" s="63">
        <v>1170</v>
      </c>
      <c r="H343" s="63" t="s">
        <v>143</v>
      </c>
      <c r="I343" s="63">
        <f>INDEX(Matériel!A:Z, MATCH(E343, Matériel!A:A, 0), MATCH(H343, INDEX(Matériel!A:Z, MATCH(E343, Matériel!A:A, 0), 0), 0) + 1)</f>
        <v>1000</v>
      </c>
      <c r="J343" s="63">
        <f t="shared" si="33"/>
        <v>2</v>
      </c>
      <c r="K343" s="63">
        <f>VLOOKUP(H343,Manutention!A:E, 3, FALSE) * J343</f>
        <v>2</v>
      </c>
      <c r="L343" s="63" t="s">
        <v>164</v>
      </c>
      <c r="M343" s="63">
        <f>ROUNDUP(K343/VLOOKUP(L343,Camion!A:D, 3, FALSE),0)</f>
        <v>1</v>
      </c>
      <c r="N343" s="63">
        <f>INT(K343/VLOOKUP(L343,Camion!A:D, 3, FALSE))</f>
        <v>0</v>
      </c>
      <c r="O343" s="64">
        <f>ROUND(K343/VLOOKUP(L343,Camion!A:D, 3, FALSE) - N343,2)</f>
        <v>0.22</v>
      </c>
      <c r="P343" s="63" t="s">
        <v>130</v>
      </c>
    </row>
    <row r="344" spans="1:16" x14ac:dyDescent="0.25">
      <c r="A344" s="7">
        <v>14</v>
      </c>
      <c r="B344" s="62" t="s">
        <v>185</v>
      </c>
      <c r="C344" s="63" t="s">
        <v>1</v>
      </c>
      <c r="D344" s="63" t="s">
        <v>135</v>
      </c>
      <c r="E344" s="63" t="s">
        <v>75</v>
      </c>
      <c r="F344" s="63" t="s">
        <v>127</v>
      </c>
      <c r="G344" s="63">
        <v>60</v>
      </c>
      <c r="H344" s="63" t="s">
        <v>136</v>
      </c>
      <c r="I344" s="63">
        <f>INDEX(Matériel!A:Z, MATCH(E344, Matériel!A:A, 0), MATCH(H344, INDEX(Matériel!A:Z, MATCH(E344, Matériel!A:A, 0), 0), 0) + 1)</f>
        <v>60</v>
      </c>
      <c r="J344" s="63">
        <f t="shared" si="33"/>
        <v>1</v>
      </c>
      <c r="K344" s="63">
        <f>VLOOKUP(H344,Manutention!A:E, 3, FALSE) * J344</f>
        <v>1</v>
      </c>
      <c r="L344" s="63" t="s">
        <v>164</v>
      </c>
      <c r="M344" s="63">
        <f>ROUNDUP(K344/VLOOKUP(L344,Camion!A:D, 3, FALSE),0)</f>
        <v>1</v>
      </c>
      <c r="N344" s="63">
        <f>INT(K344/VLOOKUP(L344,Camion!A:D, 3, FALSE))</f>
        <v>0</v>
      </c>
      <c r="O344" s="64">
        <f>ROUND(K344/VLOOKUP(L344,Camion!A:D, 3, FALSE) - N344,2)</f>
        <v>0.11</v>
      </c>
      <c r="P344" s="63" t="s">
        <v>129</v>
      </c>
    </row>
    <row r="345" spans="1:16" x14ac:dyDescent="0.25">
      <c r="A345" s="7">
        <v>14</v>
      </c>
      <c r="B345" s="62" t="s">
        <v>185</v>
      </c>
      <c r="C345" s="63" t="s">
        <v>1</v>
      </c>
      <c r="D345" s="63" t="s">
        <v>128</v>
      </c>
      <c r="E345" s="63" t="s">
        <v>76</v>
      </c>
      <c r="F345" s="63" t="s">
        <v>127</v>
      </c>
      <c r="G345" s="63">
        <v>30</v>
      </c>
      <c r="H345" s="63" t="s">
        <v>131</v>
      </c>
      <c r="I345" s="63">
        <f>INDEX(Matériel!A:Z, MATCH(E345, Matériel!A:A, 0), MATCH(H345, INDEX(Matériel!A:Z, MATCH(E345, Matériel!A:A, 0), 0), 0) + 1)</f>
        <v>100</v>
      </c>
      <c r="J345" s="63">
        <f t="shared" si="33"/>
        <v>1</v>
      </c>
      <c r="K345" s="63">
        <f>VLOOKUP(H345,Manutention!A:E, 3, FALSE) * J345</f>
        <v>1</v>
      </c>
      <c r="L345" s="63" t="s">
        <v>164</v>
      </c>
      <c r="M345" s="63">
        <f>ROUNDUP(K345/VLOOKUP(L345,Camion!A:D, 3, FALSE),0)</f>
        <v>1</v>
      </c>
      <c r="N345" s="63">
        <f>INT(K345/VLOOKUP(L345,Camion!A:D, 3, FALSE))</f>
        <v>0</v>
      </c>
      <c r="O345" s="64">
        <f>ROUND(K345/VLOOKUP(L345,Camion!A:D, 3, FALSE) - N345,2)</f>
        <v>0.11</v>
      </c>
      <c r="P345" s="63" t="s">
        <v>129</v>
      </c>
    </row>
    <row r="346" spans="1:16" x14ac:dyDescent="0.25">
      <c r="A346" s="7">
        <v>14</v>
      </c>
      <c r="B346" s="62" t="s">
        <v>185</v>
      </c>
      <c r="C346" s="63" t="s">
        <v>1</v>
      </c>
      <c r="D346" s="63" t="s">
        <v>135</v>
      </c>
      <c r="E346" s="63" t="s">
        <v>77</v>
      </c>
      <c r="F346" s="63" t="s">
        <v>127</v>
      </c>
      <c r="G346" s="63">
        <v>250</v>
      </c>
      <c r="H346" s="63" t="s">
        <v>131</v>
      </c>
      <c r="I346" s="63">
        <f>INDEX(Matériel!A:Z, MATCH(E346, Matériel!A:A, 0), MATCH(H346, INDEX(Matériel!A:Z, MATCH(E346, Matériel!A:A, 0), 0), 0) + 1)</f>
        <v>20</v>
      </c>
      <c r="J346" s="63">
        <f t="shared" si="33"/>
        <v>13</v>
      </c>
      <c r="K346" s="63">
        <f>VLOOKUP(H346,Manutention!A:E, 3, FALSE) * J346</f>
        <v>13</v>
      </c>
      <c r="L346" s="63" t="s">
        <v>166</v>
      </c>
      <c r="M346" s="63">
        <f>ROUNDUP(K346/VLOOKUP(L346,Camion!A:D, 3, FALSE),0)</f>
        <v>1</v>
      </c>
      <c r="N346" s="63">
        <f>INT(K346/VLOOKUP(L346,Camion!A:D, 3, FALSE))</f>
        <v>0</v>
      </c>
      <c r="O346" s="64">
        <f>ROUND(K346/VLOOKUP(L346,Camion!A:D, 3, FALSE) - N346,2)</f>
        <v>0.76</v>
      </c>
      <c r="P346" s="63" t="s">
        <v>129</v>
      </c>
    </row>
    <row r="347" spans="1:16" x14ac:dyDescent="0.25">
      <c r="A347" s="7">
        <v>14</v>
      </c>
      <c r="B347" s="62" t="s">
        <v>185</v>
      </c>
      <c r="C347" s="63" t="s">
        <v>1</v>
      </c>
      <c r="D347" s="63" t="s">
        <v>135</v>
      </c>
      <c r="E347" s="63" t="s">
        <v>78</v>
      </c>
      <c r="F347" s="63" t="s">
        <v>127</v>
      </c>
      <c r="G347" s="63">
        <v>5</v>
      </c>
      <c r="H347" s="63" t="s">
        <v>133</v>
      </c>
      <c r="I347" s="63">
        <f>INDEX(Matériel!A:Z, MATCH(E347, Matériel!A:A, 0), MATCH(H347, INDEX(Matériel!A:Z, MATCH(E347, Matériel!A:A, 0), 0), 0) + 1)</f>
        <v>1</v>
      </c>
      <c r="J347" s="63">
        <f t="shared" si="33"/>
        <v>5</v>
      </c>
      <c r="K347" s="63">
        <f>VLOOKUP(H347,Manutention!A:E, 3, FALSE) * J347</f>
        <v>10</v>
      </c>
      <c r="L347" s="63" t="s">
        <v>165</v>
      </c>
      <c r="M347" s="63">
        <f>ROUNDUP(K347/VLOOKUP(L347,Camion!A:D, 3, FALSE),0)</f>
        <v>1</v>
      </c>
      <c r="N347" s="63">
        <f>INT(K347/VLOOKUP(L347,Camion!A:D, 3, FALSE))</f>
        <v>0</v>
      </c>
      <c r="O347" s="64">
        <f>ROUND(K347/VLOOKUP(L347,Camion!A:D, 3, FALSE) - N347,2)</f>
        <v>0.83</v>
      </c>
      <c r="P347" s="63" t="s">
        <v>129</v>
      </c>
    </row>
    <row r="348" spans="1:16" x14ac:dyDescent="0.25">
      <c r="A348" s="7">
        <v>14</v>
      </c>
      <c r="B348" s="62" t="s">
        <v>185</v>
      </c>
      <c r="C348" s="63" t="s">
        <v>1</v>
      </c>
      <c r="D348" s="63" t="s">
        <v>135</v>
      </c>
      <c r="E348" s="63" t="s">
        <v>79</v>
      </c>
      <c r="F348" s="63" t="s">
        <v>127</v>
      </c>
      <c r="G348" s="63">
        <v>3</v>
      </c>
      <c r="H348" s="63" t="s">
        <v>133</v>
      </c>
      <c r="I348" s="63">
        <f>INDEX(Matériel!A:Z, MATCH(E348, Matériel!A:A, 0), MATCH(H348, INDEX(Matériel!A:Z, MATCH(E348, Matériel!A:A, 0), 0), 0) + 1)</f>
        <v>1</v>
      </c>
      <c r="J348" s="63">
        <f t="shared" si="33"/>
        <v>3</v>
      </c>
      <c r="K348" s="63">
        <f>VLOOKUP(H348,Manutention!A:E, 3, FALSE) * J348</f>
        <v>6</v>
      </c>
      <c r="L348" s="63" t="s">
        <v>164</v>
      </c>
      <c r="M348" s="63">
        <f>ROUNDUP(K348/VLOOKUP(L348,Camion!A:D, 3, FALSE),0)</f>
        <v>1</v>
      </c>
      <c r="N348" s="63">
        <f>INT(K348/VLOOKUP(L348,Camion!A:D, 3, FALSE))</f>
        <v>0</v>
      </c>
      <c r="O348" s="64">
        <f>ROUND(K348/VLOOKUP(L348,Camion!A:D, 3, FALSE) - N348,2)</f>
        <v>0.67</v>
      </c>
      <c r="P348" s="63" t="s">
        <v>129</v>
      </c>
    </row>
    <row r="349" spans="1:16" x14ac:dyDescent="0.25">
      <c r="A349" s="7">
        <v>14</v>
      </c>
      <c r="B349" s="62" t="s">
        <v>185</v>
      </c>
      <c r="C349" s="63" t="s">
        <v>1</v>
      </c>
      <c r="D349" s="63" t="s">
        <v>128</v>
      </c>
      <c r="E349" s="63" t="s">
        <v>81</v>
      </c>
      <c r="F349" s="63" t="s">
        <v>127</v>
      </c>
      <c r="G349" s="63">
        <v>11</v>
      </c>
      <c r="H349" s="63" t="s">
        <v>131</v>
      </c>
      <c r="I349" s="63">
        <f>INDEX(Matériel!A:Z, MATCH(E349, Matériel!A:A, 0), MATCH(H349, INDEX(Matériel!A:Z, MATCH(E349, Matériel!A:A, 0), 0), 0) + 1)</f>
        <v>100</v>
      </c>
      <c r="J349" s="63">
        <f t="shared" si="33"/>
        <v>1</v>
      </c>
      <c r="K349" s="63">
        <f>VLOOKUP(H349,Manutention!A:E, 3, FALSE) * J349</f>
        <v>1</v>
      </c>
      <c r="L349" s="63" t="s">
        <v>164</v>
      </c>
      <c r="M349" s="63">
        <f>ROUNDUP(K349/VLOOKUP(L349,Camion!A:D, 3, FALSE),0)</f>
        <v>1</v>
      </c>
      <c r="N349" s="63">
        <f>INT(K349/VLOOKUP(L349,Camion!A:D, 3, FALSE))</f>
        <v>0</v>
      </c>
      <c r="O349" s="64">
        <f>ROUND(K349/VLOOKUP(L349,Camion!A:D, 3, FALSE) - N349,2)</f>
        <v>0.11</v>
      </c>
      <c r="P349" s="63" t="s">
        <v>130</v>
      </c>
    </row>
    <row r="350" spans="1:16" x14ac:dyDescent="0.25">
      <c r="A350" s="7">
        <v>14</v>
      </c>
      <c r="B350" s="5" t="s">
        <v>185</v>
      </c>
      <c r="C350" s="65"/>
      <c r="D350" s="65"/>
      <c r="E350" s="65" t="s">
        <v>187</v>
      </c>
      <c r="F350" s="65"/>
      <c r="G350" s="65"/>
      <c r="H350" s="65" t="s">
        <v>131</v>
      </c>
      <c r="I350" s="65"/>
      <c r="J350" s="65"/>
      <c r="K350" s="65">
        <f>SUMIFS(K:K, A:A, 14, B:B, "Z3 Z4", P:P, "Oui", D:D, "Production")</f>
        <v>1</v>
      </c>
      <c r="L350" s="65" t="s">
        <v>164</v>
      </c>
      <c r="M350" s="65">
        <f>ROUNDUP(K350/VLOOKUP(L350,Camion!A:D, 3, FALSE),0)</f>
        <v>1</v>
      </c>
      <c r="N350" s="65">
        <f>INT(K350/VLOOKUP(L350,Camion!A:D, 3, FALSE))</f>
        <v>0</v>
      </c>
      <c r="O350" s="66">
        <f>ROUND(K350/VLOOKUP(L350,Camion!A:D, 3, FALSE) - N350,2)</f>
        <v>0.11</v>
      </c>
      <c r="P350" s="65"/>
    </row>
    <row r="351" spans="1:16" x14ac:dyDescent="0.25">
      <c r="A351" s="7">
        <v>14</v>
      </c>
      <c r="B351" s="5" t="s">
        <v>185</v>
      </c>
      <c r="C351" s="65"/>
      <c r="D351" s="65"/>
      <c r="E351" s="65" t="s">
        <v>188</v>
      </c>
      <c r="F351" s="65"/>
      <c r="G351" s="65"/>
      <c r="H351" s="65" t="s">
        <v>131</v>
      </c>
      <c r="I351" s="65"/>
      <c r="J351" s="65"/>
      <c r="K351" s="65">
        <f>SUMIFS(K:K, A:A, 14, B:B, "Z3 Z4", P:P, "Oui", D:D, "Terminaux")</f>
        <v>30</v>
      </c>
      <c r="L351" s="65" t="s">
        <v>168</v>
      </c>
      <c r="M351" s="65">
        <f>ROUNDUP(K351/VLOOKUP(L351,Camion!A:D, 3, FALSE),0)</f>
        <v>1</v>
      </c>
      <c r="N351" s="65">
        <f>INT(K351/VLOOKUP(L351,Camion!A:D, 3, FALSE))</f>
        <v>0</v>
      </c>
      <c r="O351" s="66">
        <f>ROUND(K351/VLOOKUP(L351,Camion!A:D, 3, FALSE) - N351,2)</f>
        <v>0.88</v>
      </c>
      <c r="P351" s="65"/>
    </row>
    <row r="352" spans="1:16" x14ac:dyDescent="0.25">
      <c r="A352" s="7">
        <v>15</v>
      </c>
      <c r="B352" s="62" t="s">
        <v>184</v>
      </c>
      <c r="C352" s="63" t="s">
        <v>1</v>
      </c>
      <c r="D352" s="63" t="s">
        <v>128</v>
      </c>
      <c r="E352" s="63" t="s">
        <v>71</v>
      </c>
      <c r="F352" s="63" t="s">
        <v>138</v>
      </c>
      <c r="G352" s="63">
        <v>376</v>
      </c>
      <c r="H352" s="63" t="s">
        <v>139</v>
      </c>
      <c r="I352" s="63">
        <f>INDEX(Matériel!A:Z, MATCH(E352, Matériel!A:A, 0), MATCH(H352, INDEX(Matériel!A:Z, MATCH(E352, Matériel!A:A, 0), 0), 0) + 1)</f>
        <v>150</v>
      </c>
      <c r="J352" s="63">
        <f t="shared" ref="J352:J359" si="34">ROUNDUP(G352 / I352, 0)</f>
        <v>3</v>
      </c>
      <c r="K352" s="63">
        <f>VLOOKUP(H352,Manutention!A:E, 3, FALSE) * J352</f>
        <v>9</v>
      </c>
      <c r="L352" s="63" t="s">
        <v>164</v>
      </c>
      <c r="M352" s="63">
        <f>ROUNDUP(K352/VLOOKUP(L352,Camion!A:D, 3, FALSE),0)</f>
        <v>1</v>
      </c>
      <c r="N352" s="63">
        <f>INT(K352/VLOOKUP(L352,Camion!A:D, 3, FALSE))</f>
        <v>1</v>
      </c>
      <c r="O352" s="64">
        <f>ROUND(K352/VLOOKUP(L352,Camion!A:D, 3, FALSE) - N352,2)</f>
        <v>0</v>
      </c>
      <c r="P352" s="63" t="s">
        <v>130</v>
      </c>
    </row>
    <row r="353" spans="1:16" x14ac:dyDescent="0.25">
      <c r="A353" s="7">
        <v>15</v>
      </c>
      <c r="B353" s="62" t="s">
        <v>184</v>
      </c>
      <c r="C353" s="63" t="s">
        <v>1</v>
      </c>
      <c r="D353" s="63" t="s">
        <v>135</v>
      </c>
      <c r="E353" s="63" t="s">
        <v>72</v>
      </c>
      <c r="F353" s="63" t="s">
        <v>138</v>
      </c>
      <c r="G353" s="63">
        <v>1153</v>
      </c>
      <c r="H353" s="63" t="s">
        <v>143</v>
      </c>
      <c r="I353" s="63">
        <f>INDEX(Matériel!A:Z, MATCH(E353, Matériel!A:A, 0), MATCH(H353, INDEX(Matériel!A:Z, MATCH(E353, Matériel!A:A, 0), 0), 0) + 1)</f>
        <v>1000</v>
      </c>
      <c r="J353" s="63">
        <f t="shared" si="34"/>
        <v>2</v>
      </c>
      <c r="K353" s="63">
        <f>VLOOKUP(H353,Manutention!A:E, 3, FALSE) * J353</f>
        <v>2</v>
      </c>
      <c r="L353" s="63" t="s">
        <v>164</v>
      </c>
      <c r="M353" s="63">
        <f>ROUNDUP(K353/VLOOKUP(L353,Camion!A:D, 3, FALSE),0)</f>
        <v>1</v>
      </c>
      <c r="N353" s="63">
        <f>INT(K353/VLOOKUP(L353,Camion!A:D, 3, FALSE))</f>
        <v>0</v>
      </c>
      <c r="O353" s="64">
        <f>ROUND(K353/VLOOKUP(L353,Camion!A:D, 3, FALSE) - N353,2)</f>
        <v>0.22</v>
      </c>
      <c r="P353" s="63" t="s">
        <v>130</v>
      </c>
    </row>
    <row r="354" spans="1:16" x14ac:dyDescent="0.25">
      <c r="A354" s="7">
        <v>15</v>
      </c>
      <c r="B354" s="62" t="s">
        <v>184</v>
      </c>
      <c r="C354" s="63" t="s">
        <v>1</v>
      </c>
      <c r="D354" s="63" t="s">
        <v>135</v>
      </c>
      <c r="E354" s="63" t="s">
        <v>75</v>
      </c>
      <c r="F354" s="63" t="s">
        <v>127</v>
      </c>
      <c r="G354" s="63">
        <v>59</v>
      </c>
      <c r="H354" s="63" t="s">
        <v>136</v>
      </c>
      <c r="I354" s="63">
        <f>INDEX(Matériel!A:Z, MATCH(E354, Matériel!A:A, 0), MATCH(H354, INDEX(Matériel!A:Z, MATCH(E354, Matériel!A:A, 0), 0), 0) + 1)</f>
        <v>60</v>
      </c>
      <c r="J354" s="63">
        <f t="shared" si="34"/>
        <v>1</v>
      </c>
      <c r="K354" s="63">
        <f>VLOOKUP(H354,Manutention!A:E, 3, FALSE) * J354</f>
        <v>1</v>
      </c>
      <c r="L354" s="63" t="s">
        <v>164</v>
      </c>
      <c r="M354" s="63">
        <f>ROUNDUP(K354/VLOOKUP(L354,Camion!A:D, 3, FALSE),0)</f>
        <v>1</v>
      </c>
      <c r="N354" s="63">
        <f>INT(K354/VLOOKUP(L354,Camion!A:D, 3, FALSE))</f>
        <v>0</v>
      </c>
      <c r="O354" s="64">
        <f>ROUND(K354/VLOOKUP(L354,Camion!A:D, 3, FALSE) - N354,2)</f>
        <v>0.11</v>
      </c>
      <c r="P354" s="63" t="s">
        <v>129</v>
      </c>
    </row>
    <row r="355" spans="1:16" x14ac:dyDescent="0.25">
      <c r="A355" s="7">
        <v>15</v>
      </c>
      <c r="B355" s="62" t="s">
        <v>184</v>
      </c>
      <c r="C355" s="63" t="s">
        <v>1</v>
      </c>
      <c r="D355" s="63" t="s">
        <v>128</v>
      </c>
      <c r="E355" s="63" t="s">
        <v>76</v>
      </c>
      <c r="F355" s="63" t="s">
        <v>127</v>
      </c>
      <c r="G355" s="63">
        <v>29</v>
      </c>
      <c r="H355" s="63" t="s">
        <v>131</v>
      </c>
      <c r="I355" s="63">
        <f>INDEX(Matériel!A:Z, MATCH(E355, Matériel!A:A, 0), MATCH(H355, INDEX(Matériel!A:Z, MATCH(E355, Matériel!A:A, 0), 0), 0) + 1)</f>
        <v>100</v>
      </c>
      <c r="J355" s="63">
        <f t="shared" si="34"/>
        <v>1</v>
      </c>
      <c r="K355" s="63">
        <f>VLOOKUP(H355,Manutention!A:E, 3, FALSE) * J355</f>
        <v>1</v>
      </c>
      <c r="L355" s="63" t="s">
        <v>164</v>
      </c>
      <c r="M355" s="63">
        <f>ROUNDUP(K355/VLOOKUP(L355,Camion!A:D, 3, FALSE),0)</f>
        <v>1</v>
      </c>
      <c r="N355" s="63">
        <f>INT(K355/VLOOKUP(L355,Camion!A:D, 3, FALSE))</f>
        <v>0</v>
      </c>
      <c r="O355" s="64">
        <f>ROUND(K355/VLOOKUP(L355,Camion!A:D, 3, FALSE) - N355,2)</f>
        <v>0.11</v>
      </c>
      <c r="P355" s="63" t="s">
        <v>129</v>
      </c>
    </row>
    <row r="356" spans="1:16" x14ac:dyDescent="0.25">
      <c r="A356" s="7">
        <v>15</v>
      </c>
      <c r="B356" s="62" t="s">
        <v>184</v>
      </c>
      <c r="C356" s="63" t="s">
        <v>1</v>
      </c>
      <c r="D356" s="63" t="s">
        <v>135</v>
      </c>
      <c r="E356" s="63" t="s">
        <v>77</v>
      </c>
      <c r="F356" s="63" t="s">
        <v>127</v>
      </c>
      <c r="G356" s="63">
        <v>246</v>
      </c>
      <c r="H356" s="63" t="s">
        <v>131</v>
      </c>
      <c r="I356" s="63">
        <f>INDEX(Matériel!A:Z, MATCH(E356, Matériel!A:A, 0), MATCH(H356, INDEX(Matériel!A:Z, MATCH(E356, Matériel!A:A, 0), 0), 0) + 1)</f>
        <v>20</v>
      </c>
      <c r="J356" s="63">
        <f t="shared" si="34"/>
        <v>13</v>
      </c>
      <c r="K356" s="63">
        <f>VLOOKUP(H356,Manutention!A:E, 3, FALSE) * J356</f>
        <v>13</v>
      </c>
      <c r="L356" s="63" t="s">
        <v>166</v>
      </c>
      <c r="M356" s="63">
        <f>ROUNDUP(K356/VLOOKUP(L356,Camion!A:D, 3, FALSE),0)</f>
        <v>1</v>
      </c>
      <c r="N356" s="63">
        <f>INT(K356/VLOOKUP(L356,Camion!A:D, 3, FALSE))</f>
        <v>0</v>
      </c>
      <c r="O356" s="64">
        <f>ROUND(K356/VLOOKUP(L356,Camion!A:D, 3, FALSE) - N356,2)</f>
        <v>0.76</v>
      </c>
      <c r="P356" s="63" t="s">
        <v>129</v>
      </c>
    </row>
    <row r="357" spans="1:16" x14ac:dyDescent="0.25">
      <c r="A357" s="7">
        <v>15</v>
      </c>
      <c r="B357" s="62" t="s">
        <v>184</v>
      </c>
      <c r="C357" s="63" t="s">
        <v>1</v>
      </c>
      <c r="D357" s="63" t="s">
        <v>135</v>
      </c>
      <c r="E357" s="63" t="s">
        <v>78</v>
      </c>
      <c r="F357" s="63" t="s">
        <v>127</v>
      </c>
      <c r="G357" s="63">
        <v>5</v>
      </c>
      <c r="H357" s="63" t="s">
        <v>133</v>
      </c>
      <c r="I357" s="63">
        <f>INDEX(Matériel!A:Z, MATCH(E357, Matériel!A:A, 0), MATCH(H357, INDEX(Matériel!A:Z, MATCH(E357, Matériel!A:A, 0), 0), 0) + 1)</f>
        <v>1</v>
      </c>
      <c r="J357" s="63">
        <f t="shared" si="34"/>
        <v>5</v>
      </c>
      <c r="K357" s="63">
        <f>VLOOKUP(H357,Manutention!A:E, 3, FALSE) * J357</f>
        <v>10</v>
      </c>
      <c r="L357" s="63" t="s">
        <v>165</v>
      </c>
      <c r="M357" s="63">
        <f>ROUNDUP(K357/VLOOKUP(L357,Camion!A:D, 3, FALSE),0)</f>
        <v>1</v>
      </c>
      <c r="N357" s="63">
        <f>INT(K357/VLOOKUP(L357,Camion!A:D, 3, FALSE))</f>
        <v>0</v>
      </c>
      <c r="O357" s="64">
        <f>ROUND(K357/VLOOKUP(L357,Camion!A:D, 3, FALSE) - N357,2)</f>
        <v>0.83</v>
      </c>
      <c r="P357" s="63" t="s">
        <v>129</v>
      </c>
    </row>
    <row r="358" spans="1:16" x14ac:dyDescent="0.25">
      <c r="A358" s="7">
        <v>15</v>
      </c>
      <c r="B358" s="62" t="s">
        <v>184</v>
      </c>
      <c r="C358" s="63" t="s">
        <v>1</v>
      </c>
      <c r="D358" s="63" t="s">
        <v>135</v>
      </c>
      <c r="E358" s="63" t="s">
        <v>79</v>
      </c>
      <c r="F358" s="63" t="s">
        <v>127</v>
      </c>
      <c r="G358" s="63">
        <v>3</v>
      </c>
      <c r="H358" s="63" t="s">
        <v>133</v>
      </c>
      <c r="I358" s="63">
        <f>INDEX(Matériel!A:Z, MATCH(E358, Matériel!A:A, 0), MATCH(H358, INDEX(Matériel!A:Z, MATCH(E358, Matériel!A:A, 0), 0), 0) + 1)</f>
        <v>1</v>
      </c>
      <c r="J358" s="63">
        <f t="shared" si="34"/>
        <v>3</v>
      </c>
      <c r="K358" s="63">
        <f>VLOOKUP(H358,Manutention!A:E, 3, FALSE) * J358</f>
        <v>6</v>
      </c>
      <c r="L358" s="63" t="s">
        <v>164</v>
      </c>
      <c r="M358" s="63">
        <f>ROUNDUP(K358/VLOOKUP(L358,Camion!A:D, 3, FALSE),0)</f>
        <v>1</v>
      </c>
      <c r="N358" s="63">
        <f>INT(K358/VLOOKUP(L358,Camion!A:D, 3, FALSE))</f>
        <v>0</v>
      </c>
      <c r="O358" s="64">
        <f>ROUND(K358/VLOOKUP(L358,Camion!A:D, 3, FALSE) - N358,2)</f>
        <v>0.67</v>
      </c>
      <c r="P358" s="63" t="s">
        <v>129</v>
      </c>
    </row>
    <row r="359" spans="1:16" x14ac:dyDescent="0.25">
      <c r="A359" s="7">
        <v>15</v>
      </c>
      <c r="B359" s="62" t="s">
        <v>184</v>
      </c>
      <c r="C359" s="63" t="s">
        <v>1</v>
      </c>
      <c r="D359" s="63" t="s">
        <v>128</v>
      </c>
      <c r="E359" s="63" t="s">
        <v>81</v>
      </c>
      <c r="F359" s="63" t="s">
        <v>127</v>
      </c>
      <c r="G359" s="63">
        <v>11</v>
      </c>
      <c r="H359" s="63" t="s">
        <v>131</v>
      </c>
      <c r="I359" s="63">
        <f>INDEX(Matériel!A:Z, MATCH(E359, Matériel!A:A, 0), MATCH(H359, INDEX(Matériel!A:Z, MATCH(E359, Matériel!A:A, 0), 0), 0) + 1)</f>
        <v>100</v>
      </c>
      <c r="J359" s="63">
        <f t="shared" si="34"/>
        <v>1</v>
      </c>
      <c r="K359" s="63">
        <f>VLOOKUP(H359,Manutention!A:E, 3, FALSE) * J359</f>
        <v>1</v>
      </c>
      <c r="L359" s="63" t="s">
        <v>164</v>
      </c>
      <c r="M359" s="63">
        <f>ROUNDUP(K359/VLOOKUP(L359,Camion!A:D, 3, FALSE),0)</f>
        <v>1</v>
      </c>
      <c r="N359" s="63">
        <f>INT(K359/VLOOKUP(L359,Camion!A:D, 3, FALSE))</f>
        <v>0</v>
      </c>
      <c r="O359" s="64">
        <f>ROUND(K359/VLOOKUP(L359,Camion!A:D, 3, FALSE) - N359,2)</f>
        <v>0.11</v>
      </c>
      <c r="P359" s="63" t="s">
        <v>130</v>
      </c>
    </row>
    <row r="360" spans="1:16" x14ac:dyDescent="0.25">
      <c r="A360" s="7">
        <v>15</v>
      </c>
      <c r="B360" s="5" t="s">
        <v>184</v>
      </c>
      <c r="C360" s="65"/>
      <c r="D360" s="65"/>
      <c r="E360" s="65" t="s">
        <v>187</v>
      </c>
      <c r="F360" s="65"/>
      <c r="G360" s="65"/>
      <c r="H360" s="65" t="s">
        <v>131</v>
      </c>
      <c r="I360" s="65"/>
      <c r="J360" s="65"/>
      <c r="K360" s="65">
        <f>SUMIFS(K:K, A:A, 15, B:B, "Z1 Z2", P:P, "Oui", D:D, "Production")</f>
        <v>1</v>
      </c>
      <c r="L360" s="65" t="s">
        <v>164</v>
      </c>
      <c r="M360" s="65">
        <f>ROUNDUP(K360/VLOOKUP(L360,Camion!A:D, 3, FALSE),0)</f>
        <v>1</v>
      </c>
      <c r="N360" s="65">
        <f>INT(K360/VLOOKUP(L360,Camion!A:D, 3, FALSE))</f>
        <v>0</v>
      </c>
      <c r="O360" s="66">
        <f>ROUND(K360/VLOOKUP(L360,Camion!A:D, 3, FALSE) - N360,2)</f>
        <v>0.11</v>
      </c>
      <c r="P360" s="65"/>
    </row>
    <row r="361" spans="1:16" x14ac:dyDescent="0.25">
      <c r="A361" s="7">
        <v>15</v>
      </c>
      <c r="B361" s="5" t="s">
        <v>184</v>
      </c>
      <c r="C361" s="65"/>
      <c r="D361" s="65"/>
      <c r="E361" s="65" t="s">
        <v>188</v>
      </c>
      <c r="F361" s="65"/>
      <c r="G361" s="65"/>
      <c r="H361" s="65" t="s">
        <v>131</v>
      </c>
      <c r="I361" s="65"/>
      <c r="J361" s="65"/>
      <c r="K361" s="65">
        <f>SUMIFS(K:K, A:A, 15, B:B, "Z1 Z2", P:P, "Oui", D:D, "Terminaux")</f>
        <v>30</v>
      </c>
      <c r="L361" s="65" t="s">
        <v>168</v>
      </c>
      <c r="M361" s="65">
        <f>ROUNDUP(K361/VLOOKUP(L361,Camion!A:D, 3, FALSE),0)</f>
        <v>1</v>
      </c>
      <c r="N361" s="65">
        <f>INT(K361/VLOOKUP(L361,Camion!A:D, 3, FALSE))</f>
        <v>0</v>
      </c>
      <c r="O361" s="66">
        <f>ROUND(K361/VLOOKUP(L361,Camion!A:D, 3, FALSE) - N361,2)</f>
        <v>0.88</v>
      </c>
      <c r="P361" s="65"/>
    </row>
    <row r="362" spans="1:16" x14ac:dyDescent="0.25">
      <c r="A362" s="7">
        <v>15</v>
      </c>
      <c r="B362" s="62" t="s">
        <v>185</v>
      </c>
      <c r="C362" s="63" t="s">
        <v>1</v>
      </c>
      <c r="D362" s="63" t="s">
        <v>128</v>
      </c>
      <c r="E362" s="63" t="s">
        <v>71</v>
      </c>
      <c r="F362" s="63" t="s">
        <v>138</v>
      </c>
      <c r="G362" s="63">
        <v>371</v>
      </c>
      <c r="H362" s="63" t="s">
        <v>139</v>
      </c>
      <c r="I362" s="63">
        <f>INDEX(Matériel!A:Z, MATCH(E362, Matériel!A:A, 0), MATCH(H362, INDEX(Matériel!A:Z, MATCH(E362, Matériel!A:A, 0), 0), 0) + 1)</f>
        <v>150</v>
      </c>
      <c r="J362" s="63">
        <f t="shared" ref="J362:J369" si="35">ROUNDUP(G362 / I362, 0)</f>
        <v>3</v>
      </c>
      <c r="K362" s="63">
        <f>VLOOKUP(H362,Manutention!A:E, 3, FALSE) * J362</f>
        <v>9</v>
      </c>
      <c r="L362" s="63" t="s">
        <v>164</v>
      </c>
      <c r="M362" s="63">
        <f>ROUNDUP(K362/VLOOKUP(L362,Camion!A:D, 3, FALSE),0)</f>
        <v>1</v>
      </c>
      <c r="N362" s="63">
        <f>INT(K362/VLOOKUP(L362,Camion!A:D, 3, FALSE))</f>
        <v>1</v>
      </c>
      <c r="O362" s="64">
        <f>ROUND(K362/VLOOKUP(L362,Camion!A:D, 3, FALSE) - N362,2)</f>
        <v>0</v>
      </c>
      <c r="P362" s="63" t="s">
        <v>130</v>
      </c>
    </row>
    <row r="363" spans="1:16" x14ac:dyDescent="0.25">
      <c r="A363" s="7">
        <v>15</v>
      </c>
      <c r="B363" s="62" t="s">
        <v>185</v>
      </c>
      <c r="C363" s="63" t="s">
        <v>1</v>
      </c>
      <c r="D363" s="63" t="s">
        <v>135</v>
      </c>
      <c r="E363" s="63" t="s">
        <v>72</v>
      </c>
      <c r="F363" s="63" t="s">
        <v>138</v>
      </c>
      <c r="G363" s="63">
        <v>1135</v>
      </c>
      <c r="H363" s="63" t="s">
        <v>143</v>
      </c>
      <c r="I363" s="63">
        <f>INDEX(Matériel!A:Z, MATCH(E363, Matériel!A:A, 0), MATCH(H363, INDEX(Matériel!A:Z, MATCH(E363, Matériel!A:A, 0), 0), 0) + 1)</f>
        <v>1000</v>
      </c>
      <c r="J363" s="63">
        <f t="shared" si="35"/>
        <v>2</v>
      </c>
      <c r="K363" s="63">
        <f>VLOOKUP(H363,Manutention!A:E, 3, FALSE) * J363</f>
        <v>2</v>
      </c>
      <c r="L363" s="63" t="s">
        <v>164</v>
      </c>
      <c r="M363" s="63">
        <f>ROUNDUP(K363/VLOOKUP(L363,Camion!A:D, 3, FALSE),0)</f>
        <v>1</v>
      </c>
      <c r="N363" s="63">
        <f>INT(K363/VLOOKUP(L363,Camion!A:D, 3, FALSE))</f>
        <v>0</v>
      </c>
      <c r="O363" s="64">
        <f>ROUND(K363/VLOOKUP(L363,Camion!A:D, 3, FALSE) - N363,2)</f>
        <v>0.22</v>
      </c>
      <c r="P363" s="63" t="s">
        <v>130</v>
      </c>
    </row>
    <row r="364" spans="1:16" x14ac:dyDescent="0.25">
      <c r="A364" s="7">
        <v>15</v>
      </c>
      <c r="B364" s="62" t="s">
        <v>185</v>
      </c>
      <c r="C364" s="63" t="s">
        <v>1</v>
      </c>
      <c r="D364" s="63" t="s">
        <v>135</v>
      </c>
      <c r="E364" s="63" t="s">
        <v>75</v>
      </c>
      <c r="F364" s="63" t="s">
        <v>127</v>
      </c>
      <c r="G364" s="63">
        <v>58</v>
      </c>
      <c r="H364" s="63" t="s">
        <v>136</v>
      </c>
      <c r="I364" s="63">
        <f>INDEX(Matériel!A:Z, MATCH(E364, Matériel!A:A, 0), MATCH(H364, INDEX(Matériel!A:Z, MATCH(E364, Matériel!A:A, 0), 0), 0) + 1)</f>
        <v>60</v>
      </c>
      <c r="J364" s="63">
        <f t="shared" si="35"/>
        <v>1</v>
      </c>
      <c r="K364" s="63">
        <f>VLOOKUP(H364,Manutention!A:E, 3, FALSE) * J364</f>
        <v>1</v>
      </c>
      <c r="L364" s="63" t="s">
        <v>164</v>
      </c>
      <c r="M364" s="63">
        <f>ROUNDUP(K364/VLOOKUP(L364,Camion!A:D, 3, FALSE),0)</f>
        <v>1</v>
      </c>
      <c r="N364" s="63">
        <f>INT(K364/VLOOKUP(L364,Camion!A:D, 3, FALSE))</f>
        <v>0</v>
      </c>
      <c r="O364" s="64">
        <f>ROUND(K364/VLOOKUP(L364,Camion!A:D, 3, FALSE) - N364,2)</f>
        <v>0.11</v>
      </c>
      <c r="P364" s="63" t="s">
        <v>129</v>
      </c>
    </row>
    <row r="365" spans="1:16" x14ac:dyDescent="0.25">
      <c r="A365" s="7">
        <v>15</v>
      </c>
      <c r="B365" s="62" t="s">
        <v>185</v>
      </c>
      <c r="C365" s="63" t="s">
        <v>1</v>
      </c>
      <c r="D365" s="63" t="s">
        <v>128</v>
      </c>
      <c r="E365" s="63" t="s">
        <v>76</v>
      </c>
      <c r="F365" s="63" t="s">
        <v>127</v>
      </c>
      <c r="G365" s="63">
        <v>29</v>
      </c>
      <c r="H365" s="63" t="s">
        <v>131</v>
      </c>
      <c r="I365" s="63">
        <f>INDEX(Matériel!A:Z, MATCH(E365, Matériel!A:A, 0), MATCH(H365, INDEX(Matériel!A:Z, MATCH(E365, Matériel!A:A, 0), 0), 0) + 1)</f>
        <v>100</v>
      </c>
      <c r="J365" s="63">
        <f t="shared" si="35"/>
        <v>1</v>
      </c>
      <c r="K365" s="63">
        <f>VLOOKUP(H365,Manutention!A:E, 3, FALSE) * J365</f>
        <v>1</v>
      </c>
      <c r="L365" s="63" t="s">
        <v>164</v>
      </c>
      <c r="M365" s="63">
        <f>ROUNDUP(K365/VLOOKUP(L365,Camion!A:D, 3, FALSE),0)</f>
        <v>1</v>
      </c>
      <c r="N365" s="63">
        <f>INT(K365/VLOOKUP(L365,Camion!A:D, 3, FALSE))</f>
        <v>0</v>
      </c>
      <c r="O365" s="64">
        <f>ROUND(K365/VLOOKUP(L365,Camion!A:D, 3, FALSE) - N365,2)</f>
        <v>0.11</v>
      </c>
      <c r="P365" s="63" t="s">
        <v>129</v>
      </c>
    </row>
    <row r="366" spans="1:16" x14ac:dyDescent="0.25">
      <c r="A366" s="7">
        <v>15</v>
      </c>
      <c r="B366" s="62" t="s">
        <v>185</v>
      </c>
      <c r="C366" s="63" t="s">
        <v>1</v>
      </c>
      <c r="D366" s="63" t="s">
        <v>135</v>
      </c>
      <c r="E366" s="63" t="s">
        <v>77</v>
      </c>
      <c r="F366" s="63" t="s">
        <v>127</v>
      </c>
      <c r="G366" s="63">
        <v>243</v>
      </c>
      <c r="H366" s="63" t="s">
        <v>131</v>
      </c>
      <c r="I366" s="63">
        <f>INDEX(Matériel!A:Z, MATCH(E366, Matériel!A:A, 0), MATCH(H366, INDEX(Matériel!A:Z, MATCH(E366, Matériel!A:A, 0), 0), 0) + 1)</f>
        <v>20</v>
      </c>
      <c r="J366" s="63">
        <f t="shared" si="35"/>
        <v>13</v>
      </c>
      <c r="K366" s="63">
        <f>VLOOKUP(H366,Manutention!A:E, 3, FALSE) * J366</f>
        <v>13</v>
      </c>
      <c r="L366" s="63" t="s">
        <v>166</v>
      </c>
      <c r="M366" s="63">
        <f>ROUNDUP(K366/VLOOKUP(L366,Camion!A:D, 3, FALSE),0)</f>
        <v>1</v>
      </c>
      <c r="N366" s="63">
        <f>INT(K366/VLOOKUP(L366,Camion!A:D, 3, FALSE))</f>
        <v>0</v>
      </c>
      <c r="O366" s="64">
        <f>ROUND(K366/VLOOKUP(L366,Camion!A:D, 3, FALSE) - N366,2)</f>
        <v>0.76</v>
      </c>
      <c r="P366" s="63" t="s">
        <v>129</v>
      </c>
    </row>
    <row r="367" spans="1:16" x14ac:dyDescent="0.25">
      <c r="A367" s="7">
        <v>15</v>
      </c>
      <c r="B367" s="62" t="s">
        <v>185</v>
      </c>
      <c r="C367" s="63" t="s">
        <v>1</v>
      </c>
      <c r="D367" s="63" t="s">
        <v>135</v>
      </c>
      <c r="E367" s="63" t="s">
        <v>78</v>
      </c>
      <c r="F367" s="63" t="s">
        <v>127</v>
      </c>
      <c r="G367" s="63">
        <v>5</v>
      </c>
      <c r="H367" s="63" t="s">
        <v>133</v>
      </c>
      <c r="I367" s="63">
        <f>INDEX(Matériel!A:Z, MATCH(E367, Matériel!A:A, 0), MATCH(H367, INDEX(Matériel!A:Z, MATCH(E367, Matériel!A:A, 0), 0), 0) + 1)</f>
        <v>1</v>
      </c>
      <c r="J367" s="63">
        <f t="shared" si="35"/>
        <v>5</v>
      </c>
      <c r="K367" s="63">
        <f>VLOOKUP(H367,Manutention!A:E, 3, FALSE) * J367</f>
        <v>10</v>
      </c>
      <c r="L367" s="63" t="s">
        <v>165</v>
      </c>
      <c r="M367" s="63">
        <f>ROUNDUP(K367/VLOOKUP(L367,Camion!A:D, 3, FALSE),0)</f>
        <v>1</v>
      </c>
      <c r="N367" s="63">
        <f>INT(K367/VLOOKUP(L367,Camion!A:D, 3, FALSE))</f>
        <v>0</v>
      </c>
      <c r="O367" s="64">
        <f>ROUND(K367/VLOOKUP(L367,Camion!A:D, 3, FALSE) - N367,2)</f>
        <v>0.83</v>
      </c>
      <c r="P367" s="63" t="s">
        <v>129</v>
      </c>
    </row>
    <row r="368" spans="1:16" x14ac:dyDescent="0.25">
      <c r="A368" s="7">
        <v>15</v>
      </c>
      <c r="B368" s="62" t="s">
        <v>185</v>
      </c>
      <c r="C368" s="63" t="s">
        <v>1</v>
      </c>
      <c r="D368" s="63" t="s">
        <v>135</v>
      </c>
      <c r="E368" s="63" t="s">
        <v>79</v>
      </c>
      <c r="F368" s="63" t="s">
        <v>127</v>
      </c>
      <c r="G368" s="63">
        <v>3</v>
      </c>
      <c r="H368" s="63" t="s">
        <v>133</v>
      </c>
      <c r="I368" s="63">
        <f>INDEX(Matériel!A:Z, MATCH(E368, Matériel!A:A, 0), MATCH(H368, INDEX(Matériel!A:Z, MATCH(E368, Matériel!A:A, 0), 0), 0) + 1)</f>
        <v>1</v>
      </c>
      <c r="J368" s="63">
        <f t="shared" si="35"/>
        <v>3</v>
      </c>
      <c r="K368" s="63">
        <f>VLOOKUP(H368,Manutention!A:E, 3, FALSE) * J368</f>
        <v>6</v>
      </c>
      <c r="L368" s="63" t="s">
        <v>164</v>
      </c>
      <c r="M368" s="63">
        <f>ROUNDUP(K368/VLOOKUP(L368,Camion!A:D, 3, FALSE),0)</f>
        <v>1</v>
      </c>
      <c r="N368" s="63">
        <f>INT(K368/VLOOKUP(L368,Camion!A:D, 3, FALSE))</f>
        <v>0</v>
      </c>
      <c r="O368" s="64">
        <f>ROUND(K368/VLOOKUP(L368,Camion!A:D, 3, FALSE) - N368,2)</f>
        <v>0.67</v>
      </c>
      <c r="P368" s="63" t="s">
        <v>129</v>
      </c>
    </row>
    <row r="369" spans="1:16" x14ac:dyDescent="0.25">
      <c r="A369" s="7">
        <v>15</v>
      </c>
      <c r="B369" s="62" t="s">
        <v>185</v>
      </c>
      <c r="C369" s="63" t="s">
        <v>1</v>
      </c>
      <c r="D369" s="63" t="s">
        <v>128</v>
      </c>
      <c r="E369" s="63" t="s">
        <v>81</v>
      </c>
      <c r="F369" s="63" t="s">
        <v>127</v>
      </c>
      <c r="G369" s="63">
        <v>11</v>
      </c>
      <c r="H369" s="63" t="s">
        <v>131</v>
      </c>
      <c r="I369" s="63">
        <f>INDEX(Matériel!A:Z, MATCH(E369, Matériel!A:A, 0), MATCH(H369, INDEX(Matériel!A:Z, MATCH(E369, Matériel!A:A, 0), 0), 0) + 1)</f>
        <v>100</v>
      </c>
      <c r="J369" s="63">
        <f t="shared" si="35"/>
        <v>1</v>
      </c>
      <c r="K369" s="63">
        <f>VLOOKUP(H369,Manutention!A:E, 3, FALSE) * J369</f>
        <v>1</v>
      </c>
      <c r="L369" s="63" t="s">
        <v>164</v>
      </c>
      <c r="M369" s="63">
        <f>ROUNDUP(K369/VLOOKUP(L369,Camion!A:D, 3, FALSE),0)</f>
        <v>1</v>
      </c>
      <c r="N369" s="63">
        <f>INT(K369/VLOOKUP(L369,Camion!A:D, 3, FALSE))</f>
        <v>0</v>
      </c>
      <c r="O369" s="64">
        <f>ROUND(K369/VLOOKUP(L369,Camion!A:D, 3, FALSE) - N369,2)</f>
        <v>0.11</v>
      </c>
      <c r="P369" s="63" t="s">
        <v>130</v>
      </c>
    </row>
    <row r="370" spans="1:16" x14ac:dyDescent="0.25">
      <c r="A370" s="7">
        <v>15</v>
      </c>
      <c r="B370" s="5" t="s">
        <v>185</v>
      </c>
      <c r="C370" s="65"/>
      <c r="D370" s="65"/>
      <c r="E370" s="65" t="s">
        <v>187</v>
      </c>
      <c r="F370" s="65"/>
      <c r="G370" s="65"/>
      <c r="H370" s="65" t="s">
        <v>131</v>
      </c>
      <c r="I370" s="65"/>
      <c r="J370" s="65"/>
      <c r="K370" s="65">
        <f>SUMIFS(K:K, A:A, 15, B:B, "Z3 Z4", P:P, "Oui", D:D, "Production")</f>
        <v>1</v>
      </c>
      <c r="L370" s="65" t="s">
        <v>164</v>
      </c>
      <c r="M370" s="65">
        <f>ROUNDUP(K370/VLOOKUP(L370,Camion!A:D, 3, FALSE),0)</f>
        <v>1</v>
      </c>
      <c r="N370" s="65">
        <f>INT(K370/VLOOKUP(L370,Camion!A:D, 3, FALSE))</f>
        <v>0</v>
      </c>
      <c r="O370" s="66">
        <f>ROUND(K370/VLOOKUP(L370,Camion!A:D, 3, FALSE) - N370,2)</f>
        <v>0.11</v>
      </c>
      <c r="P370" s="65"/>
    </row>
    <row r="371" spans="1:16" x14ac:dyDescent="0.25">
      <c r="A371" s="7">
        <v>15</v>
      </c>
      <c r="B371" s="5" t="s">
        <v>185</v>
      </c>
      <c r="C371" s="65"/>
      <c r="D371" s="65"/>
      <c r="E371" s="65" t="s">
        <v>188</v>
      </c>
      <c r="F371" s="65"/>
      <c r="G371" s="65"/>
      <c r="H371" s="65" t="s">
        <v>131</v>
      </c>
      <c r="I371" s="65"/>
      <c r="J371" s="65"/>
      <c r="K371" s="65">
        <f>SUMIFS(K:K, A:A, 15, B:B, "Z3 Z4", P:P, "Oui", D:D, "Terminaux")</f>
        <v>30</v>
      </c>
      <c r="L371" s="65" t="s">
        <v>168</v>
      </c>
      <c r="M371" s="65">
        <f>ROUNDUP(K371/VLOOKUP(L371,Camion!A:D, 3, FALSE),0)</f>
        <v>1</v>
      </c>
      <c r="N371" s="65">
        <f>INT(K371/VLOOKUP(L371,Camion!A:D, 3, FALSE))</f>
        <v>0</v>
      </c>
      <c r="O371" s="66">
        <f>ROUND(K371/VLOOKUP(L371,Camion!A:D, 3, FALSE) - N371,2)</f>
        <v>0.88</v>
      </c>
      <c r="P371" s="65"/>
    </row>
    <row r="372" spans="1:16" x14ac:dyDescent="0.25">
      <c r="A372" s="7">
        <v>16</v>
      </c>
      <c r="B372" s="62" t="s">
        <v>184</v>
      </c>
      <c r="C372" s="63" t="s">
        <v>1</v>
      </c>
      <c r="D372" s="63" t="s">
        <v>128</v>
      </c>
      <c r="E372" s="63" t="s">
        <v>71</v>
      </c>
      <c r="F372" s="63" t="s">
        <v>138</v>
      </c>
      <c r="G372" s="63">
        <v>365</v>
      </c>
      <c r="H372" s="63" t="s">
        <v>139</v>
      </c>
      <c r="I372" s="63">
        <f>INDEX(Matériel!A:Z, MATCH(E372, Matériel!A:A, 0), MATCH(H372, INDEX(Matériel!A:Z, MATCH(E372, Matériel!A:A, 0), 0), 0) + 1)</f>
        <v>150</v>
      </c>
      <c r="J372" s="63">
        <f t="shared" ref="J372:J379" si="36">ROUNDUP(G372 / I372, 0)</f>
        <v>3</v>
      </c>
      <c r="K372" s="63">
        <f>VLOOKUP(H372,Manutention!A:E, 3, FALSE) * J372</f>
        <v>9</v>
      </c>
      <c r="L372" s="63" t="s">
        <v>164</v>
      </c>
      <c r="M372" s="63">
        <f>ROUNDUP(K372/VLOOKUP(L372,Camion!A:D, 3, FALSE),0)</f>
        <v>1</v>
      </c>
      <c r="N372" s="63">
        <f>INT(K372/VLOOKUP(L372,Camion!A:D, 3, FALSE))</f>
        <v>1</v>
      </c>
      <c r="O372" s="64">
        <f>ROUND(K372/VLOOKUP(L372,Camion!A:D, 3, FALSE) - N372,2)</f>
        <v>0</v>
      </c>
      <c r="P372" s="63" t="s">
        <v>130</v>
      </c>
    </row>
    <row r="373" spans="1:16" x14ac:dyDescent="0.25">
      <c r="A373" s="7">
        <v>16</v>
      </c>
      <c r="B373" s="62" t="s">
        <v>184</v>
      </c>
      <c r="C373" s="63" t="s">
        <v>1</v>
      </c>
      <c r="D373" s="63" t="s">
        <v>135</v>
      </c>
      <c r="E373" s="63" t="s">
        <v>72</v>
      </c>
      <c r="F373" s="63" t="s">
        <v>138</v>
      </c>
      <c r="G373" s="63">
        <v>1118</v>
      </c>
      <c r="H373" s="63" t="s">
        <v>143</v>
      </c>
      <c r="I373" s="63">
        <f>INDEX(Matériel!A:Z, MATCH(E373, Matériel!A:A, 0), MATCH(H373, INDEX(Matériel!A:Z, MATCH(E373, Matériel!A:A, 0), 0), 0) + 1)</f>
        <v>1000</v>
      </c>
      <c r="J373" s="63">
        <f t="shared" si="36"/>
        <v>2</v>
      </c>
      <c r="K373" s="63">
        <f>VLOOKUP(H373,Manutention!A:E, 3, FALSE) * J373</f>
        <v>2</v>
      </c>
      <c r="L373" s="63" t="s">
        <v>164</v>
      </c>
      <c r="M373" s="63">
        <f>ROUNDUP(K373/VLOOKUP(L373,Camion!A:D, 3, FALSE),0)</f>
        <v>1</v>
      </c>
      <c r="N373" s="63">
        <f>INT(K373/VLOOKUP(L373,Camion!A:D, 3, FALSE))</f>
        <v>0</v>
      </c>
      <c r="O373" s="64">
        <f>ROUND(K373/VLOOKUP(L373,Camion!A:D, 3, FALSE) - N373,2)</f>
        <v>0.22</v>
      </c>
      <c r="P373" s="63" t="s">
        <v>130</v>
      </c>
    </row>
    <row r="374" spans="1:16" x14ac:dyDescent="0.25">
      <c r="A374" s="7">
        <v>16</v>
      </c>
      <c r="B374" s="62" t="s">
        <v>184</v>
      </c>
      <c r="C374" s="63" t="s">
        <v>1</v>
      </c>
      <c r="D374" s="63" t="s">
        <v>135</v>
      </c>
      <c r="E374" s="63" t="s">
        <v>75</v>
      </c>
      <c r="F374" s="63" t="s">
        <v>127</v>
      </c>
      <c r="G374" s="63">
        <v>57</v>
      </c>
      <c r="H374" s="63" t="s">
        <v>136</v>
      </c>
      <c r="I374" s="63">
        <f>INDEX(Matériel!A:Z, MATCH(E374, Matériel!A:A, 0), MATCH(H374, INDEX(Matériel!A:Z, MATCH(E374, Matériel!A:A, 0), 0), 0) + 1)</f>
        <v>60</v>
      </c>
      <c r="J374" s="63">
        <f t="shared" si="36"/>
        <v>1</v>
      </c>
      <c r="K374" s="63">
        <f>VLOOKUP(H374,Manutention!A:E, 3, FALSE) * J374</f>
        <v>1</v>
      </c>
      <c r="L374" s="63" t="s">
        <v>164</v>
      </c>
      <c r="M374" s="63">
        <f>ROUNDUP(K374/VLOOKUP(L374,Camion!A:D, 3, FALSE),0)</f>
        <v>1</v>
      </c>
      <c r="N374" s="63">
        <f>INT(K374/VLOOKUP(L374,Camion!A:D, 3, FALSE))</f>
        <v>0</v>
      </c>
      <c r="O374" s="64">
        <f>ROUND(K374/VLOOKUP(L374,Camion!A:D, 3, FALSE) - N374,2)</f>
        <v>0.11</v>
      </c>
      <c r="P374" s="63" t="s">
        <v>129</v>
      </c>
    </row>
    <row r="375" spans="1:16" x14ac:dyDescent="0.25">
      <c r="A375" s="7">
        <v>16</v>
      </c>
      <c r="B375" s="62" t="s">
        <v>184</v>
      </c>
      <c r="C375" s="63" t="s">
        <v>1</v>
      </c>
      <c r="D375" s="63" t="s">
        <v>128</v>
      </c>
      <c r="E375" s="63" t="s">
        <v>76</v>
      </c>
      <c r="F375" s="63" t="s">
        <v>127</v>
      </c>
      <c r="G375" s="63">
        <v>28</v>
      </c>
      <c r="H375" s="63" t="s">
        <v>131</v>
      </c>
      <c r="I375" s="63">
        <f>INDEX(Matériel!A:Z, MATCH(E375, Matériel!A:A, 0), MATCH(H375, INDEX(Matériel!A:Z, MATCH(E375, Matériel!A:A, 0), 0), 0) + 1)</f>
        <v>100</v>
      </c>
      <c r="J375" s="63">
        <f t="shared" si="36"/>
        <v>1</v>
      </c>
      <c r="K375" s="63">
        <f>VLOOKUP(H375,Manutention!A:E, 3, FALSE) * J375</f>
        <v>1</v>
      </c>
      <c r="L375" s="63" t="s">
        <v>164</v>
      </c>
      <c r="M375" s="63">
        <f>ROUNDUP(K375/VLOOKUP(L375,Camion!A:D, 3, FALSE),0)</f>
        <v>1</v>
      </c>
      <c r="N375" s="63">
        <f>INT(K375/VLOOKUP(L375,Camion!A:D, 3, FALSE))</f>
        <v>0</v>
      </c>
      <c r="O375" s="64">
        <f>ROUND(K375/VLOOKUP(L375,Camion!A:D, 3, FALSE) - N375,2)</f>
        <v>0.11</v>
      </c>
      <c r="P375" s="63" t="s">
        <v>129</v>
      </c>
    </row>
    <row r="376" spans="1:16" x14ac:dyDescent="0.25">
      <c r="A376" s="7">
        <v>16</v>
      </c>
      <c r="B376" s="62" t="s">
        <v>184</v>
      </c>
      <c r="C376" s="63" t="s">
        <v>1</v>
      </c>
      <c r="D376" s="63" t="s">
        <v>135</v>
      </c>
      <c r="E376" s="63" t="s">
        <v>77</v>
      </c>
      <c r="F376" s="63" t="s">
        <v>127</v>
      </c>
      <c r="G376" s="63">
        <v>239</v>
      </c>
      <c r="H376" s="63" t="s">
        <v>131</v>
      </c>
      <c r="I376" s="63">
        <f>INDEX(Matériel!A:Z, MATCH(E376, Matériel!A:A, 0), MATCH(H376, INDEX(Matériel!A:Z, MATCH(E376, Matériel!A:A, 0), 0), 0) + 1)</f>
        <v>20</v>
      </c>
      <c r="J376" s="63">
        <f t="shared" si="36"/>
        <v>12</v>
      </c>
      <c r="K376" s="63">
        <f>VLOOKUP(H376,Manutention!A:E, 3, FALSE) * J376</f>
        <v>12</v>
      </c>
      <c r="L376" s="63" t="s">
        <v>165</v>
      </c>
      <c r="M376" s="63">
        <f>ROUNDUP(K376/VLOOKUP(L376,Camion!A:D, 3, FALSE),0)</f>
        <v>1</v>
      </c>
      <c r="N376" s="63">
        <f>INT(K376/VLOOKUP(L376,Camion!A:D, 3, FALSE))</f>
        <v>1</v>
      </c>
      <c r="O376" s="64">
        <f>ROUND(K376/VLOOKUP(L376,Camion!A:D, 3, FALSE) - N376,2)</f>
        <v>0</v>
      </c>
      <c r="P376" s="63" t="s">
        <v>129</v>
      </c>
    </row>
    <row r="377" spans="1:16" x14ac:dyDescent="0.25">
      <c r="A377" s="7">
        <v>16</v>
      </c>
      <c r="B377" s="62" t="s">
        <v>184</v>
      </c>
      <c r="C377" s="63" t="s">
        <v>1</v>
      </c>
      <c r="D377" s="63" t="s">
        <v>135</v>
      </c>
      <c r="E377" s="63" t="s">
        <v>78</v>
      </c>
      <c r="F377" s="63" t="s">
        <v>127</v>
      </c>
      <c r="G377" s="63">
        <v>5</v>
      </c>
      <c r="H377" s="63" t="s">
        <v>133</v>
      </c>
      <c r="I377" s="63">
        <f>INDEX(Matériel!A:Z, MATCH(E377, Matériel!A:A, 0), MATCH(H377, INDEX(Matériel!A:Z, MATCH(E377, Matériel!A:A, 0), 0), 0) + 1)</f>
        <v>1</v>
      </c>
      <c r="J377" s="63">
        <f t="shared" si="36"/>
        <v>5</v>
      </c>
      <c r="K377" s="63">
        <f>VLOOKUP(H377,Manutention!A:E, 3, FALSE) * J377</f>
        <v>10</v>
      </c>
      <c r="L377" s="63" t="s">
        <v>165</v>
      </c>
      <c r="M377" s="63">
        <f>ROUNDUP(K377/VLOOKUP(L377,Camion!A:D, 3, FALSE),0)</f>
        <v>1</v>
      </c>
      <c r="N377" s="63">
        <f>INT(K377/VLOOKUP(L377,Camion!A:D, 3, FALSE))</f>
        <v>0</v>
      </c>
      <c r="O377" s="64">
        <f>ROUND(K377/VLOOKUP(L377,Camion!A:D, 3, FALSE) - N377,2)</f>
        <v>0.83</v>
      </c>
      <c r="P377" s="63" t="s">
        <v>129</v>
      </c>
    </row>
    <row r="378" spans="1:16" x14ac:dyDescent="0.25">
      <c r="A378" s="7">
        <v>16</v>
      </c>
      <c r="B378" s="62" t="s">
        <v>184</v>
      </c>
      <c r="C378" s="63" t="s">
        <v>1</v>
      </c>
      <c r="D378" s="63" t="s">
        <v>135</v>
      </c>
      <c r="E378" s="63" t="s">
        <v>79</v>
      </c>
      <c r="F378" s="63" t="s">
        <v>127</v>
      </c>
      <c r="G378" s="63">
        <v>3</v>
      </c>
      <c r="H378" s="63" t="s">
        <v>133</v>
      </c>
      <c r="I378" s="63">
        <f>INDEX(Matériel!A:Z, MATCH(E378, Matériel!A:A, 0), MATCH(H378, INDEX(Matériel!A:Z, MATCH(E378, Matériel!A:A, 0), 0), 0) + 1)</f>
        <v>1</v>
      </c>
      <c r="J378" s="63">
        <f t="shared" si="36"/>
        <v>3</v>
      </c>
      <c r="K378" s="63">
        <f>VLOOKUP(H378,Manutention!A:E, 3, FALSE) * J378</f>
        <v>6</v>
      </c>
      <c r="L378" s="63" t="s">
        <v>164</v>
      </c>
      <c r="M378" s="63">
        <f>ROUNDUP(K378/VLOOKUP(L378,Camion!A:D, 3, FALSE),0)</f>
        <v>1</v>
      </c>
      <c r="N378" s="63">
        <f>INT(K378/VLOOKUP(L378,Camion!A:D, 3, FALSE))</f>
        <v>0</v>
      </c>
      <c r="O378" s="64">
        <f>ROUND(K378/VLOOKUP(L378,Camion!A:D, 3, FALSE) - N378,2)</f>
        <v>0.67</v>
      </c>
      <c r="P378" s="63" t="s">
        <v>129</v>
      </c>
    </row>
    <row r="379" spans="1:16" x14ac:dyDescent="0.25">
      <c r="A379" s="7">
        <v>16</v>
      </c>
      <c r="B379" s="62" t="s">
        <v>184</v>
      </c>
      <c r="C379" s="63" t="s">
        <v>1</v>
      </c>
      <c r="D379" s="63" t="s">
        <v>128</v>
      </c>
      <c r="E379" s="63" t="s">
        <v>81</v>
      </c>
      <c r="F379" s="63" t="s">
        <v>127</v>
      </c>
      <c r="G379" s="63">
        <v>10</v>
      </c>
      <c r="H379" s="63" t="s">
        <v>131</v>
      </c>
      <c r="I379" s="63">
        <f>INDEX(Matériel!A:Z, MATCH(E379, Matériel!A:A, 0), MATCH(H379, INDEX(Matériel!A:Z, MATCH(E379, Matériel!A:A, 0), 0), 0) + 1)</f>
        <v>100</v>
      </c>
      <c r="J379" s="63">
        <f t="shared" si="36"/>
        <v>1</v>
      </c>
      <c r="K379" s="63">
        <f>VLOOKUP(H379,Manutention!A:E, 3, FALSE) * J379</f>
        <v>1</v>
      </c>
      <c r="L379" s="63" t="s">
        <v>164</v>
      </c>
      <c r="M379" s="63">
        <f>ROUNDUP(K379/VLOOKUP(L379,Camion!A:D, 3, FALSE),0)</f>
        <v>1</v>
      </c>
      <c r="N379" s="63">
        <f>INT(K379/VLOOKUP(L379,Camion!A:D, 3, FALSE))</f>
        <v>0</v>
      </c>
      <c r="O379" s="64">
        <f>ROUND(K379/VLOOKUP(L379,Camion!A:D, 3, FALSE) - N379,2)</f>
        <v>0.11</v>
      </c>
      <c r="P379" s="63" t="s">
        <v>130</v>
      </c>
    </row>
    <row r="380" spans="1:16" x14ac:dyDescent="0.25">
      <c r="A380" s="7">
        <v>16</v>
      </c>
      <c r="B380" s="5" t="s">
        <v>184</v>
      </c>
      <c r="C380" s="65"/>
      <c r="D380" s="65"/>
      <c r="E380" s="65" t="s">
        <v>187</v>
      </c>
      <c r="F380" s="65"/>
      <c r="G380" s="65"/>
      <c r="H380" s="65" t="s">
        <v>131</v>
      </c>
      <c r="I380" s="65"/>
      <c r="J380" s="65"/>
      <c r="K380" s="65">
        <f>SUMIFS(K:K, A:A, 16, B:B, "Z1 Z2", P:P, "Oui", D:D, "Production")</f>
        <v>1</v>
      </c>
      <c r="L380" s="65" t="s">
        <v>164</v>
      </c>
      <c r="M380" s="65">
        <f>ROUNDUP(K380/VLOOKUP(L380,Camion!A:D, 3, FALSE),0)</f>
        <v>1</v>
      </c>
      <c r="N380" s="65">
        <f>INT(K380/VLOOKUP(L380,Camion!A:D, 3, FALSE))</f>
        <v>0</v>
      </c>
      <c r="O380" s="66">
        <f>ROUND(K380/VLOOKUP(L380,Camion!A:D, 3, FALSE) - N380,2)</f>
        <v>0.11</v>
      </c>
      <c r="P380" s="65"/>
    </row>
    <row r="381" spans="1:16" x14ac:dyDescent="0.25">
      <c r="A381" s="7">
        <v>16</v>
      </c>
      <c r="B381" s="5" t="s">
        <v>184</v>
      </c>
      <c r="C381" s="65"/>
      <c r="D381" s="65"/>
      <c r="E381" s="65" t="s">
        <v>188</v>
      </c>
      <c r="F381" s="65"/>
      <c r="G381" s="65"/>
      <c r="H381" s="65" t="s">
        <v>131</v>
      </c>
      <c r="I381" s="65"/>
      <c r="J381" s="65"/>
      <c r="K381" s="65">
        <f>SUMIFS(K:K, A:A, 16, B:B, "Z1 Z2", P:P, "Oui", D:D, "Terminaux")</f>
        <v>29</v>
      </c>
      <c r="L381" s="65" t="s">
        <v>168</v>
      </c>
      <c r="M381" s="65">
        <f>ROUNDUP(K381/VLOOKUP(L381,Camion!A:D, 3, FALSE),0)</f>
        <v>1</v>
      </c>
      <c r="N381" s="65">
        <f>INT(K381/VLOOKUP(L381,Camion!A:D, 3, FALSE))</f>
        <v>0</v>
      </c>
      <c r="O381" s="66">
        <f>ROUND(K381/VLOOKUP(L381,Camion!A:D, 3, FALSE) - N381,2)</f>
        <v>0.85</v>
      </c>
      <c r="P381" s="65"/>
    </row>
    <row r="382" spans="1:16" x14ac:dyDescent="0.25">
      <c r="A382" s="7">
        <v>16</v>
      </c>
      <c r="B382" s="62" t="s">
        <v>185</v>
      </c>
      <c r="C382" s="63" t="s">
        <v>1</v>
      </c>
      <c r="D382" s="63" t="s">
        <v>128</v>
      </c>
      <c r="E382" s="63" t="s">
        <v>71</v>
      </c>
      <c r="F382" s="63" t="s">
        <v>138</v>
      </c>
      <c r="G382" s="63">
        <v>360</v>
      </c>
      <c r="H382" s="63" t="s">
        <v>139</v>
      </c>
      <c r="I382" s="63">
        <f>INDEX(Matériel!A:Z, MATCH(E382, Matériel!A:A, 0), MATCH(H382, INDEX(Matériel!A:Z, MATCH(E382, Matériel!A:A, 0), 0), 0) + 1)</f>
        <v>150</v>
      </c>
      <c r="J382" s="63">
        <f t="shared" ref="J382:J389" si="37">ROUNDUP(G382 / I382, 0)</f>
        <v>3</v>
      </c>
      <c r="K382" s="63">
        <f>VLOOKUP(H382,Manutention!A:E, 3, FALSE) * J382</f>
        <v>9</v>
      </c>
      <c r="L382" s="63" t="s">
        <v>164</v>
      </c>
      <c r="M382" s="63">
        <f>ROUNDUP(K382/VLOOKUP(L382,Camion!A:D, 3, FALSE),0)</f>
        <v>1</v>
      </c>
      <c r="N382" s="63">
        <f>INT(K382/VLOOKUP(L382,Camion!A:D, 3, FALSE))</f>
        <v>1</v>
      </c>
      <c r="O382" s="64">
        <f>ROUND(K382/VLOOKUP(L382,Camion!A:D, 3, FALSE) - N382,2)</f>
        <v>0</v>
      </c>
      <c r="P382" s="63" t="s">
        <v>130</v>
      </c>
    </row>
    <row r="383" spans="1:16" x14ac:dyDescent="0.25">
      <c r="A383" s="7">
        <v>16</v>
      </c>
      <c r="B383" s="62" t="s">
        <v>185</v>
      </c>
      <c r="C383" s="63" t="s">
        <v>1</v>
      </c>
      <c r="D383" s="63" t="s">
        <v>135</v>
      </c>
      <c r="E383" s="63" t="s">
        <v>72</v>
      </c>
      <c r="F383" s="63" t="s">
        <v>138</v>
      </c>
      <c r="G383" s="63">
        <v>1102</v>
      </c>
      <c r="H383" s="63" t="s">
        <v>143</v>
      </c>
      <c r="I383" s="63">
        <f>INDEX(Matériel!A:Z, MATCH(E383, Matériel!A:A, 0), MATCH(H383, INDEX(Matériel!A:Z, MATCH(E383, Matériel!A:A, 0), 0), 0) + 1)</f>
        <v>1000</v>
      </c>
      <c r="J383" s="63">
        <f t="shared" si="37"/>
        <v>2</v>
      </c>
      <c r="K383" s="63">
        <f>VLOOKUP(H383,Manutention!A:E, 3, FALSE) * J383</f>
        <v>2</v>
      </c>
      <c r="L383" s="63" t="s">
        <v>164</v>
      </c>
      <c r="M383" s="63">
        <f>ROUNDUP(K383/VLOOKUP(L383,Camion!A:D, 3, FALSE),0)</f>
        <v>1</v>
      </c>
      <c r="N383" s="63">
        <f>INT(K383/VLOOKUP(L383,Camion!A:D, 3, FALSE))</f>
        <v>0</v>
      </c>
      <c r="O383" s="64">
        <f>ROUND(K383/VLOOKUP(L383,Camion!A:D, 3, FALSE) - N383,2)</f>
        <v>0.22</v>
      </c>
      <c r="P383" s="63" t="s">
        <v>130</v>
      </c>
    </row>
    <row r="384" spans="1:16" x14ac:dyDescent="0.25">
      <c r="A384" s="7">
        <v>16</v>
      </c>
      <c r="B384" s="62" t="s">
        <v>185</v>
      </c>
      <c r="C384" s="63" t="s">
        <v>1</v>
      </c>
      <c r="D384" s="63" t="s">
        <v>135</v>
      </c>
      <c r="E384" s="63" t="s">
        <v>75</v>
      </c>
      <c r="F384" s="63" t="s">
        <v>127</v>
      </c>
      <c r="G384" s="63">
        <v>56</v>
      </c>
      <c r="H384" s="63" t="s">
        <v>136</v>
      </c>
      <c r="I384" s="63">
        <f>INDEX(Matériel!A:Z, MATCH(E384, Matériel!A:A, 0), MATCH(H384, INDEX(Matériel!A:Z, MATCH(E384, Matériel!A:A, 0), 0), 0) + 1)</f>
        <v>60</v>
      </c>
      <c r="J384" s="63">
        <f t="shared" si="37"/>
        <v>1</v>
      </c>
      <c r="K384" s="63">
        <f>VLOOKUP(H384,Manutention!A:E, 3, FALSE) * J384</f>
        <v>1</v>
      </c>
      <c r="L384" s="63" t="s">
        <v>164</v>
      </c>
      <c r="M384" s="63">
        <f>ROUNDUP(K384/VLOOKUP(L384,Camion!A:D, 3, FALSE),0)</f>
        <v>1</v>
      </c>
      <c r="N384" s="63">
        <f>INT(K384/VLOOKUP(L384,Camion!A:D, 3, FALSE))</f>
        <v>0</v>
      </c>
      <c r="O384" s="64">
        <f>ROUND(K384/VLOOKUP(L384,Camion!A:D, 3, FALSE) - N384,2)</f>
        <v>0.11</v>
      </c>
      <c r="P384" s="63" t="s">
        <v>129</v>
      </c>
    </row>
    <row r="385" spans="1:16" x14ac:dyDescent="0.25">
      <c r="A385" s="7">
        <v>16</v>
      </c>
      <c r="B385" s="62" t="s">
        <v>185</v>
      </c>
      <c r="C385" s="63" t="s">
        <v>1</v>
      </c>
      <c r="D385" s="63" t="s">
        <v>128</v>
      </c>
      <c r="E385" s="63" t="s">
        <v>76</v>
      </c>
      <c r="F385" s="63" t="s">
        <v>127</v>
      </c>
      <c r="G385" s="63">
        <v>28</v>
      </c>
      <c r="H385" s="63" t="s">
        <v>131</v>
      </c>
      <c r="I385" s="63">
        <f>INDEX(Matériel!A:Z, MATCH(E385, Matériel!A:A, 0), MATCH(H385, INDEX(Matériel!A:Z, MATCH(E385, Matériel!A:A, 0), 0), 0) + 1)</f>
        <v>100</v>
      </c>
      <c r="J385" s="63">
        <f t="shared" si="37"/>
        <v>1</v>
      </c>
      <c r="K385" s="63">
        <f>VLOOKUP(H385,Manutention!A:E, 3, FALSE) * J385</f>
        <v>1</v>
      </c>
      <c r="L385" s="63" t="s">
        <v>164</v>
      </c>
      <c r="M385" s="63">
        <f>ROUNDUP(K385/VLOOKUP(L385,Camion!A:D, 3, FALSE),0)</f>
        <v>1</v>
      </c>
      <c r="N385" s="63">
        <f>INT(K385/VLOOKUP(L385,Camion!A:D, 3, FALSE))</f>
        <v>0</v>
      </c>
      <c r="O385" s="64">
        <f>ROUND(K385/VLOOKUP(L385,Camion!A:D, 3, FALSE) - N385,2)</f>
        <v>0.11</v>
      </c>
      <c r="P385" s="63" t="s">
        <v>129</v>
      </c>
    </row>
    <row r="386" spans="1:16" x14ac:dyDescent="0.25">
      <c r="A386" s="7">
        <v>16</v>
      </c>
      <c r="B386" s="62" t="s">
        <v>185</v>
      </c>
      <c r="C386" s="63" t="s">
        <v>1</v>
      </c>
      <c r="D386" s="63" t="s">
        <v>135</v>
      </c>
      <c r="E386" s="63" t="s">
        <v>77</v>
      </c>
      <c r="F386" s="63" t="s">
        <v>127</v>
      </c>
      <c r="G386" s="63">
        <v>236</v>
      </c>
      <c r="H386" s="63" t="s">
        <v>131</v>
      </c>
      <c r="I386" s="63">
        <f>INDEX(Matériel!A:Z, MATCH(E386, Matériel!A:A, 0), MATCH(H386, INDEX(Matériel!A:Z, MATCH(E386, Matériel!A:A, 0), 0), 0) + 1)</f>
        <v>20</v>
      </c>
      <c r="J386" s="63">
        <f t="shared" si="37"/>
        <v>12</v>
      </c>
      <c r="K386" s="63">
        <f>VLOOKUP(H386,Manutention!A:E, 3, FALSE) * J386</f>
        <v>12</v>
      </c>
      <c r="L386" s="63" t="s">
        <v>165</v>
      </c>
      <c r="M386" s="63">
        <f>ROUNDUP(K386/VLOOKUP(L386,Camion!A:D, 3, FALSE),0)</f>
        <v>1</v>
      </c>
      <c r="N386" s="63">
        <f>INT(K386/VLOOKUP(L386,Camion!A:D, 3, FALSE))</f>
        <v>1</v>
      </c>
      <c r="O386" s="64">
        <f>ROUND(K386/VLOOKUP(L386,Camion!A:D, 3, FALSE) - N386,2)</f>
        <v>0</v>
      </c>
      <c r="P386" s="63" t="s">
        <v>129</v>
      </c>
    </row>
    <row r="387" spans="1:16" x14ac:dyDescent="0.25">
      <c r="A387" s="7">
        <v>16</v>
      </c>
      <c r="B387" s="62" t="s">
        <v>185</v>
      </c>
      <c r="C387" s="63" t="s">
        <v>1</v>
      </c>
      <c r="D387" s="63" t="s">
        <v>135</v>
      </c>
      <c r="E387" s="63" t="s">
        <v>78</v>
      </c>
      <c r="F387" s="63" t="s">
        <v>127</v>
      </c>
      <c r="G387" s="63">
        <v>5</v>
      </c>
      <c r="H387" s="63" t="s">
        <v>133</v>
      </c>
      <c r="I387" s="63">
        <f>INDEX(Matériel!A:Z, MATCH(E387, Matériel!A:A, 0), MATCH(H387, INDEX(Matériel!A:Z, MATCH(E387, Matériel!A:A, 0), 0), 0) + 1)</f>
        <v>1</v>
      </c>
      <c r="J387" s="63">
        <f t="shared" si="37"/>
        <v>5</v>
      </c>
      <c r="K387" s="63">
        <f>VLOOKUP(H387,Manutention!A:E, 3, FALSE) * J387</f>
        <v>10</v>
      </c>
      <c r="L387" s="63" t="s">
        <v>165</v>
      </c>
      <c r="M387" s="63">
        <f>ROUNDUP(K387/VLOOKUP(L387,Camion!A:D, 3, FALSE),0)</f>
        <v>1</v>
      </c>
      <c r="N387" s="63">
        <f>INT(K387/VLOOKUP(L387,Camion!A:D, 3, FALSE))</f>
        <v>0</v>
      </c>
      <c r="O387" s="64">
        <f>ROUND(K387/VLOOKUP(L387,Camion!A:D, 3, FALSE) - N387,2)</f>
        <v>0.83</v>
      </c>
      <c r="P387" s="63" t="s">
        <v>129</v>
      </c>
    </row>
    <row r="388" spans="1:16" x14ac:dyDescent="0.25">
      <c r="A388" s="7">
        <v>16</v>
      </c>
      <c r="B388" s="62" t="s">
        <v>185</v>
      </c>
      <c r="C388" s="63" t="s">
        <v>1</v>
      </c>
      <c r="D388" s="63" t="s">
        <v>135</v>
      </c>
      <c r="E388" s="63" t="s">
        <v>79</v>
      </c>
      <c r="F388" s="63" t="s">
        <v>127</v>
      </c>
      <c r="G388" s="63">
        <v>3</v>
      </c>
      <c r="H388" s="63" t="s">
        <v>133</v>
      </c>
      <c r="I388" s="63">
        <f>INDEX(Matériel!A:Z, MATCH(E388, Matériel!A:A, 0), MATCH(H388, INDEX(Matériel!A:Z, MATCH(E388, Matériel!A:A, 0), 0), 0) + 1)</f>
        <v>1</v>
      </c>
      <c r="J388" s="63">
        <f t="shared" si="37"/>
        <v>3</v>
      </c>
      <c r="K388" s="63">
        <f>VLOOKUP(H388,Manutention!A:E, 3, FALSE) * J388</f>
        <v>6</v>
      </c>
      <c r="L388" s="63" t="s">
        <v>164</v>
      </c>
      <c r="M388" s="63">
        <f>ROUNDUP(K388/VLOOKUP(L388,Camion!A:D, 3, FALSE),0)</f>
        <v>1</v>
      </c>
      <c r="N388" s="63">
        <f>INT(K388/VLOOKUP(L388,Camion!A:D, 3, FALSE))</f>
        <v>0</v>
      </c>
      <c r="O388" s="64">
        <f>ROUND(K388/VLOOKUP(L388,Camion!A:D, 3, FALSE) - N388,2)</f>
        <v>0.67</v>
      </c>
      <c r="P388" s="63" t="s">
        <v>129</v>
      </c>
    </row>
    <row r="389" spans="1:16" x14ac:dyDescent="0.25">
      <c r="A389" s="7">
        <v>16</v>
      </c>
      <c r="B389" s="62" t="s">
        <v>185</v>
      </c>
      <c r="C389" s="63" t="s">
        <v>1</v>
      </c>
      <c r="D389" s="63" t="s">
        <v>128</v>
      </c>
      <c r="E389" s="63" t="s">
        <v>81</v>
      </c>
      <c r="F389" s="63" t="s">
        <v>127</v>
      </c>
      <c r="G389" s="63">
        <v>10</v>
      </c>
      <c r="H389" s="63" t="s">
        <v>131</v>
      </c>
      <c r="I389" s="63">
        <f>INDEX(Matériel!A:Z, MATCH(E389, Matériel!A:A, 0), MATCH(H389, INDEX(Matériel!A:Z, MATCH(E389, Matériel!A:A, 0), 0), 0) + 1)</f>
        <v>100</v>
      </c>
      <c r="J389" s="63">
        <f t="shared" si="37"/>
        <v>1</v>
      </c>
      <c r="K389" s="63">
        <f>VLOOKUP(H389,Manutention!A:E, 3, FALSE) * J389</f>
        <v>1</v>
      </c>
      <c r="L389" s="63" t="s">
        <v>164</v>
      </c>
      <c r="M389" s="63">
        <f>ROUNDUP(K389/VLOOKUP(L389,Camion!A:D, 3, FALSE),0)</f>
        <v>1</v>
      </c>
      <c r="N389" s="63">
        <f>INT(K389/VLOOKUP(L389,Camion!A:D, 3, FALSE))</f>
        <v>0</v>
      </c>
      <c r="O389" s="64">
        <f>ROUND(K389/VLOOKUP(L389,Camion!A:D, 3, FALSE) - N389,2)</f>
        <v>0.11</v>
      </c>
      <c r="P389" s="63" t="s">
        <v>130</v>
      </c>
    </row>
    <row r="390" spans="1:16" x14ac:dyDescent="0.25">
      <c r="A390" s="7">
        <v>16</v>
      </c>
      <c r="B390" s="5" t="s">
        <v>185</v>
      </c>
      <c r="C390" s="65"/>
      <c r="D390" s="65"/>
      <c r="E390" s="65" t="s">
        <v>187</v>
      </c>
      <c r="F390" s="65"/>
      <c r="G390" s="65"/>
      <c r="H390" s="65" t="s">
        <v>131</v>
      </c>
      <c r="I390" s="65"/>
      <c r="J390" s="65"/>
      <c r="K390" s="65">
        <f>SUMIFS(K:K, A:A, 16, B:B, "Z3 Z4", P:P, "Oui", D:D, "Production")</f>
        <v>1</v>
      </c>
      <c r="L390" s="65" t="s">
        <v>164</v>
      </c>
      <c r="M390" s="65">
        <f>ROUNDUP(K390/VLOOKUP(L390,Camion!A:D, 3, FALSE),0)</f>
        <v>1</v>
      </c>
      <c r="N390" s="65">
        <f>INT(K390/VLOOKUP(L390,Camion!A:D, 3, FALSE))</f>
        <v>0</v>
      </c>
      <c r="O390" s="66">
        <f>ROUND(K390/VLOOKUP(L390,Camion!A:D, 3, FALSE) - N390,2)</f>
        <v>0.11</v>
      </c>
      <c r="P390" s="65"/>
    </row>
    <row r="391" spans="1:16" x14ac:dyDescent="0.25">
      <c r="A391" s="7">
        <v>16</v>
      </c>
      <c r="B391" s="5" t="s">
        <v>185</v>
      </c>
      <c r="C391" s="65"/>
      <c r="D391" s="65"/>
      <c r="E391" s="65" t="s">
        <v>188</v>
      </c>
      <c r="F391" s="65"/>
      <c r="G391" s="65"/>
      <c r="H391" s="65" t="s">
        <v>131</v>
      </c>
      <c r="I391" s="65"/>
      <c r="J391" s="65"/>
      <c r="K391" s="65">
        <f>SUMIFS(K:K, A:A, 16, B:B, "Z3 Z4", P:P, "Oui", D:D, "Terminaux")</f>
        <v>29</v>
      </c>
      <c r="L391" s="65" t="s">
        <v>168</v>
      </c>
      <c r="M391" s="65">
        <f>ROUNDUP(K391/VLOOKUP(L391,Camion!A:D, 3, FALSE),0)</f>
        <v>1</v>
      </c>
      <c r="N391" s="65">
        <f>INT(K391/VLOOKUP(L391,Camion!A:D, 3, FALSE))</f>
        <v>0</v>
      </c>
      <c r="O391" s="66">
        <f>ROUND(K391/VLOOKUP(L391,Camion!A:D, 3, FALSE) - N391,2)</f>
        <v>0.85</v>
      </c>
      <c r="P391" s="65"/>
    </row>
    <row r="392" spans="1:16" x14ac:dyDescent="0.25">
      <c r="A392" s="7">
        <v>17</v>
      </c>
      <c r="B392" s="62" t="s">
        <v>184</v>
      </c>
      <c r="C392" s="63" t="s">
        <v>1</v>
      </c>
      <c r="D392" s="63" t="s">
        <v>128</v>
      </c>
      <c r="E392" s="63" t="s">
        <v>71</v>
      </c>
      <c r="F392" s="63" t="s">
        <v>138</v>
      </c>
      <c r="G392" s="63">
        <v>354</v>
      </c>
      <c r="H392" s="63" t="s">
        <v>139</v>
      </c>
      <c r="I392" s="63">
        <f>INDEX(Matériel!A:Z, MATCH(E392, Matériel!A:A, 0), MATCH(H392, INDEX(Matériel!A:Z, MATCH(E392, Matériel!A:A, 0), 0), 0) + 1)</f>
        <v>150</v>
      </c>
      <c r="J392" s="63">
        <f t="shared" ref="J392:J399" si="38">ROUNDUP(G392 / I392, 0)</f>
        <v>3</v>
      </c>
      <c r="K392" s="63">
        <f>VLOOKUP(H392,Manutention!A:E, 3, FALSE) * J392</f>
        <v>9</v>
      </c>
      <c r="L392" s="63" t="s">
        <v>164</v>
      </c>
      <c r="M392" s="63">
        <f>ROUNDUP(K392/VLOOKUP(L392,Camion!A:D, 3, FALSE),0)</f>
        <v>1</v>
      </c>
      <c r="N392" s="63">
        <f>INT(K392/VLOOKUP(L392,Camion!A:D, 3, FALSE))</f>
        <v>1</v>
      </c>
      <c r="O392" s="64">
        <f>ROUND(K392/VLOOKUP(L392,Camion!A:D, 3, FALSE) - N392,2)</f>
        <v>0</v>
      </c>
      <c r="P392" s="63" t="s">
        <v>130</v>
      </c>
    </row>
    <row r="393" spans="1:16" x14ac:dyDescent="0.25">
      <c r="A393" s="7">
        <v>17</v>
      </c>
      <c r="B393" s="62" t="s">
        <v>184</v>
      </c>
      <c r="C393" s="63" t="s">
        <v>1</v>
      </c>
      <c r="D393" s="63" t="s">
        <v>135</v>
      </c>
      <c r="E393" s="63" t="s">
        <v>72</v>
      </c>
      <c r="F393" s="63" t="s">
        <v>138</v>
      </c>
      <c r="G393" s="63">
        <v>1085</v>
      </c>
      <c r="H393" s="63" t="s">
        <v>143</v>
      </c>
      <c r="I393" s="63">
        <f>INDEX(Matériel!A:Z, MATCH(E393, Matériel!A:A, 0), MATCH(H393, INDEX(Matériel!A:Z, MATCH(E393, Matériel!A:A, 0), 0), 0) + 1)</f>
        <v>1000</v>
      </c>
      <c r="J393" s="63">
        <f t="shared" si="38"/>
        <v>2</v>
      </c>
      <c r="K393" s="63">
        <f>VLOOKUP(H393,Manutention!A:E, 3, FALSE) * J393</f>
        <v>2</v>
      </c>
      <c r="L393" s="63" t="s">
        <v>164</v>
      </c>
      <c r="M393" s="63">
        <f>ROUNDUP(K393/VLOOKUP(L393,Camion!A:D, 3, FALSE),0)</f>
        <v>1</v>
      </c>
      <c r="N393" s="63">
        <f>INT(K393/VLOOKUP(L393,Camion!A:D, 3, FALSE))</f>
        <v>0</v>
      </c>
      <c r="O393" s="64">
        <f>ROUND(K393/VLOOKUP(L393,Camion!A:D, 3, FALSE) - N393,2)</f>
        <v>0.22</v>
      </c>
      <c r="P393" s="63" t="s">
        <v>130</v>
      </c>
    </row>
    <row r="394" spans="1:16" x14ac:dyDescent="0.25">
      <c r="A394" s="7">
        <v>17</v>
      </c>
      <c r="B394" s="62" t="s">
        <v>184</v>
      </c>
      <c r="C394" s="63" t="s">
        <v>1</v>
      </c>
      <c r="D394" s="63" t="s">
        <v>135</v>
      </c>
      <c r="E394" s="63" t="s">
        <v>75</v>
      </c>
      <c r="F394" s="63" t="s">
        <v>127</v>
      </c>
      <c r="G394" s="63">
        <v>55</v>
      </c>
      <c r="H394" s="63" t="s">
        <v>136</v>
      </c>
      <c r="I394" s="63">
        <f>INDEX(Matériel!A:Z, MATCH(E394, Matériel!A:A, 0), MATCH(H394, INDEX(Matériel!A:Z, MATCH(E394, Matériel!A:A, 0), 0), 0) + 1)</f>
        <v>60</v>
      </c>
      <c r="J394" s="63">
        <f t="shared" si="38"/>
        <v>1</v>
      </c>
      <c r="K394" s="63">
        <f>VLOOKUP(H394,Manutention!A:E, 3, FALSE) * J394</f>
        <v>1</v>
      </c>
      <c r="L394" s="63" t="s">
        <v>164</v>
      </c>
      <c r="M394" s="63">
        <f>ROUNDUP(K394/VLOOKUP(L394,Camion!A:D, 3, FALSE),0)</f>
        <v>1</v>
      </c>
      <c r="N394" s="63">
        <f>INT(K394/VLOOKUP(L394,Camion!A:D, 3, FALSE))</f>
        <v>0</v>
      </c>
      <c r="O394" s="64">
        <f>ROUND(K394/VLOOKUP(L394,Camion!A:D, 3, FALSE) - N394,2)</f>
        <v>0.11</v>
      </c>
      <c r="P394" s="63" t="s">
        <v>129</v>
      </c>
    </row>
    <row r="395" spans="1:16" x14ac:dyDescent="0.25">
      <c r="A395" s="7">
        <v>17</v>
      </c>
      <c r="B395" s="62" t="s">
        <v>184</v>
      </c>
      <c r="C395" s="63" t="s">
        <v>1</v>
      </c>
      <c r="D395" s="63" t="s">
        <v>128</v>
      </c>
      <c r="E395" s="63" t="s">
        <v>76</v>
      </c>
      <c r="F395" s="63" t="s">
        <v>127</v>
      </c>
      <c r="G395" s="63">
        <v>27</v>
      </c>
      <c r="H395" s="63" t="s">
        <v>131</v>
      </c>
      <c r="I395" s="63">
        <f>INDEX(Matériel!A:Z, MATCH(E395, Matériel!A:A, 0), MATCH(H395, INDEX(Matériel!A:Z, MATCH(E395, Matériel!A:A, 0), 0), 0) + 1)</f>
        <v>100</v>
      </c>
      <c r="J395" s="63">
        <f t="shared" si="38"/>
        <v>1</v>
      </c>
      <c r="K395" s="63">
        <f>VLOOKUP(H395,Manutention!A:E, 3, FALSE) * J395</f>
        <v>1</v>
      </c>
      <c r="L395" s="63" t="s">
        <v>164</v>
      </c>
      <c r="M395" s="63">
        <f>ROUNDUP(K395/VLOOKUP(L395,Camion!A:D, 3, FALSE),0)</f>
        <v>1</v>
      </c>
      <c r="N395" s="63">
        <f>INT(K395/VLOOKUP(L395,Camion!A:D, 3, FALSE))</f>
        <v>0</v>
      </c>
      <c r="O395" s="64">
        <f>ROUND(K395/VLOOKUP(L395,Camion!A:D, 3, FALSE) - N395,2)</f>
        <v>0.11</v>
      </c>
      <c r="P395" s="63" t="s">
        <v>129</v>
      </c>
    </row>
    <row r="396" spans="1:16" x14ac:dyDescent="0.25">
      <c r="A396" s="7">
        <v>17</v>
      </c>
      <c r="B396" s="62" t="s">
        <v>184</v>
      </c>
      <c r="C396" s="63" t="s">
        <v>1</v>
      </c>
      <c r="D396" s="63" t="s">
        <v>135</v>
      </c>
      <c r="E396" s="63" t="s">
        <v>77</v>
      </c>
      <c r="F396" s="63" t="s">
        <v>127</v>
      </c>
      <c r="G396" s="63">
        <v>232</v>
      </c>
      <c r="H396" s="63" t="s">
        <v>131</v>
      </c>
      <c r="I396" s="63">
        <f>INDEX(Matériel!A:Z, MATCH(E396, Matériel!A:A, 0), MATCH(H396, INDEX(Matériel!A:Z, MATCH(E396, Matériel!A:A, 0), 0), 0) + 1)</f>
        <v>20</v>
      </c>
      <c r="J396" s="63">
        <f t="shared" si="38"/>
        <v>12</v>
      </c>
      <c r="K396" s="63">
        <f>VLOOKUP(H396,Manutention!A:E, 3, FALSE) * J396</f>
        <v>12</v>
      </c>
      <c r="L396" s="63" t="s">
        <v>165</v>
      </c>
      <c r="M396" s="63">
        <f>ROUNDUP(K396/VLOOKUP(L396,Camion!A:D, 3, FALSE),0)</f>
        <v>1</v>
      </c>
      <c r="N396" s="63">
        <f>INT(K396/VLOOKUP(L396,Camion!A:D, 3, FALSE))</f>
        <v>1</v>
      </c>
      <c r="O396" s="64">
        <f>ROUND(K396/VLOOKUP(L396,Camion!A:D, 3, FALSE) - N396,2)</f>
        <v>0</v>
      </c>
      <c r="P396" s="63" t="s">
        <v>129</v>
      </c>
    </row>
    <row r="397" spans="1:16" x14ac:dyDescent="0.25">
      <c r="A397" s="7">
        <v>17</v>
      </c>
      <c r="B397" s="62" t="s">
        <v>184</v>
      </c>
      <c r="C397" s="63" t="s">
        <v>1</v>
      </c>
      <c r="D397" s="63" t="s">
        <v>135</v>
      </c>
      <c r="E397" s="63" t="s">
        <v>78</v>
      </c>
      <c r="F397" s="63" t="s">
        <v>127</v>
      </c>
      <c r="G397" s="63">
        <v>5</v>
      </c>
      <c r="H397" s="63" t="s">
        <v>133</v>
      </c>
      <c r="I397" s="63">
        <f>INDEX(Matériel!A:Z, MATCH(E397, Matériel!A:A, 0), MATCH(H397, INDEX(Matériel!A:Z, MATCH(E397, Matériel!A:A, 0), 0), 0) + 1)</f>
        <v>1</v>
      </c>
      <c r="J397" s="63">
        <f t="shared" si="38"/>
        <v>5</v>
      </c>
      <c r="K397" s="63">
        <f>VLOOKUP(H397,Manutention!A:E, 3, FALSE) * J397</f>
        <v>10</v>
      </c>
      <c r="L397" s="63" t="s">
        <v>165</v>
      </c>
      <c r="M397" s="63">
        <f>ROUNDUP(K397/VLOOKUP(L397,Camion!A:D, 3, FALSE),0)</f>
        <v>1</v>
      </c>
      <c r="N397" s="63">
        <f>INT(K397/VLOOKUP(L397,Camion!A:D, 3, FALSE))</f>
        <v>0</v>
      </c>
      <c r="O397" s="64">
        <f>ROUND(K397/VLOOKUP(L397,Camion!A:D, 3, FALSE) - N397,2)</f>
        <v>0.83</v>
      </c>
      <c r="P397" s="63" t="s">
        <v>129</v>
      </c>
    </row>
    <row r="398" spans="1:16" x14ac:dyDescent="0.25">
      <c r="A398" s="7">
        <v>17</v>
      </c>
      <c r="B398" s="62" t="s">
        <v>184</v>
      </c>
      <c r="C398" s="63" t="s">
        <v>1</v>
      </c>
      <c r="D398" s="63" t="s">
        <v>135</v>
      </c>
      <c r="E398" s="63" t="s">
        <v>79</v>
      </c>
      <c r="F398" s="63" t="s">
        <v>127</v>
      </c>
      <c r="G398" s="63">
        <v>3</v>
      </c>
      <c r="H398" s="63" t="s">
        <v>133</v>
      </c>
      <c r="I398" s="63">
        <f>INDEX(Matériel!A:Z, MATCH(E398, Matériel!A:A, 0), MATCH(H398, INDEX(Matériel!A:Z, MATCH(E398, Matériel!A:A, 0), 0), 0) + 1)</f>
        <v>1</v>
      </c>
      <c r="J398" s="63">
        <f t="shared" si="38"/>
        <v>3</v>
      </c>
      <c r="K398" s="63">
        <f>VLOOKUP(H398,Manutention!A:E, 3, FALSE) * J398</f>
        <v>6</v>
      </c>
      <c r="L398" s="63" t="s">
        <v>164</v>
      </c>
      <c r="M398" s="63">
        <f>ROUNDUP(K398/VLOOKUP(L398,Camion!A:D, 3, FALSE),0)</f>
        <v>1</v>
      </c>
      <c r="N398" s="63">
        <f>INT(K398/VLOOKUP(L398,Camion!A:D, 3, FALSE))</f>
        <v>0</v>
      </c>
      <c r="O398" s="64">
        <f>ROUND(K398/VLOOKUP(L398,Camion!A:D, 3, FALSE) - N398,2)</f>
        <v>0.67</v>
      </c>
      <c r="P398" s="63" t="s">
        <v>129</v>
      </c>
    </row>
    <row r="399" spans="1:16" x14ac:dyDescent="0.25">
      <c r="A399" s="7">
        <v>17</v>
      </c>
      <c r="B399" s="62" t="s">
        <v>184</v>
      </c>
      <c r="C399" s="63" t="s">
        <v>1</v>
      </c>
      <c r="D399" s="63" t="s">
        <v>128</v>
      </c>
      <c r="E399" s="63" t="s">
        <v>81</v>
      </c>
      <c r="F399" s="63" t="s">
        <v>127</v>
      </c>
      <c r="G399" s="63">
        <v>10</v>
      </c>
      <c r="H399" s="63" t="s">
        <v>131</v>
      </c>
      <c r="I399" s="63">
        <f>INDEX(Matériel!A:Z, MATCH(E399, Matériel!A:A, 0), MATCH(H399, INDEX(Matériel!A:Z, MATCH(E399, Matériel!A:A, 0), 0), 0) + 1)</f>
        <v>100</v>
      </c>
      <c r="J399" s="63">
        <f t="shared" si="38"/>
        <v>1</v>
      </c>
      <c r="K399" s="63">
        <f>VLOOKUP(H399,Manutention!A:E, 3, FALSE) * J399</f>
        <v>1</v>
      </c>
      <c r="L399" s="63" t="s">
        <v>164</v>
      </c>
      <c r="M399" s="63">
        <f>ROUNDUP(K399/VLOOKUP(L399,Camion!A:D, 3, FALSE),0)</f>
        <v>1</v>
      </c>
      <c r="N399" s="63">
        <f>INT(K399/VLOOKUP(L399,Camion!A:D, 3, FALSE))</f>
        <v>0</v>
      </c>
      <c r="O399" s="64">
        <f>ROUND(K399/VLOOKUP(L399,Camion!A:D, 3, FALSE) - N399,2)</f>
        <v>0.11</v>
      </c>
      <c r="P399" s="63" t="s">
        <v>130</v>
      </c>
    </row>
    <row r="400" spans="1:16" x14ac:dyDescent="0.25">
      <c r="A400" s="7">
        <v>17</v>
      </c>
      <c r="B400" s="5" t="s">
        <v>184</v>
      </c>
      <c r="C400" s="65"/>
      <c r="D400" s="65"/>
      <c r="E400" s="65" t="s">
        <v>187</v>
      </c>
      <c r="F400" s="65"/>
      <c r="G400" s="65"/>
      <c r="H400" s="65" t="s">
        <v>131</v>
      </c>
      <c r="I400" s="65"/>
      <c r="J400" s="65"/>
      <c r="K400" s="65">
        <f>SUMIFS(K:K, A:A, 17, B:B, "Z1 Z2", P:P, "Oui", D:D, "Production")</f>
        <v>1</v>
      </c>
      <c r="L400" s="65" t="s">
        <v>164</v>
      </c>
      <c r="M400" s="65">
        <f>ROUNDUP(K400/VLOOKUP(L400,Camion!A:D, 3, FALSE),0)</f>
        <v>1</v>
      </c>
      <c r="N400" s="65">
        <f>INT(K400/VLOOKUP(L400,Camion!A:D, 3, FALSE))</f>
        <v>0</v>
      </c>
      <c r="O400" s="66">
        <f>ROUND(K400/VLOOKUP(L400,Camion!A:D, 3, FALSE) - N400,2)</f>
        <v>0.11</v>
      </c>
      <c r="P400" s="65"/>
    </row>
    <row r="401" spans="1:16" x14ac:dyDescent="0.25">
      <c r="A401" s="7">
        <v>17</v>
      </c>
      <c r="B401" s="5" t="s">
        <v>184</v>
      </c>
      <c r="C401" s="65"/>
      <c r="D401" s="65"/>
      <c r="E401" s="65" t="s">
        <v>188</v>
      </c>
      <c r="F401" s="65"/>
      <c r="G401" s="65"/>
      <c r="H401" s="65" t="s">
        <v>131</v>
      </c>
      <c r="I401" s="65"/>
      <c r="J401" s="65"/>
      <c r="K401" s="65">
        <f>SUMIFS(K:K, A:A, 17, B:B, "Z1 Z2", P:P, "Oui", D:D, "Terminaux")</f>
        <v>29</v>
      </c>
      <c r="L401" s="65" t="s">
        <v>168</v>
      </c>
      <c r="M401" s="65">
        <f>ROUNDUP(K401/VLOOKUP(L401,Camion!A:D, 3, FALSE),0)</f>
        <v>1</v>
      </c>
      <c r="N401" s="65">
        <f>INT(K401/VLOOKUP(L401,Camion!A:D, 3, FALSE))</f>
        <v>0</v>
      </c>
      <c r="O401" s="66">
        <f>ROUND(K401/VLOOKUP(L401,Camion!A:D, 3, FALSE) - N401,2)</f>
        <v>0.85</v>
      </c>
      <c r="P401" s="65"/>
    </row>
    <row r="402" spans="1:16" x14ac:dyDescent="0.25">
      <c r="A402" s="7">
        <v>17</v>
      </c>
      <c r="B402" s="62" t="s">
        <v>185</v>
      </c>
      <c r="C402" s="63" t="s">
        <v>1</v>
      </c>
      <c r="D402" s="63" t="s">
        <v>128</v>
      </c>
      <c r="E402" s="63" t="s">
        <v>71</v>
      </c>
      <c r="F402" s="63" t="s">
        <v>138</v>
      </c>
      <c r="G402" s="63">
        <v>349</v>
      </c>
      <c r="H402" s="63" t="s">
        <v>139</v>
      </c>
      <c r="I402" s="63">
        <f>INDEX(Matériel!A:Z, MATCH(E402, Matériel!A:A, 0), MATCH(H402, INDEX(Matériel!A:Z, MATCH(E402, Matériel!A:A, 0), 0), 0) + 1)</f>
        <v>150</v>
      </c>
      <c r="J402" s="63">
        <f t="shared" ref="J402:J409" si="39">ROUNDUP(G402 / I402, 0)</f>
        <v>3</v>
      </c>
      <c r="K402" s="63">
        <f>VLOOKUP(H402,Manutention!A:E, 3, FALSE) * J402</f>
        <v>9</v>
      </c>
      <c r="L402" s="63" t="s">
        <v>164</v>
      </c>
      <c r="M402" s="63">
        <f>ROUNDUP(K402/VLOOKUP(L402,Camion!A:D, 3, FALSE),0)</f>
        <v>1</v>
      </c>
      <c r="N402" s="63">
        <f>INT(K402/VLOOKUP(L402,Camion!A:D, 3, FALSE))</f>
        <v>1</v>
      </c>
      <c r="O402" s="64">
        <f>ROUND(K402/VLOOKUP(L402,Camion!A:D, 3, FALSE) - N402,2)</f>
        <v>0</v>
      </c>
      <c r="P402" s="63" t="s">
        <v>130</v>
      </c>
    </row>
    <row r="403" spans="1:16" x14ac:dyDescent="0.25">
      <c r="A403" s="7">
        <v>17</v>
      </c>
      <c r="B403" s="62" t="s">
        <v>185</v>
      </c>
      <c r="C403" s="63" t="s">
        <v>1</v>
      </c>
      <c r="D403" s="63" t="s">
        <v>135</v>
      </c>
      <c r="E403" s="63" t="s">
        <v>72</v>
      </c>
      <c r="F403" s="63" t="s">
        <v>138</v>
      </c>
      <c r="G403" s="63">
        <v>1069</v>
      </c>
      <c r="H403" s="63" t="s">
        <v>143</v>
      </c>
      <c r="I403" s="63">
        <f>INDEX(Matériel!A:Z, MATCH(E403, Matériel!A:A, 0), MATCH(H403, INDEX(Matériel!A:Z, MATCH(E403, Matériel!A:A, 0), 0), 0) + 1)</f>
        <v>1000</v>
      </c>
      <c r="J403" s="63">
        <f t="shared" si="39"/>
        <v>2</v>
      </c>
      <c r="K403" s="63">
        <f>VLOOKUP(H403,Manutention!A:E, 3, FALSE) * J403</f>
        <v>2</v>
      </c>
      <c r="L403" s="63" t="s">
        <v>164</v>
      </c>
      <c r="M403" s="63">
        <f>ROUNDUP(K403/VLOOKUP(L403,Camion!A:D, 3, FALSE),0)</f>
        <v>1</v>
      </c>
      <c r="N403" s="63">
        <f>INT(K403/VLOOKUP(L403,Camion!A:D, 3, FALSE))</f>
        <v>0</v>
      </c>
      <c r="O403" s="64">
        <f>ROUND(K403/VLOOKUP(L403,Camion!A:D, 3, FALSE) - N403,2)</f>
        <v>0.22</v>
      </c>
      <c r="P403" s="63" t="s">
        <v>130</v>
      </c>
    </row>
    <row r="404" spans="1:16" x14ac:dyDescent="0.25">
      <c r="A404" s="7">
        <v>17</v>
      </c>
      <c r="B404" s="62" t="s">
        <v>185</v>
      </c>
      <c r="C404" s="63" t="s">
        <v>1</v>
      </c>
      <c r="D404" s="63" t="s">
        <v>135</v>
      </c>
      <c r="E404" s="63" t="s">
        <v>75</v>
      </c>
      <c r="F404" s="63" t="s">
        <v>127</v>
      </c>
      <c r="G404" s="63">
        <v>55</v>
      </c>
      <c r="H404" s="63" t="s">
        <v>136</v>
      </c>
      <c r="I404" s="63">
        <f>INDEX(Matériel!A:Z, MATCH(E404, Matériel!A:A, 0), MATCH(H404, INDEX(Matériel!A:Z, MATCH(E404, Matériel!A:A, 0), 0), 0) + 1)</f>
        <v>60</v>
      </c>
      <c r="J404" s="63">
        <f t="shared" si="39"/>
        <v>1</v>
      </c>
      <c r="K404" s="63">
        <f>VLOOKUP(H404,Manutention!A:E, 3, FALSE) * J404</f>
        <v>1</v>
      </c>
      <c r="L404" s="63" t="s">
        <v>164</v>
      </c>
      <c r="M404" s="63">
        <f>ROUNDUP(K404/VLOOKUP(L404,Camion!A:D, 3, FALSE),0)</f>
        <v>1</v>
      </c>
      <c r="N404" s="63">
        <f>INT(K404/VLOOKUP(L404,Camion!A:D, 3, FALSE))</f>
        <v>0</v>
      </c>
      <c r="O404" s="64">
        <f>ROUND(K404/VLOOKUP(L404,Camion!A:D, 3, FALSE) - N404,2)</f>
        <v>0.11</v>
      </c>
      <c r="P404" s="63" t="s">
        <v>129</v>
      </c>
    </row>
    <row r="405" spans="1:16" x14ac:dyDescent="0.25">
      <c r="A405" s="7">
        <v>17</v>
      </c>
      <c r="B405" s="62" t="s">
        <v>185</v>
      </c>
      <c r="C405" s="63" t="s">
        <v>1</v>
      </c>
      <c r="D405" s="63" t="s">
        <v>128</v>
      </c>
      <c r="E405" s="63" t="s">
        <v>76</v>
      </c>
      <c r="F405" s="63" t="s">
        <v>127</v>
      </c>
      <c r="G405" s="63">
        <v>27</v>
      </c>
      <c r="H405" s="63" t="s">
        <v>131</v>
      </c>
      <c r="I405" s="63">
        <f>INDEX(Matériel!A:Z, MATCH(E405, Matériel!A:A, 0), MATCH(H405, INDEX(Matériel!A:Z, MATCH(E405, Matériel!A:A, 0), 0), 0) + 1)</f>
        <v>100</v>
      </c>
      <c r="J405" s="63">
        <f t="shared" si="39"/>
        <v>1</v>
      </c>
      <c r="K405" s="63">
        <f>VLOOKUP(H405,Manutention!A:E, 3, FALSE) * J405</f>
        <v>1</v>
      </c>
      <c r="L405" s="63" t="s">
        <v>164</v>
      </c>
      <c r="M405" s="63">
        <f>ROUNDUP(K405/VLOOKUP(L405,Camion!A:D, 3, FALSE),0)</f>
        <v>1</v>
      </c>
      <c r="N405" s="63">
        <f>INT(K405/VLOOKUP(L405,Camion!A:D, 3, FALSE))</f>
        <v>0</v>
      </c>
      <c r="O405" s="64">
        <f>ROUND(K405/VLOOKUP(L405,Camion!A:D, 3, FALSE) - N405,2)</f>
        <v>0.11</v>
      </c>
      <c r="P405" s="63" t="s">
        <v>129</v>
      </c>
    </row>
    <row r="406" spans="1:16" x14ac:dyDescent="0.25">
      <c r="A406" s="7">
        <v>17</v>
      </c>
      <c r="B406" s="62" t="s">
        <v>185</v>
      </c>
      <c r="C406" s="63" t="s">
        <v>1</v>
      </c>
      <c r="D406" s="63" t="s">
        <v>135</v>
      </c>
      <c r="E406" s="63" t="s">
        <v>77</v>
      </c>
      <c r="F406" s="63" t="s">
        <v>127</v>
      </c>
      <c r="G406" s="63">
        <v>228</v>
      </c>
      <c r="H406" s="63" t="s">
        <v>131</v>
      </c>
      <c r="I406" s="63">
        <f>INDEX(Matériel!A:Z, MATCH(E406, Matériel!A:A, 0), MATCH(H406, INDEX(Matériel!A:Z, MATCH(E406, Matériel!A:A, 0), 0), 0) + 1)</f>
        <v>20</v>
      </c>
      <c r="J406" s="63">
        <f t="shared" si="39"/>
        <v>12</v>
      </c>
      <c r="K406" s="63">
        <f>VLOOKUP(H406,Manutention!A:E, 3, FALSE) * J406</f>
        <v>12</v>
      </c>
      <c r="L406" s="63" t="s">
        <v>165</v>
      </c>
      <c r="M406" s="63">
        <f>ROUNDUP(K406/VLOOKUP(L406,Camion!A:D, 3, FALSE),0)</f>
        <v>1</v>
      </c>
      <c r="N406" s="63">
        <f>INT(K406/VLOOKUP(L406,Camion!A:D, 3, FALSE))</f>
        <v>1</v>
      </c>
      <c r="O406" s="64">
        <f>ROUND(K406/VLOOKUP(L406,Camion!A:D, 3, FALSE) - N406,2)</f>
        <v>0</v>
      </c>
      <c r="P406" s="63" t="s">
        <v>129</v>
      </c>
    </row>
    <row r="407" spans="1:16" x14ac:dyDescent="0.25">
      <c r="A407" s="7">
        <v>17</v>
      </c>
      <c r="B407" s="62" t="s">
        <v>185</v>
      </c>
      <c r="C407" s="63" t="s">
        <v>1</v>
      </c>
      <c r="D407" s="63" t="s">
        <v>135</v>
      </c>
      <c r="E407" s="63" t="s">
        <v>78</v>
      </c>
      <c r="F407" s="63" t="s">
        <v>127</v>
      </c>
      <c r="G407" s="63">
        <v>4</v>
      </c>
      <c r="H407" s="63" t="s">
        <v>133</v>
      </c>
      <c r="I407" s="63">
        <f>INDEX(Matériel!A:Z, MATCH(E407, Matériel!A:A, 0), MATCH(H407, INDEX(Matériel!A:Z, MATCH(E407, Matériel!A:A, 0), 0), 0) + 1)</f>
        <v>1</v>
      </c>
      <c r="J407" s="63">
        <f t="shared" si="39"/>
        <v>4</v>
      </c>
      <c r="K407" s="63">
        <f>VLOOKUP(H407,Manutention!A:E, 3, FALSE) * J407</f>
        <v>8</v>
      </c>
      <c r="L407" s="63" t="s">
        <v>164</v>
      </c>
      <c r="M407" s="63">
        <f>ROUNDUP(K407/VLOOKUP(L407,Camion!A:D, 3, FALSE),0)</f>
        <v>1</v>
      </c>
      <c r="N407" s="63">
        <f>INT(K407/VLOOKUP(L407,Camion!A:D, 3, FALSE))</f>
        <v>0</v>
      </c>
      <c r="O407" s="64">
        <f>ROUND(K407/VLOOKUP(L407,Camion!A:D, 3, FALSE) - N407,2)</f>
        <v>0.89</v>
      </c>
      <c r="P407" s="63" t="s">
        <v>129</v>
      </c>
    </row>
    <row r="408" spans="1:16" x14ac:dyDescent="0.25">
      <c r="A408" s="7">
        <v>17</v>
      </c>
      <c r="B408" s="62" t="s">
        <v>185</v>
      </c>
      <c r="C408" s="63" t="s">
        <v>1</v>
      </c>
      <c r="D408" s="63" t="s">
        <v>135</v>
      </c>
      <c r="E408" s="63" t="s">
        <v>79</v>
      </c>
      <c r="F408" s="63" t="s">
        <v>127</v>
      </c>
      <c r="G408" s="63">
        <v>3</v>
      </c>
      <c r="H408" s="63" t="s">
        <v>133</v>
      </c>
      <c r="I408" s="63">
        <f>INDEX(Matériel!A:Z, MATCH(E408, Matériel!A:A, 0), MATCH(H408, INDEX(Matériel!A:Z, MATCH(E408, Matériel!A:A, 0), 0), 0) + 1)</f>
        <v>1</v>
      </c>
      <c r="J408" s="63">
        <f t="shared" si="39"/>
        <v>3</v>
      </c>
      <c r="K408" s="63">
        <f>VLOOKUP(H408,Manutention!A:E, 3, FALSE) * J408</f>
        <v>6</v>
      </c>
      <c r="L408" s="63" t="s">
        <v>164</v>
      </c>
      <c r="M408" s="63">
        <f>ROUNDUP(K408/VLOOKUP(L408,Camion!A:D, 3, FALSE),0)</f>
        <v>1</v>
      </c>
      <c r="N408" s="63">
        <f>INT(K408/VLOOKUP(L408,Camion!A:D, 3, FALSE))</f>
        <v>0</v>
      </c>
      <c r="O408" s="64">
        <f>ROUND(K408/VLOOKUP(L408,Camion!A:D, 3, FALSE) - N408,2)</f>
        <v>0.67</v>
      </c>
      <c r="P408" s="63" t="s">
        <v>129</v>
      </c>
    </row>
    <row r="409" spans="1:16" x14ac:dyDescent="0.25">
      <c r="A409" s="7">
        <v>17</v>
      </c>
      <c r="B409" s="62" t="s">
        <v>185</v>
      </c>
      <c r="C409" s="63" t="s">
        <v>1</v>
      </c>
      <c r="D409" s="63" t="s">
        <v>128</v>
      </c>
      <c r="E409" s="63" t="s">
        <v>81</v>
      </c>
      <c r="F409" s="63" t="s">
        <v>127</v>
      </c>
      <c r="G409" s="63">
        <v>10</v>
      </c>
      <c r="H409" s="63" t="s">
        <v>131</v>
      </c>
      <c r="I409" s="63">
        <f>INDEX(Matériel!A:Z, MATCH(E409, Matériel!A:A, 0), MATCH(H409, INDEX(Matériel!A:Z, MATCH(E409, Matériel!A:A, 0), 0), 0) + 1)</f>
        <v>100</v>
      </c>
      <c r="J409" s="63">
        <f t="shared" si="39"/>
        <v>1</v>
      </c>
      <c r="K409" s="63">
        <f>VLOOKUP(H409,Manutention!A:E, 3, FALSE) * J409</f>
        <v>1</v>
      </c>
      <c r="L409" s="63" t="s">
        <v>164</v>
      </c>
      <c r="M409" s="63">
        <f>ROUNDUP(K409/VLOOKUP(L409,Camion!A:D, 3, FALSE),0)</f>
        <v>1</v>
      </c>
      <c r="N409" s="63">
        <f>INT(K409/VLOOKUP(L409,Camion!A:D, 3, FALSE))</f>
        <v>0</v>
      </c>
      <c r="O409" s="64">
        <f>ROUND(K409/VLOOKUP(L409,Camion!A:D, 3, FALSE) - N409,2)</f>
        <v>0.11</v>
      </c>
      <c r="P409" s="63" t="s">
        <v>130</v>
      </c>
    </row>
    <row r="410" spans="1:16" x14ac:dyDescent="0.25">
      <c r="A410" s="7">
        <v>17</v>
      </c>
      <c r="B410" s="5" t="s">
        <v>185</v>
      </c>
      <c r="C410" s="65"/>
      <c r="D410" s="65"/>
      <c r="E410" s="65" t="s">
        <v>187</v>
      </c>
      <c r="F410" s="65"/>
      <c r="G410" s="65"/>
      <c r="H410" s="65" t="s">
        <v>131</v>
      </c>
      <c r="I410" s="65"/>
      <c r="J410" s="65"/>
      <c r="K410" s="65">
        <f>SUMIFS(K:K, A:A, 17, B:B, "Z3 Z4", P:P, "Oui", D:D, "Production")</f>
        <v>1</v>
      </c>
      <c r="L410" s="65" t="s">
        <v>164</v>
      </c>
      <c r="M410" s="65">
        <f>ROUNDUP(K410/VLOOKUP(L410,Camion!A:D, 3, FALSE),0)</f>
        <v>1</v>
      </c>
      <c r="N410" s="65">
        <f>INT(K410/VLOOKUP(L410,Camion!A:D, 3, FALSE))</f>
        <v>0</v>
      </c>
      <c r="O410" s="66">
        <f>ROUND(K410/VLOOKUP(L410,Camion!A:D, 3, FALSE) - N410,2)</f>
        <v>0.11</v>
      </c>
      <c r="P410" s="65"/>
    </row>
    <row r="411" spans="1:16" x14ac:dyDescent="0.25">
      <c r="A411" s="7">
        <v>17</v>
      </c>
      <c r="B411" s="5" t="s">
        <v>185</v>
      </c>
      <c r="C411" s="65"/>
      <c r="D411" s="65"/>
      <c r="E411" s="65" t="s">
        <v>188</v>
      </c>
      <c r="F411" s="65"/>
      <c r="G411" s="65"/>
      <c r="H411" s="65" t="s">
        <v>131</v>
      </c>
      <c r="I411" s="65"/>
      <c r="J411" s="65"/>
      <c r="K411" s="65">
        <f>SUMIFS(K:K, A:A, 17, B:B, "Z3 Z4", P:P, "Oui", D:D, "Terminaux")</f>
        <v>27</v>
      </c>
      <c r="L411" s="65" t="s">
        <v>168</v>
      </c>
      <c r="M411" s="65">
        <f>ROUNDUP(K411/VLOOKUP(L411,Camion!A:D, 3, FALSE),0)</f>
        <v>1</v>
      </c>
      <c r="N411" s="65">
        <f>INT(K411/VLOOKUP(L411,Camion!A:D, 3, FALSE))</f>
        <v>0</v>
      </c>
      <c r="O411" s="66">
        <f>ROUND(K411/VLOOKUP(L411,Camion!A:D, 3, FALSE) - N411,2)</f>
        <v>0.79</v>
      </c>
      <c r="P411" s="65"/>
    </row>
    <row r="412" spans="1:16" x14ac:dyDescent="0.25">
      <c r="A412" s="7">
        <v>18</v>
      </c>
      <c r="B412" s="62" t="s">
        <v>184</v>
      </c>
      <c r="C412" s="63" t="s">
        <v>1</v>
      </c>
      <c r="D412" s="63" t="s">
        <v>128</v>
      </c>
      <c r="E412" s="63" t="s">
        <v>71</v>
      </c>
      <c r="F412" s="63" t="s">
        <v>138</v>
      </c>
      <c r="G412" s="63">
        <v>344</v>
      </c>
      <c r="H412" s="63" t="s">
        <v>139</v>
      </c>
      <c r="I412" s="63">
        <f>INDEX(Matériel!A:Z, MATCH(E412, Matériel!A:A, 0), MATCH(H412, INDEX(Matériel!A:Z, MATCH(E412, Matériel!A:A, 0), 0), 0) + 1)</f>
        <v>150</v>
      </c>
      <c r="J412" s="63">
        <f t="shared" ref="J412:J419" si="40">ROUNDUP(G412 / I412, 0)</f>
        <v>3</v>
      </c>
      <c r="K412" s="63">
        <f>VLOOKUP(H412,Manutention!A:E, 3, FALSE) * J412</f>
        <v>9</v>
      </c>
      <c r="L412" s="63" t="s">
        <v>164</v>
      </c>
      <c r="M412" s="63">
        <f>ROUNDUP(K412/VLOOKUP(L412,Camion!A:D, 3, FALSE),0)</f>
        <v>1</v>
      </c>
      <c r="N412" s="63">
        <f>INT(K412/VLOOKUP(L412,Camion!A:D, 3, FALSE))</f>
        <v>1</v>
      </c>
      <c r="O412" s="64">
        <f>ROUND(K412/VLOOKUP(L412,Camion!A:D, 3, FALSE) - N412,2)</f>
        <v>0</v>
      </c>
      <c r="P412" s="63" t="s">
        <v>130</v>
      </c>
    </row>
    <row r="413" spans="1:16" x14ac:dyDescent="0.25">
      <c r="A413" s="7">
        <v>18</v>
      </c>
      <c r="B413" s="62" t="s">
        <v>184</v>
      </c>
      <c r="C413" s="63" t="s">
        <v>1</v>
      </c>
      <c r="D413" s="63" t="s">
        <v>135</v>
      </c>
      <c r="E413" s="63" t="s">
        <v>72</v>
      </c>
      <c r="F413" s="63" t="s">
        <v>138</v>
      </c>
      <c r="G413" s="63">
        <v>1053</v>
      </c>
      <c r="H413" s="63" t="s">
        <v>143</v>
      </c>
      <c r="I413" s="63">
        <f>INDEX(Matériel!A:Z, MATCH(E413, Matériel!A:A, 0), MATCH(H413, INDEX(Matériel!A:Z, MATCH(E413, Matériel!A:A, 0), 0), 0) + 1)</f>
        <v>1000</v>
      </c>
      <c r="J413" s="63">
        <f t="shared" si="40"/>
        <v>2</v>
      </c>
      <c r="K413" s="63">
        <f>VLOOKUP(H413,Manutention!A:E, 3, FALSE) * J413</f>
        <v>2</v>
      </c>
      <c r="L413" s="63" t="s">
        <v>164</v>
      </c>
      <c r="M413" s="63">
        <f>ROUNDUP(K413/VLOOKUP(L413,Camion!A:D, 3, FALSE),0)</f>
        <v>1</v>
      </c>
      <c r="N413" s="63">
        <f>INT(K413/VLOOKUP(L413,Camion!A:D, 3, FALSE))</f>
        <v>0</v>
      </c>
      <c r="O413" s="64">
        <f>ROUND(K413/VLOOKUP(L413,Camion!A:D, 3, FALSE) - N413,2)</f>
        <v>0.22</v>
      </c>
      <c r="P413" s="63" t="s">
        <v>130</v>
      </c>
    </row>
    <row r="414" spans="1:16" x14ac:dyDescent="0.25">
      <c r="A414" s="7">
        <v>18</v>
      </c>
      <c r="B414" s="62" t="s">
        <v>184</v>
      </c>
      <c r="C414" s="63" t="s">
        <v>1</v>
      </c>
      <c r="D414" s="63" t="s">
        <v>135</v>
      </c>
      <c r="E414" s="63" t="s">
        <v>75</v>
      </c>
      <c r="F414" s="63" t="s">
        <v>127</v>
      </c>
      <c r="G414" s="63">
        <v>54</v>
      </c>
      <c r="H414" s="63" t="s">
        <v>136</v>
      </c>
      <c r="I414" s="63">
        <f>INDEX(Matériel!A:Z, MATCH(E414, Matériel!A:A, 0), MATCH(H414, INDEX(Matériel!A:Z, MATCH(E414, Matériel!A:A, 0), 0), 0) + 1)</f>
        <v>60</v>
      </c>
      <c r="J414" s="63">
        <f t="shared" si="40"/>
        <v>1</v>
      </c>
      <c r="K414" s="63">
        <f>VLOOKUP(H414,Manutention!A:E, 3, FALSE) * J414</f>
        <v>1</v>
      </c>
      <c r="L414" s="63" t="s">
        <v>164</v>
      </c>
      <c r="M414" s="63">
        <f>ROUNDUP(K414/VLOOKUP(L414,Camion!A:D, 3, FALSE),0)</f>
        <v>1</v>
      </c>
      <c r="N414" s="63">
        <f>INT(K414/VLOOKUP(L414,Camion!A:D, 3, FALSE))</f>
        <v>0</v>
      </c>
      <c r="O414" s="64">
        <f>ROUND(K414/VLOOKUP(L414,Camion!A:D, 3, FALSE) - N414,2)</f>
        <v>0.11</v>
      </c>
      <c r="P414" s="63" t="s">
        <v>129</v>
      </c>
    </row>
    <row r="415" spans="1:16" x14ac:dyDescent="0.25">
      <c r="A415" s="7">
        <v>18</v>
      </c>
      <c r="B415" s="62" t="s">
        <v>184</v>
      </c>
      <c r="C415" s="63" t="s">
        <v>1</v>
      </c>
      <c r="D415" s="63" t="s">
        <v>128</v>
      </c>
      <c r="E415" s="63" t="s">
        <v>76</v>
      </c>
      <c r="F415" s="63" t="s">
        <v>127</v>
      </c>
      <c r="G415" s="63">
        <v>27</v>
      </c>
      <c r="H415" s="63" t="s">
        <v>131</v>
      </c>
      <c r="I415" s="63">
        <f>INDEX(Matériel!A:Z, MATCH(E415, Matériel!A:A, 0), MATCH(H415, INDEX(Matériel!A:Z, MATCH(E415, Matériel!A:A, 0), 0), 0) + 1)</f>
        <v>100</v>
      </c>
      <c r="J415" s="63">
        <f t="shared" si="40"/>
        <v>1</v>
      </c>
      <c r="K415" s="63">
        <f>VLOOKUP(H415,Manutention!A:E, 3, FALSE) * J415</f>
        <v>1</v>
      </c>
      <c r="L415" s="63" t="s">
        <v>164</v>
      </c>
      <c r="M415" s="63">
        <f>ROUNDUP(K415/VLOOKUP(L415,Camion!A:D, 3, FALSE),0)</f>
        <v>1</v>
      </c>
      <c r="N415" s="63">
        <f>INT(K415/VLOOKUP(L415,Camion!A:D, 3, FALSE))</f>
        <v>0</v>
      </c>
      <c r="O415" s="64">
        <f>ROUND(K415/VLOOKUP(L415,Camion!A:D, 3, FALSE) - N415,2)</f>
        <v>0.11</v>
      </c>
      <c r="P415" s="63" t="s">
        <v>129</v>
      </c>
    </row>
    <row r="416" spans="1:16" x14ac:dyDescent="0.25">
      <c r="A416" s="7">
        <v>18</v>
      </c>
      <c r="B416" s="62" t="s">
        <v>184</v>
      </c>
      <c r="C416" s="63" t="s">
        <v>1</v>
      </c>
      <c r="D416" s="63" t="s">
        <v>135</v>
      </c>
      <c r="E416" s="63" t="s">
        <v>77</v>
      </c>
      <c r="F416" s="63" t="s">
        <v>127</v>
      </c>
      <c r="G416" s="63">
        <v>225</v>
      </c>
      <c r="H416" s="63" t="s">
        <v>131</v>
      </c>
      <c r="I416" s="63">
        <f>INDEX(Matériel!A:Z, MATCH(E416, Matériel!A:A, 0), MATCH(H416, INDEX(Matériel!A:Z, MATCH(E416, Matériel!A:A, 0), 0), 0) + 1)</f>
        <v>20</v>
      </c>
      <c r="J416" s="63">
        <f t="shared" si="40"/>
        <v>12</v>
      </c>
      <c r="K416" s="63">
        <f>VLOOKUP(H416,Manutention!A:E, 3, FALSE) * J416</f>
        <v>12</v>
      </c>
      <c r="L416" s="63" t="s">
        <v>165</v>
      </c>
      <c r="M416" s="63">
        <f>ROUNDUP(K416/VLOOKUP(L416,Camion!A:D, 3, FALSE),0)</f>
        <v>1</v>
      </c>
      <c r="N416" s="63">
        <f>INT(K416/VLOOKUP(L416,Camion!A:D, 3, FALSE))</f>
        <v>1</v>
      </c>
      <c r="O416" s="64">
        <f>ROUND(K416/VLOOKUP(L416,Camion!A:D, 3, FALSE) - N416,2)</f>
        <v>0</v>
      </c>
      <c r="P416" s="63" t="s">
        <v>129</v>
      </c>
    </row>
    <row r="417" spans="1:16" x14ac:dyDescent="0.25">
      <c r="A417" s="7">
        <v>18</v>
      </c>
      <c r="B417" s="62" t="s">
        <v>184</v>
      </c>
      <c r="C417" s="63" t="s">
        <v>1</v>
      </c>
      <c r="D417" s="63" t="s">
        <v>135</v>
      </c>
      <c r="E417" s="63" t="s">
        <v>78</v>
      </c>
      <c r="F417" s="63" t="s">
        <v>127</v>
      </c>
      <c r="G417" s="63">
        <v>4</v>
      </c>
      <c r="H417" s="63" t="s">
        <v>133</v>
      </c>
      <c r="I417" s="63">
        <f>INDEX(Matériel!A:Z, MATCH(E417, Matériel!A:A, 0), MATCH(H417, INDEX(Matériel!A:Z, MATCH(E417, Matériel!A:A, 0), 0), 0) + 1)</f>
        <v>1</v>
      </c>
      <c r="J417" s="63">
        <f t="shared" si="40"/>
        <v>4</v>
      </c>
      <c r="K417" s="63">
        <f>VLOOKUP(H417,Manutention!A:E, 3, FALSE) * J417</f>
        <v>8</v>
      </c>
      <c r="L417" s="63" t="s">
        <v>164</v>
      </c>
      <c r="M417" s="63">
        <f>ROUNDUP(K417/VLOOKUP(L417,Camion!A:D, 3, FALSE),0)</f>
        <v>1</v>
      </c>
      <c r="N417" s="63">
        <f>INT(K417/VLOOKUP(L417,Camion!A:D, 3, FALSE))</f>
        <v>0</v>
      </c>
      <c r="O417" s="64">
        <f>ROUND(K417/VLOOKUP(L417,Camion!A:D, 3, FALSE) - N417,2)</f>
        <v>0.89</v>
      </c>
      <c r="P417" s="63" t="s">
        <v>129</v>
      </c>
    </row>
    <row r="418" spans="1:16" x14ac:dyDescent="0.25">
      <c r="A418" s="7">
        <v>18</v>
      </c>
      <c r="B418" s="62" t="s">
        <v>184</v>
      </c>
      <c r="C418" s="63" t="s">
        <v>1</v>
      </c>
      <c r="D418" s="63" t="s">
        <v>135</v>
      </c>
      <c r="E418" s="63" t="s">
        <v>79</v>
      </c>
      <c r="F418" s="63" t="s">
        <v>127</v>
      </c>
      <c r="G418" s="63">
        <v>3</v>
      </c>
      <c r="H418" s="63" t="s">
        <v>133</v>
      </c>
      <c r="I418" s="63">
        <f>INDEX(Matériel!A:Z, MATCH(E418, Matériel!A:A, 0), MATCH(H418, INDEX(Matériel!A:Z, MATCH(E418, Matériel!A:A, 0), 0), 0) + 1)</f>
        <v>1</v>
      </c>
      <c r="J418" s="63">
        <f t="shared" si="40"/>
        <v>3</v>
      </c>
      <c r="K418" s="63">
        <f>VLOOKUP(H418,Manutention!A:E, 3, FALSE) * J418</f>
        <v>6</v>
      </c>
      <c r="L418" s="63" t="s">
        <v>164</v>
      </c>
      <c r="M418" s="63">
        <f>ROUNDUP(K418/VLOOKUP(L418,Camion!A:D, 3, FALSE),0)</f>
        <v>1</v>
      </c>
      <c r="N418" s="63">
        <f>INT(K418/VLOOKUP(L418,Camion!A:D, 3, FALSE))</f>
        <v>0</v>
      </c>
      <c r="O418" s="64">
        <f>ROUND(K418/VLOOKUP(L418,Camion!A:D, 3, FALSE) - N418,2)</f>
        <v>0.67</v>
      </c>
      <c r="P418" s="63" t="s">
        <v>129</v>
      </c>
    </row>
    <row r="419" spans="1:16" x14ac:dyDescent="0.25">
      <c r="A419" s="7">
        <v>18</v>
      </c>
      <c r="B419" s="62" t="s">
        <v>184</v>
      </c>
      <c r="C419" s="63" t="s">
        <v>1</v>
      </c>
      <c r="D419" s="63" t="s">
        <v>128</v>
      </c>
      <c r="E419" s="63" t="s">
        <v>81</v>
      </c>
      <c r="F419" s="63" t="s">
        <v>127</v>
      </c>
      <c r="G419" s="63">
        <v>10</v>
      </c>
      <c r="H419" s="63" t="s">
        <v>131</v>
      </c>
      <c r="I419" s="63">
        <f>INDEX(Matériel!A:Z, MATCH(E419, Matériel!A:A, 0), MATCH(H419, INDEX(Matériel!A:Z, MATCH(E419, Matériel!A:A, 0), 0), 0) + 1)</f>
        <v>100</v>
      </c>
      <c r="J419" s="63">
        <f t="shared" si="40"/>
        <v>1</v>
      </c>
      <c r="K419" s="63">
        <f>VLOOKUP(H419,Manutention!A:E, 3, FALSE) * J419</f>
        <v>1</v>
      </c>
      <c r="L419" s="63" t="s">
        <v>164</v>
      </c>
      <c r="M419" s="63">
        <f>ROUNDUP(K419/VLOOKUP(L419,Camion!A:D, 3, FALSE),0)</f>
        <v>1</v>
      </c>
      <c r="N419" s="63">
        <f>INT(K419/VLOOKUP(L419,Camion!A:D, 3, FALSE))</f>
        <v>0</v>
      </c>
      <c r="O419" s="64">
        <f>ROUND(K419/VLOOKUP(L419,Camion!A:D, 3, FALSE) - N419,2)</f>
        <v>0.11</v>
      </c>
      <c r="P419" s="63" t="s">
        <v>130</v>
      </c>
    </row>
    <row r="420" spans="1:16" x14ac:dyDescent="0.25">
      <c r="A420" s="7">
        <v>18</v>
      </c>
      <c r="B420" s="5" t="s">
        <v>184</v>
      </c>
      <c r="C420" s="65"/>
      <c r="D420" s="65"/>
      <c r="E420" s="65" t="s">
        <v>187</v>
      </c>
      <c r="F420" s="65"/>
      <c r="G420" s="65"/>
      <c r="H420" s="65" t="s">
        <v>131</v>
      </c>
      <c r="I420" s="65"/>
      <c r="J420" s="65"/>
      <c r="K420" s="65">
        <f>SUMIFS(K:K, A:A, 18, B:B, "Z1 Z2", P:P, "Oui", D:D, "Production")</f>
        <v>1</v>
      </c>
      <c r="L420" s="65" t="s">
        <v>164</v>
      </c>
      <c r="M420" s="65">
        <f>ROUNDUP(K420/VLOOKUP(L420,Camion!A:D, 3, FALSE),0)</f>
        <v>1</v>
      </c>
      <c r="N420" s="65">
        <f>INT(K420/VLOOKUP(L420,Camion!A:D, 3, FALSE))</f>
        <v>0</v>
      </c>
      <c r="O420" s="66">
        <f>ROUND(K420/VLOOKUP(L420,Camion!A:D, 3, FALSE) - N420,2)</f>
        <v>0.11</v>
      </c>
      <c r="P420" s="65"/>
    </row>
    <row r="421" spans="1:16" x14ac:dyDescent="0.25">
      <c r="A421" s="7">
        <v>18</v>
      </c>
      <c r="B421" s="5" t="s">
        <v>184</v>
      </c>
      <c r="C421" s="65"/>
      <c r="D421" s="65"/>
      <c r="E421" s="65" t="s">
        <v>188</v>
      </c>
      <c r="F421" s="65"/>
      <c r="G421" s="65"/>
      <c r="H421" s="65" t="s">
        <v>131</v>
      </c>
      <c r="I421" s="65"/>
      <c r="J421" s="65"/>
      <c r="K421" s="65">
        <f>SUMIFS(K:K, A:A, 18, B:B, "Z1 Z2", P:P, "Oui", D:D, "Terminaux")</f>
        <v>27</v>
      </c>
      <c r="L421" s="65" t="s">
        <v>168</v>
      </c>
      <c r="M421" s="65">
        <f>ROUNDUP(K421/VLOOKUP(L421,Camion!A:D, 3, FALSE),0)</f>
        <v>1</v>
      </c>
      <c r="N421" s="65">
        <f>INT(K421/VLOOKUP(L421,Camion!A:D, 3, FALSE))</f>
        <v>0</v>
      </c>
      <c r="O421" s="66">
        <f>ROUND(K421/VLOOKUP(L421,Camion!A:D, 3, FALSE) - N421,2)</f>
        <v>0.79</v>
      </c>
      <c r="P421" s="65"/>
    </row>
    <row r="422" spans="1:16" x14ac:dyDescent="0.25">
      <c r="A422" s="7">
        <v>18</v>
      </c>
      <c r="B422" s="62" t="s">
        <v>185</v>
      </c>
      <c r="C422" s="63" t="s">
        <v>1</v>
      </c>
      <c r="D422" s="63" t="s">
        <v>128</v>
      </c>
      <c r="E422" s="63" t="s">
        <v>71</v>
      </c>
      <c r="F422" s="63" t="s">
        <v>138</v>
      </c>
      <c r="G422" s="63">
        <v>339</v>
      </c>
      <c r="H422" s="63" t="s">
        <v>139</v>
      </c>
      <c r="I422" s="63">
        <f>INDEX(Matériel!A:Z, MATCH(E422, Matériel!A:A, 0), MATCH(H422, INDEX(Matériel!A:Z, MATCH(E422, Matériel!A:A, 0), 0), 0) + 1)</f>
        <v>150</v>
      </c>
      <c r="J422" s="63">
        <f t="shared" ref="J422:J429" si="41">ROUNDUP(G422 / I422, 0)</f>
        <v>3</v>
      </c>
      <c r="K422" s="63">
        <f>VLOOKUP(H422,Manutention!A:E, 3, FALSE) * J422</f>
        <v>9</v>
      </c>
      <c r="L422" s="63" t="s">
        <v>164</v>
      </c>
      <c r="M422" s="63">
        <f>ROUNDUP(K422/VLOOKUP(L422,Camion!A:D, 3, FALSE),0)</f>
        <v>1</v>
      </c>
      <c r="N422" s="63">
        <f>INT(K422/VLOOKUP(L422,Camion!A:D, 3, FALSE))</f>
        <v>1</v>
      </c>
      <c r="O422" s="64">
        <f>ROUND(K422/VLOOKUP(L422,Camion!A:D, 3, FALSE) - N422,2)</f>
        <v>0</v>
      </c>
      <c r="P422" s="63" t="s">
        <v>130</v>
      </c>
    </row>
    <row r="423" spans="1:16" x14ac:dyDescent="0.25">
      <c r="A423" s="7">
        <v>18</v>
      </c>
      <c r="B423" s="62" t="s">
        <v>185</v>
      </c>
      <c r="C423" s="63" t="s">
        <v>1</v>
      </c>
      <c r="D423" s="63" t="s">
        <v>135</v>
      </c>
      <c r="E423" s="63" t="s">
        <v>72</v>
      </c>
      <c r="F423" s="63" t="s">
        <v>138</v>
      </c>
      <c r="G423" s="63">
        <v>1037</v>
      </c>
      <c r="H423" s="63" t="s">
        <v>143</v>
      </c>
      <c r="I423" s="63">
        <f>INDEX(Matériel!A:Z, MATCH(E423, Matériel!A:A, 0), MATCH(H423, INDEX(Matériel!A:Z, MATCH(E423, Matériel!A:A, 0), 0), 0) + 1)</f>
        <v>1000</v>
      </c>
      <c r="J423" s="63">
        <f t="shared" si="41"/>
        <v>2</v>
      </c>
      <c r="K423" s="63">
        <f>VLOOKUP(H423,Manutention!A:E, 3, FALSE) * J423</f>
        <v>2</v>
      </c>
      <c r="L423" s="63" t="s">
        <v>164</v>
      </c>
      <c r="M423" s="63">
        <f>ROUNDUP(K423/VLOOKUP(L423,Camion!A:D, 3, FALSE),0)</f>
        <v>1</v>
      </c>
      <c r="N423" s="63">
        <f>INT(K423/VLOOKUP(L423,Camion!A:D, 3, FALSE))</f>
        <v>0</v>
      </c>
      <c r="O423" s="64">
        <f>ROUND(K423/VLOOKUP(L423,Camion!A:D, 3, FALSE) - N423,2)</f>
        <v>0.22</v>
      </c>
      <c r="P423" s="63" t="s">
        <v>130</v>
      </c>
    </row>
    <row r="424" spans="1:16" x14ac:dyDescent="0.25">
      <c r="A424" s="7">
        <v>18</v>
      </c>
      <c r="B424" s="62" t="s">
        <v>185</v>
      </c>
      <c r="C424" s="63" t="s">
        <v>1</v>
      </c>
      <c r="D424" s="63" t="s">
        <v>135</v>
      </c>
      <c r="E424" s="63" t="s">
        <v>75</v>
      </c>
      <c r="F424" s="63" t="s">
        <v>127</v>
      </c>
      <c r="G424" s="63">
        <v>53</v>
      </c>
      <c r="H424" s="63" t="s">
        <v>136</v>
      </c>
      <c r="I424" s="63">
        <f>INDEX(Matériel!A:Z, MATCH(E424, Matériel!A:A, 0), MATCH(H424, INDEX(Matériel!A:Z, MATCH(E424, Matériel!A:A, 0), 0), 0) + 1)</f>
        <v>60</v>
      </c>
      <c r="J424" s="63">
        <f t="shared" si="41"/>
        <v>1</v>
      </c>
      <c r="K424" s="63">
        <f>VLOOKUP(H424,Manutention!A:E, 3, FALSE) * J424</f>
        <v>1</v>
      </c>
      <c r="L424" s="63" t="s">
        <v>164</v>
      </c>
      <c r="M424" s="63">
        <f>ROUNDUP(K424/VLOOKUP(L424,Camion!A:D, 3, FALSE),0)</f>
        <v>1</v>
      </c>
      <c r="N424" s="63">
        <f>INT(K424/VLOOKUP(L424,Camion!A:D, 3, FALSE))</f>
        <v>0</v>
      </c>
      <c r="O424" s="64">
        <f>ROUND(K424/VLOOKUP(L424,Camion!A:D, 3, FALSE) - N424,2)</f>
        <v>0.11</v>
      </c>
      <c r="P424" s="63" t="s">
        <v>129</v>
      </c>
    </row>
    <row r="425" spans="1:16" x14ac:dyDescent="0.25">
      <c r="A425" s="7">
        <v>18</v>
      </c>
      <c r="B425" s="62" t="s">
        <v>185</v>
      </c>
      <c r="C425" s="63" t="s">
        <v>1</v>
      </c>
      <c r="D425" s="63" t="s">
        <v>128</v>
      </c>
      <c r="E425" s="63" t="s">
        <v>76</v>
      </c>
      <c r="F425" s="63" t="s">
        <v>127</v>
      </c>
      <c r="G425" s="63">
        <v>26</v>
      </c>
      <c r="H425" s="63" t="s">
        <v>131</v>
      </c>
      <c r="I425" s="63">
        <f>INDEX(Matériel!A:Z, MATCH(E425, Matériel!A:A, 0), MATCH(H425, INDEX(Matériel!A:Z, MATCH(E425, Matériel!A:A, 0), 0), 0) + 1)</f>
        <v>100</v>
      </c>
      <c r="J425" s="63">
        <f t="shared" si="41"/>
        <v>1</v>
      </c>
      <c r="K425" s="63">
        <f>VLOOKUP(H425,Manutention!A:E, 3, FALSE) * J425</f>
        <v>1</v>
      </c>
      <c r="L425" s="63" t="s">
        <v>164</v>
      </c>
      <c r="M425" s="63">
        <f>ROUNDUP(K425/VLOOKUP(L425,Camion!A:D, 3, FALSE),0)</f>
        <v>1</v>
      </c>
      <c r="N425" s="63">
        <f>INT(K425/VLOOKUP(L425,Camion!A:D, 3, FALSE))</f>
        <v>0</v>
      </c>
      <c r="O425" s="64">
        <f>ROUND(K425/VLOOKUP(L425,Camion!A:D, 3, FALSE) - N425,2)</f>
        <v>0.11</v>
      </c>
      <c r="P425" s="63" t="s">
        <v>129</v>
      </c>
    </row>
    <row r="426" spans="1:16" x14ac:dyDescent="0.25">
      <c r="A426" s="7">
        <v>18</v>
      </c>
      <c r="B426" s="62" t="s">
        <v>185</v>
      </c>
      <c r="C426" s="63" t="s">
        <v>1</v>
      </c>
      <c r="D426" s="63" t="s">
        <v>135</v>
      </c>
      <c r="E426" s="63" t="s">
        <v>77</v>
      </c>
      <c r="F426" s="63" t="s">
        <v>127</v>
      </c>
      <c r="G426" s="63">
        <v>222</v>
      </c>
      <c r="H426" s="63" t="s">
        <v>131</v>
      </c>
      <c r="I426" s="63">
        <f>INDEX(Matériel!A:Z, MATCH(E426, Matériel!A:A, 0), MATCH(H426, INDEX(Matériel!A:Z, MATCH(E426, Matériel!A:A, 0), 0), 0) + 1)</f>
        <v>20</v>
      </c>
      <c r="J426" s="63">
        <f t="shared" si="41"/>
        <v>12</v>
      </c>
      <c r="K426" s="63">
        <f>VLOOKUP(H426,Manutention!A:E, 3, FALSE) * J426</f>
        <v>12</v>
      </c>
      <c r="L426" s="63" t="s">
        <v>165</v>
      </c>
      <c r="M426" s="63">
        <f>ROUNDUP(K426/VLOOKUP(L426,Camion!A:D, 3, FALSE),0)</f>
        <v>1</v>
      </c>
      <c r="N426" s="63">
        <f>INT(K426/VLOOKUP(L426,Camion!A:D, 3, FALSE))</f>
        <v>1</v>
      </c>
      <c r="O426" s="64">
        <f>ROUND(K426/VLOOKUP(L426,Camion!A:D, 3, FALSE) - N426,2)</f>
        <v>0</v>
      </c>
      <c r="P426" s="63" t="s">
        <v>129</v>
      </c>
    </row>
    <row r="427" spans="1:16" x14ac:dyDescent="0.25">
      <c r="A427" s="7">
        <v>18</v>
      </c>
      <c r="B427" s="62" t="s">
        <v>185</v>
      </c>
      <c r="C427" s="63" t="s">
        <v>1</v>
      </c>
      <c r="D427" s="63" t="s">
        <v>135</v>
      </c>
      <c r="E427" s="63" t="s">
        <v>78</v>
      </c>
      <c r="F427" s="63" t="s">
        <v>127</v>
      </c>
      <c r="G427" s="63">
        <v>4</v>
      </c>
      <c r="H427" s="63" t="s">
        <v>133</v>
      </c>
      <c r="I427" s="63">
        <f>INDEX(Matériel!A:Z, MATCH(E427, Matériel!A:A, 0), MATCH(H427, INDEX(Matériel!A:Z, MATCH(E427, Matériel!A:A, 0), 0), 0) + 1)</f>
        <v>1</v>
      </c>
      <c r="J427" s="63">
        <f t="shared" si="41"/>
        <v>4</v>
      </c>
      <c r="K427" s="63">
        <f>VLOOKUP(H427,Manutention!A:E, 3, FALSE) * J427</f>
        <v>8</v>
      </c>
      <c r="L427" s="63" t="s">
        <v>164</v>
      </c>
      <c r="M427" s="63">
        <f>ROUNDUP(K427/VLOOKUP(L427,Camion!A:D, 3, FALSE),0)</f>
        <v>1</v>
      </c>
      <c r="N427" s="63">
        <f>INT(K427/VLOOKUP(L427,Camion!A:D, 3, FALSE))</f>
        <v>0</v>
      </c>
      <c r="O427" s="64">
        <f>ROUND(K427/VLOOKUP(L427,Camion!A:D, 3, FALSE) - N427,2)</f>
        <v>0.89</v>
      </c>
      <c r="P427" s="63" t="s">
        <v>129</v>
      </c>
    </row>
    <row r="428" spans="1:16" x14ac:dyDescent="0.25">
      <c r="A428" s="7">
        <v>18</v>
      </c>
      <c r="B428" s="62" t="s">
        <v>185</v>
      </c>
      <c r="C428" s="63" t="s">
        <v>1</v>
      </c>
      <c r="D428" s="63" t="s">
        <v>135</v>
      </c>
      <c r="E428" s="63" t="s">
        <v>79</v>
      </c>
      <c r="F428" s="63" t="s">
        <v>127</v>
      </c>
      <c r="G428" s="63">
        <v>3</v>
      </c>
      <c r="H428" s="63" t="s">
        <v>133</v>
      </c>
      <c r="I428" s="63">
        <f>INDEX(Matériel!A:Z, MATCH(E428, Matériel!A:A, 0), MATCH(H428, INDEX(Matériel!A:Z, MATCH(E428, Matériel!A:A, 0), 0), 0) + 1)</f>
        <v>1</v>
      </c>
      <c r="J428" s="63">
        <f t="shared" si="41"/>
        <v>3</v>
      </c>
      <c r="K428" s="63">
        <f>VLOOKUP(H428,Manutention!A:E, 3, FALSE) * J428</f>
        <v>6</v>
      </c>
      <c r="L428" s="63" t="s">
        <v>164</v>
      </c>
      <c r="M428" s="63">
        <f>ROUNDUP(K428/VLOOKUP(L428,Camion!A:D, 3, FALSE),0)</f>
        <v>1</v>
      </c>
      <c r="N428" s="63">
        <f>INT(K428/VLOOKUP(L428,Camion!A:D, 3, FALSE))</f>
        <v>0</v>
      </c>
      <c r="O428" s="64">
        <f>ROUND(K428/VLOOKUP(L428,Camion!A:D, 3, FALSE) - N428,2)</f>
        <v>0.67</v>
      </c>
      <c r="P428" s="63" t="s">
        <v>129</v>
      </c>
    </row>
    <row r="429" spans="1:16" x14ac:dyDescent="0.25">
      <c r="A429" s="7">
        <v>18</v>
      </c>
      <c r="B429" s="62" t="s">
        <v>185</v>
      </c>
      <c r="C429" s="63" t="s">
        <v>1</v>
      </c>
      <c r="D429" s="63" t="s">
        <v>128</v>
      </c>
      <c r="E429" s="63" t="s">
        <v>81</v>
      </c>
      <c r="F429" s="63" t="s">
        <v>127</v>
      </c>
      <c r="G429" s="63">
        <v>10</v>
      </c>
      <c r="H429" s="63" t="s">
        <v>131</v>
      </c>
      <c r="I429" s="63">
        <f>INDEX(Matériel!A:Z, MATCH(E429, Matériel!A:A, 0), MATCH(H429, INDEX(Matériel!A:Z, MATCH(E429, Matériel!A:A, 0), 0), 0) + 1)</f>
        <v>100</v>
      </c>
      <c r="J429" s="63">
        <f t="shared" si="41"/>
        <v>1</v>
      </c>
      <c r="K429" s="63">
        <f>VLOOKUP(H429,Manutention!A:E, 3, FALSE) * J429</f>
        <v>1</v>
      </c>
      <c r="L429" s="63" t="s">
        <v>164</v>
      </c>
      <c r="M429" s="63">
        <f>ROUNDUP(K429/VLOOKUP(L429,Camion!A:D, 3, FALSE),0)</f>
        <v>1</v>
      </c>
      <c r="N429" s="63">
        <f>INT(K429/VLOOKUP(L429,Camion!A:D, 3, FALSE))</f>
        <v>0</v>
      </c>
      <c r="O429" s="64">
        <f>ROUND(K429/VLOOKUP(L429,Camion!A:D, 3, FALSE) - N429,2)</f>
        <v>0.11</v>
      </c>
      <c r="P429" s="63" t="s">
        <v>130</v>
      </c>
    </row>
    <row r="430" spans="1:16" x14ac:dyDescent="0.25">
      <c r="A430" s="7">
        <v>18</v>
      </c>
      <c r="B430" s="5" t="s">
        <v>185</v>
      </c>
      <c r="C430" s="65"/>
      <c r="D430" s="65"/>
      <c r="E430" s="65" t="s">
        <v>187</v>
      </c>
      <c r="F430" s="65"/>
      <c r="G430" s="65"/>
      <c r="H430" s="65" t="s">
        <v>131</v>
      </c>
      <c r="I430" s="65"/>
      <c r="J430" s="65"/>
      <c r="K430" s="65">
        <f>SUMIFS(K:K, A:A, 18, B:B, "Z3 Z4", P:P, "Oui", D:D, "Production")</f>
        <v>1</v>
      </c>
      <c r="L430" s="65" t="s">
        <v>164</v>
      </c>
      <c r="M430" s="65">
        <f>ROUNDUP(K430/VLOOKUP(L430,Camion!A:D, 3, FALSE),0)</f>
        <v>1</v>
      </c>
      <c r="N430" s="65">
        <f>INT(K430/VLOOKUP(L430,Camion!A:D, 3, FALSE))</f>
        <v>0</v>
      </c>
      <c r="O430" s="66">
        <f>ROUND(K430/VLOOKUP(L430,Camion!A:D, 3, FALSE) - N430,2)</f>
        <v>0.11</v>
      </c>
      <c r="P430" s="65"/>
    </row>
    <row r="431" spans="1:16" x14ac:dyDescent="0.25">
      <c r="A431" s="7">
        <v>18</v>
      </c>
      <c r="B431" s="5" t="s">
        <v>185</v>
      </c>
      <c r="C431" s="65"/>
      <c r="D431" s="65"/>
      <c r="E431" s="65" t="s">
        <v>188</v>
      </c>
      <c r="F431" s="65"/>
      <c r="G431" s="65"/>
      <c r="H431" s="65" t="s">
        <v>131</v>
      </c>
      <c r="I431" s="65"/>
      <c r="J431" s="65"/>
      <c r="K431" s="65">
        <f>SUMIFS(K:K, A:A, 18, B:B, "Z3 Z4", P:P, "Oui", D:D, "Terminaux")</f>
        <v>27</v>
      </c>
      <c r="L431" s="65" t="s">
        <v>168</v>
      </c>
      <c r="M431" s="65">
        <f>ROUNDUP(K431/VLOOKUP(L431,Camion!A:D, 3, FALSE),0)</f>
        <v>1</v>
      </c>
      <c r="N431" s="65">
        <f>INT(K431/VLOOKUP(L431,Camion!A:D, 3, FALSE))</f>
        <v>0</v>
      </c>
      <c r="O431" s="66">
        <f>ROUND(K431/VLOOKUP(L431,Camion!A:D, 3, FALSE) - N431,2)</f>
        <v>0.79</v>
      </c>
      <c r="P431" s="65"/>
    </row>
    <row r="432" spans="1:16" x14ac:dyDescent="0.25">
      <c r="A432" s="7">
        <v>19</v>
      </c>
      <c r="B432" s="62" t="s">
        <v>184</v>
      </c>
      <c r="C432" s="63" t="s">
        <v>1</v>
      </c>
      <c r="D432" s="63" t="s">
        <v>128</v>
      </c>
      <c r="E432" s="63" t="s">
        <v>71</v>
      </c>
      <c r="F432" s="63" t="s">
        <v>138</v>
      </c>
      <c r="G432" s="63">
        <v>334</v>
      </c>
      <c r="H432" s="63" t="s">
        <v>139</v>
      </c>
      <c r="I432" s="63">
        <f>INDEX(Matériel!A:Z, MATCH(E432, Matériel!A:A, 0), MATCH(H432, INDEX(Matériel!A:Z, MATCH(E432, Matériel!A:A, 0), 0), 0) + 1)</f>
        <v>150</v>
      </c>
      <c r="J432" s="63">
        <f t="shared" ref="J432:J439" si="42">ROUNDUP(G432 / I432, 0)</f>
        <v>3</v>
      </c>
      <c r="K432" s="63">
        <f>VLOOKUP(H432,Manutention!A:E, 3, FALSE) * J432</f>
        <v>9</v>
      </c>
      <c r="L432" s="63" t="s">
        <v>164</v>
      </c>
      <c r="M432" s="63">
        <f>ROUNDUP(K432/VLOOKUP(L432,Camion!A:D, 3, FALSE),0)</f>
        <v>1</v>
      </c>
      <c r="N432" s="63">
        <f>INT(K432/VLOOKUP(L432,Camion!A:D, 3, FALSE))</f>
        <v>1</v>
      </c>
      <c r="O432" s="64">
        <f>ROUND(K432/VLOOKUP(L432,Camion!A:D, 3, FALSE) - N432,2)</f>
        <v>0</v>
      </c>
      <c r="P432" s="63" t="s">
        <v>130</v>
      </c>
    </row>
    <row r="433" spans="1:16" x14ac:dyDescent="0.25">
      <c r="A433" s="7">
        <v>19</v>
      </c>
      <c r="B433" s="62" t="s">
        <v>184</v>
      </c>
      <c r="C433" s="63" t="s">
        <v>1</v>
      </c>
      <c r="D433" s="63" t="s">
        <v>135</v>
      </c>
      <c r="E433" s="63" t="s">
        <v>72</v>
      </c>
      <c r="F433" s="63" t="s">
        <v>138</v>
      </c>
      <c r="G433" s="63">
        <v>1021</v>
      </c>
      <c r="H433" s="63" t="s">
        <v>143</v>
      </c>
      <c r="I433" s="63">
        <f>INDEX(Matériel!A:Z, MATCH(E433, Matériel!A:A, 0), MATCH(H433, INDEX(Matériel!A:Z, MATCH(E433, Matériel!A:A, 0), 0), 0) + 1)</f>
        <v>1000</v>
      </c>
      <c r="J433" s="63">
        <f t="shared" si="42"/>
        <v>2</v>
      </c>
      <c r="K433" s="63">
        <f>VLOOKUP(H433,Manutention!A:E, 3, FALSE) * J433</f>
        <v>2</v>
      </c>
      <c r="L433" s="63" t="s">
        <v>164</v>
      </c>
      <c r="M433" s="63">
        <f>ROUNDUP(K433/VLOOKUP(L433,Camion!A:D, 3, FALSE),0)</f>
        <v>1</v>
      </c>
      <c r="N433" s="63">
        <f>INT(K433/VLOOKUP(L433,Camion!A:D, 3, FALSE))</f>
        <v>0</v>
      </c>
      <c r="O433" s="64">
        <f>ROUND(K433/VLOOKUP(L433,Camion!A:D, 3, FALSE) - N433,2)</f>
        <v>0.22</v>
      </c>
      <c r="P433" s="63" t="s">
        <v>130</v>
      </c>
    </row>
    <row r="434" spans="1:16" x14ac:dyDescent="0.25">
      <c r="A434" s="7">
        <v>19</v>
      </c>
      <c r="B434" s="62" t="s">
        <v>184</v>
      </c>
      <c r="C434" s="63" t="s">
        <v>1</v>
      </c>
      <c r="D434" s="63" t="s">
        <v>135</v>
      </c>
      <c r="E434" s="63" t="s">
        <v>75</v>
      </c>
      <c r="F434" s="63" t="s">
        <v>127</v>
      </c>
      <c r="G434" s="63">
        <v>52</v>
      </c>
      <c r="H434" s="63" t="s">
        <v>136</v>
      </c>
      <c r="I434" s="63">
        <f>INDEX(Matériel!A:Z, MATCH(E434, Matériel!A:A, 0), MATCH(H434, INDEX(Matériel!A:Z, MATCH(E434, Matériel!A:A, 0), 0), 0) + 1)</f>
        <v>60</v>
      </c>
      <c r="J434" s="63">
        <f t="shared" si="42"/>
        <v>1</v>
      </c>
      <c r="K434" s="63">
        <f>VLOOKUP(H434,Manutention!A:E, 3, FALSE) * J434</f>
        <v>1</v>
      </c>
      <c r="L434" s="63" t="s">
        <v>164</v>
      </c>
      <c r="M434" s="63">
        <f>ROUNDUP(K434/VLOOKUP(L434,Camion!A:D, 3, FALSE),0)</f>
        <v>1</v>
      </c>
      <c r="N434" s="63">
        <f>INT(K434/VLOOKUP(L434,Camion!A:D, 3, FALSE))</f>
        <v>0</v>
      </c>
      <c r="O434" s="64">
        <f>ROUND(K434/VLOOKUP(L434,Camion!A:D, 3, FALSE) - N434,2)</f>
        <v>0.11</v>
      </c>
      <c r="P434" s="63" t="s">
        <v>129</v>
      </c>
    </row>
    <row r="435" spans="1:16" x14ac:dyDescent="0.25">
      <c r="A435" s="7">
        <v>19</v>
      </c>
      <c r="B435" s="62" t="s">
        <v>184</v>
      </c>
      <c r="C435" s="63" t="s">
        <v>1</v>
      </c>
      <c r="D435" s="63" t="s">
        <v>128</v>
      </c>
      <c r="E435" s="63" t="s">
        <v>76</v>
      </c>
      <c r="F435" s="63" t="s">
        <v>127</v>
      </c>
      <c r="G435" s="63">
        <v>26</v>
      </c>
      <c r="H435" s="63" t="s">
        <v>131</v>
      </c>
      <c r="I435" s="63">
        <f>INDEX(Matériel!A:Z, MATCH(E435, Matériel!A:A, 0), MATCH(H435, INDEX(Matériel!A:Z, MATCH(E435, Matériel!A:A, 0), 0), 0) + 1)</f>
        <v>100</v>
      </c>
      <c r="J435" s="63">
        <f t="shared" si="42"/>
        <v>1</v>
      </c>
      <c r="K435" s="63">
        <f>VLOOKUP(H435,Manutention!A:E, 3, FALSE) * J435</f>
        <v>1</v>
      </c>
      <c r="L435" s="63" t="s">
        <v>164</v>
      </c>
      <c r="M435" s="63">
        <f>ROUNDUP(K435/VLOOKUP(L435,Camion!A:D, 3, FALSE),0)</f>
        <v>1</v>
      </c>
      <c r="N435" s="63">
        <f>INT(K435/VLOOKUP(L435,Camion!A:D, 3, FALSE))</f>
        <v>0</v>
      </c>
      <c r="O435" s="64">
        <f>ROUND(K435/VLOOKUP(L435,Camion!A:D, 3, FALSE) - N435,2)</f>
        <v>0.11</v>
      </c>
      <c r="P435" s="63" t="s">
        <v>129</v>
      </c>
    </row>
    <row r="436" spans="1:16" x14ac:dyDescent="0.25">
      <c r="A436" s="7">
        <v>19</v>
      </c>
      <c r="B436" s="62" t="s">
        <v>184</v>
      </c>
      <c r="C436" s="63" t="s">
        <v>1</v>
      </c>
      <c r="D436" s="63" t="s">
        <v>135</v>
      </c>
      <c r="E436" s="63" t="s">
        <v>77</v>
      </c>
      <c r="F436" s="63" t="s">
        <v>127</v>
      </c>
      <c r="G436" s="63">
        <v>218</v>
      </c>
      <c r="H436" s="63" t="s">
        <v>131</v>
      </c>
      <c r="I436" s="63">
        <f>INDEX(Matériel!A:Z, MATCH(E436, Matériel!A:A, 0), MATCH(H436, INDEX(Matériel!A:Z, MATCH(E436, Matériel!A:A, 0), 0), 0) + 1)</f>
        <v>20</v>
      </c>
      <c r="J436" s="63">
        <f t="shared" si="42"/>
        <v>11</v>
      </c>
      <c r="K436" s="63">
        <f>VLOOKUP(H436,Manutention!A:E, 3, FALSE) * J436</f>
        <v>11</v>
      </c>
      <c r="L436" s="63" t="s">
        <v>165</v>
      </c>
      <c r="M436" s="63">
        <f>ROUNDUP(K436/VLOOKUP(L436,Camion!A:D, 3, FALSE),0)</f>
        <v>1</v>
      </c>
      <c r="N436" s="63">
        <f>INT(K436/VLOOKUP(L436,Camion!A:D, 3, FALSE))</f>
        <v>0</v>
      </c>
      <c r="O436" s="64">
        <f>ROUND(K436/VLOOKUP(L436,Camion!A:D, 3, FALSE) - N436,2)</f>
        <v>0.92</v>
      </c>
      <c r="P436" s="63" t="s">
        <v>129</v>
      </c>
    </row>
    <row r="437" spans="1:16" x14ac:dyDescent="0.25">
      <c r="A437" s="7">
        <v>19</v>
      </c>
      <c r="B437" s="62" t="s">
        <v>184</v>
      </c>
      <c r="C437" s="63" t="s">
        <v>1</v>
      </c>
      <c r="D437" s="63" t="s">
        <v>135</v>
      </c>
      <c r="E437" s="63" t="s">
        <v>78</v>
      </c>
      <c r="F437" s="63" t="s">
        <v>127</v>
      </c>
      <c r="G437" s="63">
        <v>4</v>
      </c>
      <c r="H437" s="63" t="s">
        <v>133</v>
      </c>
      <c r="I437" s="63">
        <f>INDEX(Matériel!A:Z, MATCH(E437, Matériel!A:A, 0), MATCH(H437, INDEX(Matériel!A:Z, MATCH(E437, Matériel!A:A, 0), 0), 0) + 1)</f>
        <v>1</v>
      </c>
      <c r="J437" s="63">
        <f t="shared" si="42"/>
        <v>4</v>
      </c>
      <c r="K437" s="63">
        <f>VLOOKUP(H437,Manutention!A:E, 3, FALSE) * J437</f>
        <v>8</v>
      </c>
      <c r="L437" s="63" t="s">
        <v>164</v>
      </c>
      <c r="M437" s="63">
        <f>ROUNDUP(K437/VLOOKUP(L437,Camion!A:D, 3, FALSE),0)</f>
        <v>1</v>
      </c>
      <c r="N437" s="63">
        <f>INT(K437/VLOOKUP(L437,Camion!A:D, 3, FALSE))</f>
        <v>0</v>
      </c>
      <c r="O437" s="64">
        <f>ROUND(K437/VLOOKUP(L437,Camion!A:D, 3, FALSE) - N437,2)</f>
        <v>0.89</v>
      </c>
      <c r="P437" s="63" t="s">
        <v>129</v>
      </c>
    </row>
    <row r="438" spans="1:16" x14ac:dyDescent="0.25">
      <c r="A438" s="7">
        <v>19</v>
      </c>
      <c r="B438" s="62" t="s">
        <v>184</v>
      </c>
      <c r="C438" s="63" t="s">
        <v>1</v>
      </c>
      <c r="D438" s="63" t="s">
        <v>135</v>
      </c>
      <c r="E438" s="63" t="s">
        <v>79</v>
      </c>
      <c r="F438" s="63" t="s">
        <v>127</v>
      </c>
      <c r="G438" s="63">
        <v>3</v>
      </c>
      <c r="H438" s="63" t="s">
        <v>133</v>
      </c>
      <c r="I438" s="63">
        <f>INDEX(Matériel!A:Z, MATCH(E438, Matériel!A:A, 0), MATCH(H438, INDEX(Matériel!A:Z, MATCH(E438, Matériel!A:A, 0), 0), 0) + 1)</f>
        <v>1</v>
      </c>
      <c r="J438" s="63">
        <f t="shared" si="42"/>
        <v>3</v>
      </c>
      <c r="K438" s="63">
        <f>VLOOKUP(H438,Manutention!A:E, 3, FALSE) * J438</f>
        <v>6</v>
      </c>
      <c r="L438" s="63" t="s">
        <v>164</v>
      </c>
      <c r="M438" s="63">
        <f>ROUNDUP(K438/VLOOKUP(L438,Camion!A:D, 3, FALSE),0)</f>
        <v>1</v>
      </c>
      <c r="N438" s="63">
        <f>INT(K438/VLOOKUP(L438,Camion!A:D, 3, FALSE))</f>
        <v>0</v>
      </c>
      <c r="O438" s="64">
        <f>ROUND(K438/VLOOKUP(L438,Camion!A:D, 3, FALSE) - N438,2)</f>
        <v>0.67</v>
      </c>
      <c r="P438" s="63" t="s">
        <v>129</v>
      </c>
    </row>
    <row r="439" spans="1:16" x14ac:dyDescent="0.25">
      <c r="A439" s="7">
        <v>19</v>
      </c>
      <c r="B439" s="62" t="s">
        <v>184</v>
      </c>
      <c r="C439" s="63" t="s">
        <v>1</v>
      </c>
      <c r="D439" s="63" t="s">
        <v>128</v>
      </c>
      <c r="E439" s="63" t="s">
        <v>81</v>
      </c>
      <c r="F439" s="63" t="s">
        <v>127</v>
      </c>
      <c r="G439" s="63">
        <v>10</v>
      </c>
      <c r="H439" s="63" t="s">
        <v>131</v>
      </c>
      <c r="I439" s="63">
        <f>INDEX(Matériel!A:Z, MATCH(E439, Matériel!A:A, 0), MATCH(H439, INDEX(Matériel!A:Z, MATCH(E439, Matériel!A:A, 0), 0), 0) + 1)</f>
        <v>100</v>
      </c>
      <c r="J439" s="63">
        <f t="shared" si="42"/>
        <v>1</v>
      </c>
      <c r="K439" s="63">
        <f>VLOOKUP(H439,Manutention!A:E, 3, FALSE) * J439</f>
        <v>1</v>
      </c>
      <c r="L439" s="63" t="s">
        <v>164</v>
      </c>
      <c r="M439" s="63">
        <f>ROUNDUP(K439/VLOOKUP(L439,Camion!A:D, 3, FALSE),0)</f>
        <v>1</v>
      </c>
      <c r="N439" s="63">
        <f>INT(K439/VLOOKUP(L439,Camion!A:D, 3, FALSE))</f>
        <v>0</v>
      </c>
      <c r="O439" s="64">
        <f>ROUND(K439/VLOOKUP(L439,Camion!A:D, 3, FALSE) - N439,2)</f>
        <v>0.11</v>
      </c>
      <c r="P439" s="63" t="s">
        <v>130</v>
      </c>
    </row>
    <row r="440" spans="1:16" x14ac:dyDescent="0.25">
      <c r="A440" s="7">
        <v>19</v>
      </c>
      <c r="B440" s="5" t="s">
        <v>184</v>
      </c>
      <c r="C440" s="65"/>
      <c r="D440" s="65"/>
      <c r="E440" s="65" t="s">
        <v>187</v>
      </c>
      <c r="F440" s="65"/>
      <c r="G440" s="65"/>
      <c r="H440" s="65" t="s">
        <v>131</v>
      </c>
      <c r="I440" s="65"/>
      <c r="J440" s="65"/>
      <c r="K440" s="65">
        <f>SUMIFS(K:K, A:A, 19, B:B, "Z1 Z2", P:P, "Oui", D:D, "Production")</f>
        <v>1</v>
      </c>
      <c r="L440" s="65" t="s">
        <v>164</v>
      </c>
      <c r="M440" s="65">
        <f>ROUNDUP(K440/VLOOKUP(L440,Camion!A:D, 3, FALSE),0)</f>
        <v>1</v>
      </c>
      <c r="N440" s="65">
        <f>INT(K440/VLOOKUP(L440,Camion!A:D, 3, FALSE))</f>
        <v>0</v>
      </c>
      <c r="O440" s="66">
        <f>ROUND(K440/VLOOKUP(L440,Camion!A:D, 3, FALSE) - N440,2)</f>
        <v>0.11</v>
      </c>
      <c r="P440" s="65"/>
    </row>
    <row r="441" spans="1:16" x14ac:dyDescent="0.25">
      <c r="A441" s="7">
        <v>19</v>
      </c>
      <c r="B441" s="5" t="s">
        <v>184</v>
      </c>
      <c r="C441" s="65"/>
      <c r="D441" s="65"/>
      <c r="E441" s="65" t="s">
        <v>188</v>
      </c>
      <c r="F441" s="65"/>
      <c r="G441" s="65"/>
      <c r="H441" s="65" t="s">
        <v>131</v>
      </c>
      <c r="I441" s="65"/>
      <c r="J441" s="65"/>
      <c r="K441" s="65">
        <f>SUMIFS(K:K, A:A, 19, B:B, "Z1 Z2", P:P, "Oui", D:D, "Terminaux")</f>
        <v>26</v>
      </c>
      <c r="L441" s="65" t="s">
        <v>168</v>
      </c>
      <c r="M441" s="65">
        <f>ROUNDUP(K441/VLOOKUP(L441,Camion!A:D, 3, FALSE),0)</f>
        <v>1</v>
      </c>
      <c r="N441" s="65">
        <f>INT(K441/VLOOKUP(L441,Camion!A:D, 3, FALSE))</f>
        <v>0</v>
      </c>
      <c r="O441" s="66">
        <f>ROUND(K441/VLOOKUP(L441,Camion!A:D, 3, FALSE) - N441,2)</f>
        <v>0.76</v>
      </c>
      <c r="P441" s="65"/>
    </row>
    <row r="442" spans="1:16" x14ac:dyDescent="0.25">
      <c r="A442" s="7">
        <v>19</v>
      </c>
      <c r="B442" s="62" t="s">
        <v>185</v>
      </c>
      <c r="C442" s="63" t="s">
        <v>1</v>
      </c>
      <c r="D442" s="63" t="s">
        <v>128</v>
      </c>
      <c r="E442" s="63" t="s">
        <v>71</v>
      </c>
      <c r="F442" s="63" t="s">
        <v>138</v>
      </c>
      <c r="G442" s="63">
        <v>329</v>
      </c>
      <c r="H442" s="63" t="s">
        <v>139</v>
      </c>
      <c r="I442" s="63">
        <f>INDEX(Matériel!A:Z, MATCH(E442, Matériel!A:A, 0), MATCH(H442, INDEX(Matériel!A:Z, MATCH(E442, Matériel!A:A, 0), 0), 0) + 1)</f>
        <v>150</v>
      </c>
      <c r="J442" s="63">
        <f t="shared" ref="J442:J449" si="43">ROUNDUP(G442 / I442, 0)</f>
        <v>3</v>
      </c>
      <c r="K442" s="63">
        <f>VLOOKUP(H442,Manutention!A:E, 3, FALSE) * J442</f>
        <v>9</v>
      </c>
      <c r="L442" s="63" t="s">
        <v>164</v>
      </c>
      <c r="M442" s="63">
        <f>ROUNDUP(K442/VLOOKUP(L442,Camion!A:D, 3, FALSE),0)</f>
        <v>1</v>
      </c>
      <c r="N442" s="63">
        <f>INT(K442/VLOOKUP(L442,Camion!A:D, 3, FALSE))</f>
        <v>1</v>
      </c>
      <c r="O442" s="64">
        <f>ROUND(K442/VLOOKUP(L442,Camion!A:D, 3, FALSE) - N442,2)</f>
        <v>0</v>
      </c>
      <c r="P442" s="63" t="s">
        <v>130</v>
      </c>
    </row>
    <row r="443" spans="1:16" x14ac:dyDescent="0.25">
      <c r="A443" s="7">
        <v>19</v>
      </c>
      <c r="B443" s="62" t="s">
        <v>185</v>
      </c>
      <c r="C443" s="63" t="s">
        <v>1</v>
      </c>
      <c r="D443" s="63" t="s">
        <v>135</v>
      </c>
      <c r="E443" s="63" t="s">
        <v>72</v>
      </c>
      <c r="F443" s="63" t="s">
        <v>138</v>
      </c>
      <c r="G443" s="63">
        <v>1006</v>
      </c>
      <c r="H443" s="63" t="s">
        <v>143</v>
      </c>
      <c r="I443" s="63">
        <f>INDEX(Matériel!A:Z, MATCH(E443, Matériel!A:A, 0), MATCH(H443, INDEX(Matériel!A:Z, MATCH(E443, Matériel!A:A, 0), 0), 0) + 1)</f>
        <v>1000</v>
      </c>
      <c r="J443" s="63">
        <f t="shared" si="43"/>
        <v>2</v>
      </c>
      <c r="K443" s="63">
        <f>VLOOKUP(H443,Manutention!A:E, 3, FALSE) * J443</f>
        <v>2</v>
      </c>
      <c r="L443" s="63" t="s">
        <v>164</v>
      </c>
      <c r="M443" s="63">
        <f>ROUNDUP(K443/VLOOKUP(L443,Camion!A:D, 3, FALSE),0)</f>
        <v>1</v>
      </c>
      <c r="N443" s="63">
        <f>INT(K443/VLOOKUP(L443,Camion!A:D, 3, FALSE))</f>
        <v>0</v>
      </c>
      <c r="O443" s="64">
        <f>ROUND(K443/VLOOKUP(L443,Camion!A:D, 3, FALSE) - N443,2)</f>
        <v>0.22</v>
      </c>
      <c r="P443" s="63" t="s">
        <v>130</v>
      </c>
    </row>
    <row r="444" spans="1:16" x14ac:dyDescent="0.25">
      <c r="A444" s="7">
        <v>19</v>
      </c>
      <c r="B444" s="62" t="s">
        <v>185</v>
      </c>
      <c r="C444" s="63" t="s">
        <v>1</v>
      </c>
      <c r="D444" s="63" t="s">
        <v>135</v>
      </c>
      <c r="E444" s="63" t="s">
        <v>75</v>
      </c>
      <c r="F444" s="63" t="s">
        <v>127</v>
      </c>
      <c r="G444" s="63">
        <v>51</v>
      </c>
      <c r="H444" s="63" t="s">
        <v>136</v>
      </c>
      <c r="I444" s="63">
        <f>INDEX(Matériel!A:Z, MATCH(E444, Matériel!A:A, 0), MATCH(H444, INDEX(Matériel!A:Z, MATCH(E444, Matériel!A:A, 0), 0), 0) + 1)</f>
        <v>60</v>
      </c>
      <c r="J444" s="63">
        <f t="shared" si="43"/>
        <v>1</v>
      </c>
      <c r="K444" s="63">
        <f>VLOOKUP(H444,Manutention!A:E, 3, FALSE) * J444</f>
        <v>1</v>
      </c>
      <c r="L444" s="63" t="s">
        <v>164</v>
      </c>
      <c r="M444" s="63">
        <f>ROUNDUP(K444/VLOOKUP(L444,Camion!A:D, 3, FALSE),0)</f>
        <v>1</v>
      </c>
      <c r="N444" s="63">
        <f>INT(K444/VLOOKUP(L444,Camion!A:D, 3, FALSE))</f>
        <v>0</v>
      </c>
      <c r="O444" s="64">
        <f>ROUND(K444/VLOOKUP(L444,Camion!A:D, 3, FALSE) - N444,2)</f>
        <v>0.11</v>
      </c>
      <c r="P444" s="63" t="s">
        <v>129</v>
      </c>
    </row>
    <row r="445" spans="1:16" x14ac:dyDescent="0.25">
      <c r="A445" s="7">
        <v>19</v>
      </c>
      <c r="B445" s="62" t="s">
        <v>185</v>
      </c>
      <c r="C445" s="63" t="s">
        <v>1</v>
      </c>
      <c r="D445" s="63" t="s">
        <v>128</v>
      </c>
      <c r="E445" s="63" t="s">
        <v>76</v>
      </c>
      <c r="F445" s="63" t="s">
        <v>127</v>
      </c>
      <c r="G445" s="63">
        <v>25</v>
      </c>
      <c r="H445" s="63" t="s">
        <v>131</v>
      </c>
      <c r="I445" s="63">
        <f>INDEX(Matériel!A:Z, MATCH(E445, Matériel!A:A, 0), MATCH(H445, INDEX(Matériel!A:Z, MATCH(E445, Matériel!A:A, 0), 0), 0) + 1)</f>
        <v>100</v>
      </c>
      <c r="J445" s="63">
        <f t="shared" si="43"/>
        <v>1</v>
      </c>
      <c r="K445" s="63">
        <f>VLOOKUP(H445,Manutention!A:E, 3, FALSE) * J445</f>
        <v>1</v>
      </c>
      <c r="L445" s="63" t="s">
        <v>164</v>
      </c>
      <c r="M445" s="63">
        <f>ROUNDUP(K445/VLOOKUP(L445,Camion!A:D, 3, FALSE),0)</f>
        <v>1</v>
      </c>
      <c r="N445" s="63">
        <f>INT(K445/VLOOKUP(L445,Camion!A:D, 3, FALSE))</f>
        <v>0</v>
      </c>
      <c r="O445" s="64">
        <f>ROUND(K445/VLOOKUP(L445,Camion!A:D, 3, FALSE) - N445,2)</f>
        <v>0.11</v>
      </c>
      <c r="P445" s="63" t="s">
        <v>129</v>
      </c>
    </row>
    <row r="446" spans="1:16" x14ac:dyDescent="0.25">
      <c r="A446" s="7">
        <v>19</v>
      </c>
      <c r="B446" s="62" t="s">
        <v>185</v>
      </c>
      <c r="C446" s="63" t="s">
        <v>1</v>
      </c>
      <c r="D446" s="63" t="s">
        <v>135</v>
      </c>
      <c r="E446" s="63" t="s">
        <v>77</v>
      </c>
      <c r="F446" s="63" t="s">
        <v>127</v>
      </c>
      <c r="G446" s="63">
        <v>215</v>
      </c>
      <c r="H446" s="63" t="s">
        <v>131</v>
      </c>
      <c r="I446" s="63">
        <f>INDEX(Matériel!A:Z, MATCH(E446, Matériel!A:A, 0), MATCH(H446, INDEX(Matériel!A:Z, MATCH(E446, Matériel!A:A, 0), 0), 0) + 1)</f>
        <v>20</v>
      </c>
      <c r="J446" s="63">
        <f t="shared" si="43"/>
        <v>11</v>
      </c>
      <c r="K446" s="63">
        <f>VLOOKUP(H446,Manutention!A:E, 3, FALSE) * J446</f>
        <v>11</v>
      </c>
      <c r="L446" s="63" t="s">
        <v>165</v>
      </c>
      <c r="M446" s="63">
        <f>ROUNDUP(K446/VLOOKUP(L446,Camion!A:D, 3, FALSE),0)</f>
        <v>1</v>
      </c>
      <c r="N446" s="63">
        <f>INT(K446/VLOOKUP(L446,Camion!A:D, 3, FALSE))</f>
        <v>0</v>
      </c>
      <c r="O446" s="64">
        <f>ROUND(K446/VLOOKUP(L446,Camion!A:D, 3, FALSE) - N446,2)</f>
        <v>0.92</v>
      </c>
      <c r="P446" s="63" t="s">
        <v>129</v>
      </c>
    </row>
    <row r="447" spans="1:16" x14ac:dyDescent="0.25">
      <c r="A447" s="7">
        <v>19</v>
      </c>
      <c r="B447" s="62" t="s">
        <v>185</v>
      </c>
      <c r="C447" s="63" t="s">
        <v>1</v>
      </c>
      <c r="D447" s="63" t="s">
        <v>135</v>
      </c>
      <c r="E447" s="63" t="s">
        <v>78</v>
      </c>
      <c r="F447" s="63" t="s">
        <v>127</v>
      </c>
      <c r="G447" s="63">
        <v>4</v>
      </c>
      <c r="H447" s="63" t="s">
        <v>133</v>
      </c>
      <c r="I447" s="63">
        <f>INDEX(Matériel!A:Z, MATCH(E447, Matériel!A:A, 0), MATCH(H447, INDEX(Matériel!A:Z, MATCH(E447, Matériel!A:A, 0), 0), 0) + 1)</f>
        <v>1</v>
      </c>
      <c r="J447" s="63">
        <f t="shared" si="43"/>
        <v>4</v>
      </c>
      <c r="K447" s="63">
        <f>VLOOKUP(H447,Manutention!A:E, 3, FALSE) * J447</f>
        <v>8</v>
      </c>
      <c r="L447" s="63" t="s">
        <v>164</v>
      </c>
      <c r="M447" s="63">
        <f>ROUNDUP(K447/VLOOKUP(L447,Camion!A:D, 3, FALSE),0)</f>
        <v>1</v>
      </c>
      <c r="N447" s="63">
        <f>INT(K447/VLOOKUP(L447,Camion!A:D, 3, FALSE))</f>
        <v>0</v>
      </c>
      <c r="O447" s="64">
        <f>ROUND(K447/VLOOKUP(L447,Camion!A:D, 3, FALSE) - N447,2)</f>
        <v>0.89</v>
      </c>
      <c r="P447" s="63" t="s">
        <v>129</v>
      </c>
    </row>
    <row r="448" spans="1:16" x14ac:dyDescent="0.25">
      <c r="A448" s="7">
        <v>19</v>
      </c>
      <c r="B448" s="62" t="s">
        <v>185</v>
      </c>
      <c r="C448" s="63" t="s">
        <v>1</v>
      </c>
      <c r="D448" s="63" t="s">
        <v>135</v>
      </c>
      <c r="E448" s="63" t="s">
        <v>79</v>
      </c>
      <c r="F448" s="63" t="s">
        <v>127</v>
      </c>
      <c r="G448" s="63">
        <v>3</v>
      </c>
      <c r="H448" s="63" t="s">
        <v>133</v>
      </c>
      <c r="I448" s="63">
        <f>INDEX(Matériel!A:Z, MATCH(E448, Matériel!A:A, 0), MATCH(H448, INDEX(Matériel!A:Z, MATCH(E448, Matériel!A:A, 0), 0), 0) + 1)</f>
        <v>1</v>
      </c>
      <c r="J448" s="63">
        <f t="shared" si="43"/>
        <v>3</v>
      </c>
      <c r="K448" s="63">
        <f>VLOOKUP(H448,Manutention!A:E, 3, FALSE) * J448</f>
        <v>6</v>
      </c>
      <c r="L448" s="63" t="s">
        <v>164</v>
      </c>
      <c r="M448" s="63">
        <f>ROUNDUP(K448/VLOOKUP(L448,Camion!A:D, 3, FALSE),0)</f>
        <v>1</v>
      </c>
      <c r="N448" s="63">
        <f>INT(K448/VLOOKUP(L448,Camion!A:D, 3, FALSE))</f>
        <v>0</v>
      </c>
      <c r="O448" s="64">
        <f>ROUND(K448/VLOOKUP(L448,Camion!A:D, 3, FALSE) - N448,2)</f>
        <v>0.67</v>
      </c>
      <c r="P448" s="63" t="s">
        <v>129</v>
      </c>
    </row>
    <row r="449" spans="1:16" x14ac:dyDescent="0.25">
      <c r="A449" s="7">
        <v>19</v>
      </c>
      <c r="B449" s="62" t="s">
        <v>185</v>
      </c>
      <c r="C449" s="63" t="s">
        <v>1</v>
      </c>
      <c r="D449" s="63" t="s">
        <v>128</v>
      </c>
      <c r="E449" s="63" t="s">
        <v>81</v>
      </c>
      <c r="F449" s="63" t="s">
        <v>127</v>
      </c>
      <c r="G449" s="63">
        <v>9</v>
      </c>
      <c r="H449" s="63" t="s">
        <v>131</v>
      </c>
      <c r="I449" s="63">
        <f>INDEX(Matériel!A:Z, MATCH(E449, Matériel!A:A, 0), MATCH(H449, INDEX(Matériel!A:Z, MATCH(E449, Matériel!A:A, 0), 0), 0) + 1)</f>
        <v>100</v>
      </c>
      <c r="J449" s="63">
        <f t="shared" si="43"/>
        <v>1</v>
      </c>
      <c r="K449" s="63">
        <f>VLOOKUP(H449,Manutention!A:E, 3, FALSE) * J449</f>
        <v>1</v>
      </c>
      <c r="L449" s="63" t="s">
        <v>164</v>
      </c>
      <c r="M449" s="63">
        <f>ROUNDUP(K449/VLOOKUP(L449,Camion!A:D, 3, FALSE),0)</f>
        <v>1</v>
      </c>
      <c r="N449" s="63">
        <f>INT(K449/VLOOKUP(L449,Camion!A:D, 3, FALSE))</f>
        <v>0</v>
      </c>
      <c r="O449" s="64">
        <f>ROUND(K449/VLOOKUP(L449,Camion!A:D, 3, FALSE) - N449,2)</f>
        <v>0.11</v>
      </c>
      <c r="P449" s="63" t="s">
        <v>130</v>
      </c>
    </row>
    <row r="450" spans="1:16" x14ac:dyDescent="0.25">
      <c r="A450" s="7">
        <v>19</v>
      </c>
      <c r="B450" s="5" t="s">
        <v>185</v>
      </c>
      <c r="C450" s="65"/>
      <c r="D450" s="65"/>
      <c r="E450" s="65" t="s">
        <v>187</v>
      </c>
      <c r="F450" s="65"/>
      <c r="G450" s="65"/>
      <c r="H450" s="65" t="s">
        <v>131</v>
      </c>
      <c r="I450" s="65"/>
      <c r="J450" s="65"/>
      <c r="K450" s="65">
        <f>SUMIFS(K:K, A:A, 19, B:B, "Z3 Z4", P:P, "Oui", D:D, "Production")</f>
        <v>1</v>
      </c>
      <c r="L450" s="65" t="s">
        <v>164</v>
      </c>
      <c r="M450" s="65">
        <f>ROUNDUP(K450/VLOOKUP(L450,Camion!A:D, 3, FALSE),0)</f>
        <v>1</v>
      </c>
      <c r="N450" s="65">
        <f>INT(K450/VLOOKUP(L450,Camion!A:D, 3, FALSE))</f>
        <v>0</v>
      </c>
      <c r="O450" s="66">
        <f>ROUND(K450/VLOOKUP(L450,Camion!A:D, 3, FALSE) - N450,2)</f>
        <v>0.11</v>
      </c>
      <c r="P450" s="65"/>
    </row>
    <row r="451" spans="1:16" x14ac:dyDescent="0.25">
      <c r="A451" s="7">
        <v>19</v>
      </c>
      <c r="B451" s="5" t="s">
        <v>185</v>
      </c>
      <c r="C451" s="65"/>
      <c r="D451" s="65"/>
      <c r="E451" s="65" t="s">
        <v>188</v>
      </c>
      <c r="F451" s="65"/>
      <c r="G451" s="65"/>
      <c r="H451" s="65" t="s">
        <v>131</v>
      </c>
      <c r="I451" s="65"/>
      <c r="J451" s="65"/>
      <c r="K451" s="65">
        <f>SUMIFS(K:K, A:A, 19, B:B, "Z3 Z4", P:P, "Oui", D:D, "Terminaux")</f>
        <v>26</v>
      </c>
      <c r="L451" s="65" t="s">
        <v>168</v>
      </c>
      <c r="M451" s="65">
        <f>ROUNDUP(K451/VLOOKUP(L451,Camion!A:D, 3, FALSE),0)</f>
        <v>1</v>
      </c>
      <c r="N451" s="65">
        <f>INT(K451/VLOOKUP(L451,Camion!A:D, 3, FALSE))</f>
        <v>0</v>
      </c>
      <c r="O451" s="66">
        <f>ROUND(K451/VLOOKUP(L451,Camion!A:D, 3, FALSE) - N451,2)</f>
        <v>0.76</v>
      </c>
      <c r="P451" s="65"/>
    </row>
    <row r="452" spans="1:16" x14ac:dyDescent="0.25">
      <c r="A452" s="7">
        <v>20</v>
      </c>
      <c r="B452" s="62" t="s">
        <v>184</v>
      </c>
      <c r="C452" s="63" t="s">
        <v>1</v>
      </c>
      <c r="D452" s="63" t="s">
        <v>128</v>
      </c>
      <c r="E452" s="63" t="s">
        <v>71</v>
      </c>
      <c r="F452" s="63" t="s">
        <v>138</v>
      </c>
      <c r="G452" s="63">
        <v>324</v>
      </c>
      <c r="H452" s="63" t="s">
        <v>139</v>
      </c>
      <c r="I452" s="63">
        <f>INDEX(Matériel!A:Z, MATCH(E452, Matériel!A:A, 0), MATCH(H452, INDEX(Matériel!A:Z, MATCH(E452, Matériel!A:A, 0), 0), 0) + 1)</f>
        <v>150</v>
      </c>
      <c r="J452" s="63">
        <f t="shared" ref="J452:J459" si="44">ROUNDUP(G452 / I452, 0)</f>
        <v>3</v>
      </c>
      <c r="K452" s="63">
        <f>VLOOKUP(H452,Manutention!A:E, 3, FALSE) * J452</f>
        <v>9</v>
      </c>
      <c r="L452" s="63" t="s">
        <v>164</v>
      </c>
      <c r="M452" s="63">
        <f>ROUNDUP(K452/VLOOKUP(L452,Camion!A:D, 3, FALSE),0)</f>
        <v>1</v>
      </c>
      <c r="N452" s="63">
        <f>INT(K452/VLOOKUP(L452,Camion!A:D, 3, FALSE))</f>
        <v>1</v>
      </c>
      <c r="O452" s="64">
        <f>ROUND(K452/VLOOKUP(L452,Camion!A:D, 3, FALSE) - N452,2)</f>
        <v>0</v>
      </c>
      <c r="P452" s="63" t="s">
        <v>130</v>
      </c>
    </row>
    <row r="453" spans="1:16" x14ac:dyDescent="0.25">
      <c r="A453" s="7">
        <v>20</v>
      </c>
      <c r="B453" s="62" t="s">
        <v>184</v>
      </c>
      <c r="C453" s="63" t="s">
        <v>1</v>
      </c>
      <c r="D453" s="63" t="s">
        <v>135</v>
      </c>
      <c r="E453" s="63" t="s">
        <v>72</v>
      </c>
      <c r="F453" s="63" t="s">
        <v>138</v>
      </c>
      <c r="G453" s="63">
        <v>991</v>
      </c>
      <c r="H453" s="63" t="s">
        <v>143</v>
      </c>
      <c r="I453" s="63">
        <f>INDEX(Matériel!A:Z, MATCH(E453, Matériel!A:A, 0), MATCH(H453, INDEX(Matériel!A:Z, MATCH(E453, Matériel!A:A, 0), 0), 0) + 1)</f>
        <v>1000</v>
      </c>
      <c r="J453" s="63">
        <f t="shared" si="44"/>
        <v>1</v>
      </c>
      <c r="K453" s="63">
        <f>VLOOKUP(H453,Manutention!A:E, 3, FALSE) * J453</f>
        <v>1</v>
      </c>
      <c r="L453" s="63" t="s">
        <v>164</v>
      </c>
      <c r="M453" s="63">
        <f>ROUNDUP(K453/VLOOKUP(L453,Camion!A:D, 3, FALSE),0)</f>
        <v>1</v>
      </c>
      <c r="N453" s="63">
        <f>INT(K453/VLOOKUP(L453,Camion!A:D, 3, FALSE))</f>
        <v>0</v>
      </c>
      <c r="O453" s="64">
        <f>ROUND(K453/VLOOKUP(L453,Camion!A:D, 3, FALSE) - N453,2)</f>
        <v>0.11</v>
      </c>
      <c r="P453" s="63" t="s">
        <v>130</v>
      </c>
    </row>
    <row r="454" spans="1:16" x14ac:dyDescent="0.25">
      <c r="A454" s="7">
        <v>20</v>
      </c>
      <c r="B454" s="62" t="s">
        <v>184</v>
      </c>
      <c r="C454" s="63" t="s">
        <v>1</v>
      </c>
      <c r="D454" s="63" t="s">
        <v>135</v>
      </c>
      <c r="E454" s="63" t="s">
        <v>75</v>
      </c>
      <c r="F454" s="63" t="s">
        <v>127</v>
      </c>
      <c r="G454" s="63">
        <v>51</v>
      </c>
      <c r="H454" s="63" t="s">
        <v>136</v>
      </c>
      <c r="I454" s="63">
        <f>INDEX(Matériel!A:Z, MATCH(E454, Matériel!A:A, 0), MATCH(H454, INDEX(Matériel!A:Z, MATCH(E454, Matériel!A:A, 0), 0), 0) + 1)</f>
        <v>60</v>
      </c>
      <c r="J454" s="63">
        <f t="shared" si="44"/>
        <v>1</v>
      </c>
      <c r="K454" s="63">
        <f>VLOOKUP(H454,Manutention!A:E, 3, FALSE) * J454</f>
        <v>1</v>
      </c>
      <c r="L454" s="63" t="s">
        <v>164</v>
      </c>
      <c r="M454" s="63">
        <f>ROUNDUP(K454/VLOOKUP(L454,Camion!A:D, 3, FALSE),0)</f>
        <v>1</v>
      </c>
      <c r="N454" s="63">
        <f>INT(K454/VLOOKUP(L454,Camion!A:D, 3, FALSE))</f>
        <v>0</v>
      </c>
      <c r="O454" s="64">
        <f>ROUND(K454/VLOOKUP(L454,Camion!A:D, 3, FALSE) - N454,2)</f>
        <v>0.11</v>
      </c>
      <c r="P454" s="63" t="s">
        <v>129</v>
      </c>
    </row>
    <row r="455" spans="1:16" x14ac:dyDescent="0.25">
      <c r="A455" s="7">
        <v>20</v>
      </c>
      <c r="B455" s="62" t="s">
        <v>184</v>
      </c>
      <c r="C455" s="63" t="s">
        <v>1</v>
      </c>
      <c r="D455" s="63" t="s">
        <v>128</v>
      </c>
      <c r="E455" s="63" t="s">
        <v>76</v>
      </c>
      <c r="F455" s="63" t="s">
        <v>127</v>
      </c>
      <c r="G455" s="63">
        <v>25</v>
      </c>
      <c r="H455" s="63" t="s">
        <v>131</v>
      </c>
      <c r="I455" s="63">
        <f>INDEX(Matériel!A:Z, MATCH(E455, Matériel!A:A, 0), MATCH(H455, INDEX(Matériel!A:Z, MATCH(E455, Matériel!A:A, 0), 0), 0) + 1)</f>
        <v>100</v>
      </c>
      <c r="J455" s="63">
        <f t="shared" si="44"/>
        <v>1</v>
      </c>
      <c r="K455" s="63">
        <f>VLOOKUP(H455,Manutention!A:E, 3, FALSE) * J455</f>
        <v>1</v>
      </c>
      <c r="L455" s="63" t="s">
        <v>164</v>
      </c>
      <c r="M455" s="63">
        <f>ROUNDUP(K455/VLOOKUP(L455,Camion!A:D, 3, FALSE),0)</f>
        <v>1</v>
      </c>
      <c r="N455" s="63">
        <f>INT(K455/VLOOKUP(L455,Camion!A:D, 3, FALSE))</f>
        <v>0</v>
      </c>
      <c r="O455" s="64">
        <f>ROUND(K455/VLOOKUP(L455,Camion!A:D, 3, FALSE) - N455,2)</f>
        <v>0.11</v>
      </c>
      <c r="P455" s="63" t="s">
        <v>129</v>
      </c>
    </row>
    <row r="456" spans="1:16" x14ac:dyDescent="0.25">
      <c r="A456" s="7">
        <v>20</v>
      </c>
      <c r="B456" s="62" t="s">
        <v>184</v>
      </c>
      <c r="C456" s="63" t="s">
        <v>1</v>
      </c>
      <c r="D456" s="63" t="s">
        <v>135</v>
      </c>
      <c r="E456" s="63" t="s">
        <v>77</v>
      </c>
      <c r="F456" s="63" t="s">
        <v>127</v>
      </c>
      <c r="G456" s="63">
        <v>212</v>
      </c>
      <c r="H456" s="63" t="s">
        <v>131</v>
      </c>
      <c r="I456" s="63">
        <f>INDEX(Matériel!A:Z, MATCH(E456, Matériel!A:A, 0), MATCH(H456, INDEX(Matériel!A:Z, MATCH(E456, Matériel!A:A, 0), 0), 0) + 1)</f>
        <v>20</v>
      </c>
      <c r="J456" s="63">
        <f t="shared" si="44"/>
        <v>11</v>
      </c>
      <c r="K456" s="63">
        <f>VLOOKUP(H456,Manutention!A:E, 3, FALSE) * J456</f>
        <v>11</v>
      </c>
      <c r="L456" s="63" t="s">
        <v>165</v>
      </c>
      <c r="M456" s="63">
        <f>ROUNDUP(K456/VLOOKUP(L456,Camion!A:D, 3, FALSE),0)</f>
        <v>1</v>
      </c>
      <c r="N456" s="63">
        <f>INT(K456/VLOOKUP(L456,Camion!A:D, 3, FALSE))</f>
        <v>0</v>
      </c>
      <c r="O456" s="64">
        <f>ROUND(K456/VLOOKUP(L456,Camion!A:D, 3, FALSE) - N456,2)</f>
        <v>0.92</v>
      </c>
      <c r="P456" s="63" t="s">
        <v>129</v>
      </c>
    </row>
    <row r="457" spans="1:16" x14ac:dyDescent="0.25">
      <c r="A457" s="7">
        <v>20</v>
      </c>
      <c r="B457" s="62" t="s">
        <v>184</v>
      </c>
      <c r="C457" s="63" t="s">
        <v>1</v>
      </c>
      <c r="D457" s="63" t="s">
        <v>135</v>
      </c>
      <c r="E457" s="63" t="s">
        <v>78</v>
      </c>
      <c r="F457" s="63" t="s">
        <v>127</v>
      </c>
      <c r="G457" s="63">
        <v>4</v>
      </c>
      <c r="H457" s="63" t="s">
        <v>133</v>
      </c>
      <c r="I457" s="63">
        <f>INDEX(Matériel!A:Z, MATCH(E457, Matériel!A:A, 0), MATCH(H457, INDEX(Matériel!A:Z, MATCH(E457, Matériel!A:A, 0), 0), 0) + 1)</f>
        <v>1</v>
      </c>
      <c r="J457" s="63">
        <f t="shared" si="44"/>
        <v>4</v>
      </c>
      <c r="K457" s="63">
        <f>VLOOKUP(H457,Manutention!A:E, 3, FALSE) * J457</f>
        <v>8</v>
      </c>
      <c r="L457" s="63" t="s">
        <v>164</v>
      </c>
      <c r="M457" s="63">
        <f>ROUNDUP(K457/VLOOKUP(L457,Camion!A:D, 3, FALSE),0)</f>
        <v>1</v>
      </c>
      <c r="N457" s="63">
        <f>INT(K457/VLOOKUP(L457,Camion!A:D, 3, FALSE))</f>
        <v>0</v>
      </c>
      <c r="O457" s="64">
        <f>ROUND(K457/VLOOKUP(L457,Camion!A:D, 3, FALSE) - N457,2)</f>
        <v>0.89</v>
      </c>
      <c r="P457" s="63" t="s">
        <v>129</v>
      </c>
    </row>
    <row r="458" spans="1:16" x14ac:dyDescent="0.25">
      <c r="A458" s="7">
        <v>20</v>
      </c>
      <c r="B458" s="62" t="s">
        <v>184</v>
      </c>
      <c r="C458" s="63" t="s">
        <v>1</v>
      </c>
      <c r="D458" s="63" t="s">
        <v>135</v>
      </c>
      <c r="E458" s="63" t="s">
        <v>79</v>
      </c>
      <c r="F458" s="63" t="s">
        <v>127</v>
      </c>
      <c r="G458" s="63">
        <v>3</v>
      </c>
      <c r="H458" s="63" t="s">
        <v>133</v>
      </c>
      <c r="I458" s="63">
        <f>INDEX(Matériel!A:Z, MATCH(E458, Matériel!A:A, 0), MATCH(H458, INDEX(Matériel!A:Z, MATCH(E458, Matériel!A:A, 0), 0), 0) + 1)</f>
        <v>1</v>
      </c>
      <c r="J458" s="63">
        <f t="shared" si="44"/>
        <v>3</v>
      </c>
      <c r="K458" s="63">
        <f>VLOOKUP(H458,Manutention!A:E, 3, FALSE) * J458</f>
        <v>6</v>
      </c>
      <c r="L458" s="63" t="s">
        <v>164</v>
      </c>
      <c r="M458" s="63">
        <f>ROUNDUP(K458/VLOOKUP(L458,Camion!A:D, 3, FALSE),0)</f>
        <v>1</v>
      </c>
      <c r="N458" s="63">
        <f>INT(K458/VLOOKUP(L458,Camion!A:D, 3, FALSE))</f>
        <v>0</v>
      </c>
      <c r="O458" s="64">
        <f>ROUND(K458/VLOOKUP(L458,Camion!A:D, 3, FALSE) - N458,2)</f>
        <v>0.67</v>
      </c>
      <c r="P458" s="63" t="s">
        <v>129</v>
      </c>
    </row>
    <row r="459" spans="1:16" x14ac:dyDescent="0.25">
      <c r="A459" s="7">
        <v>20</v>
      </c>
      <c r="B459" s="62" t="s">
        <v>184</v>
      </c>
      <c r="C459" s="63" t="s">
        <v>1</v>
      </c>
      <c r="D459" s="63" t="s">
        <v>128</v>
      </c>
      <c r="E459" s="63" t="s">
        <v>81</v>
      </c>
      <c r="F459" s="63" t="s">
        <v>127</v>
      </c>
      <c r="G459" s="63">
        <v>9</v>
      </c>
      <c r="H459" s="63" t="s">
        <v>131</v>
      </c>
      <c r="I459" s="63">
        <f>INDEX(Matériel!A:Z, MATCH(E459, Matériel!A:A, 0), MATCH(H459, INDEX(Matériel!A:Z, MATCH(E459, Matériel!A:A, 0), 0), 0) + 1)</f>
        <v>100</v>
      </c>
      <c r="J459" s="63">
        <f t="shared" si="44"/>
        <v>1</v>
      </c>
      <c r="K459" s="63">
        <f>VLOOKUP(H459,Manutention!A:E, 3, FALSE) * J459</f>
        <v>1</v>
      </c>
      <c r="L459" s="63" t="s">
        <v>164</v>
      </c>
      <c r="M459" s="63">
        <f>ROUNDUP(K459/VLOOKUP(L459,Camion!A:D, 3, FALSE),0)</f>
        <v>1</v>
      </c>
      <c r="N459" s="63">
        <f>INT(K459/VLOOKUP(L459,Camion!A:D, 3, FALSE))</f>
        <v>0</v>
      </c>
      <c r="O459" s="64">
        <f>ROUND(K459/VLOOKUP(L459,Camion!A:D, 3, FALSE) - N459,2)</f>
        <v>0.11</v>
      </c>
      <c r="P459" s="63" t="s">
        <v>130</v>
      </c>
    </row>
    <row r="460" spans="1:16" x14ac:dyDescent="0.25">
      <c r="A460" s="7">
        <v>20</v>
      </c>
      <c r="B460" s="5" t="s">
        <v>184</v>
      </c>
      <c r="C460" s="65"/>
      <c r="D460" s="65"/>
      <c r="E460" s="65" t="s">
        <v>187</v>
      </c>
      <c r="F460" s="65"/>
      <c r="G460" s="65"/>
      <c r="H460" s="65" t="s">
        <v>131</v>
      </c>
      <c r="I460" s="65"/>
      <c r="J460" s="65"/>
      <c r="K460" s="65">
        <f>SUMIFS(K:K, A:A, 20, B:B, "Z1 Z2", P:P, "Oui", D:D, "Production")</f>
        <v>1</v>
      </c>
      <c r="L460" s="65" t="s">
        <v>164</v>
      </c>
      <c r="M460" s="65">
        <f>ROUNDUP(K460/VLOOKUP(L460,Camion!A:D, 3, FALSE),0)</f>
        <v>1</v>
      </c>
      <c r="N460" s="65">
        <f>INT(K460/VLOOKUP(L460,Camion!A:D, 3, FALSE))</f>
        <v>0</v>
      </c>
      <c r="O460" s="66">
        <f>ROUND(K460/VLOOKUP(L460,Camion!A:D, 3, FALSE) - N460,2)</f>
        <v>0.11</v>
      </c>
      <c r="P460" s="65"/>
    </row>
    <row r="461" spans="1:16" x14ac:dyDescent="0.25">
      <c r="A461" s="7">
        <v>20</v>
      </c>
      <c r="B461" s="5" t="s">
        <v>184</v>
      </c>
      <c r="C461" s="65"/>
      <c r="D461" s="65"/>
      <c r="E461" s="65" t="s">
        <v>188</v>
      </c>
      <c r="F461" s="65"/>
      <c r="G461" s="65"/>
      <c r="H461" s="65" t="s">
        <v>131</v>
      </c>
      <c r="I461" s="65"/>
      <c r="J461" s="65"/>
      <c r="K461" s="65">
        <f>SUMIFS(K:K, A:A, 20, B:B, "Z1 Z2", P:P, "Oui", D:D, "Terminaux")</f>
        <v>26</v>
      </c>
      <c r="L461" s="65" t="s">
        <v>168</v>
      </c>
      <c r="M461" s="65">
        <f>ROUNDUP(K461/VLOOKUP(L461,Camion!A:D, 3, FALSE),0)</f>
        <v>1</v>
      </c>
      <c r="N461" s="65">
        <f>INT(K461/VLOOKUP(L461,Camion!A:D, 3, FALSE))</f>
        <v>0</v>
      </c>
      <c r="O461" s="66">
        <f>ROUND(K461/VLOOKUP(L461,Camion!A:D, 3, FALSE) - N461,2)</f>
        <v>0.76</v>
      </c>
      <c r="P461" s="65"/>
    </row>
    <row r="462" spans="1:16" x14ac:dyDescent="0.25">
      <c r="A462" s="7">
        <v>20</v>
      </c>
      <c r="B462" s="62" t="s">
        <v>185</v>
      </c>
      <c r="C462" s="63" t="s">
        <v>1</v>
      </c>
      <c r="D462" s="63" t="s">
        <v>128</v>
      </c>
      <c r="E462" s="63" t="s">
        <v>71</v>
      </c>
      <c r="F462" s="63" t="s">
        <v>138</v>
      </c>
      <c r="G462" s="63">
        <v>319</v>
      </c>
      <c r="H462" s="63" t="s">
        <v>139</v>
      </c>
      <c r="I462" s="63">
        <f>INDEX(Matériel!A:Z, MATCH(E462, Matériel!A:A, 0), MATCH(H462, INDEX(Matériel!A:Z, MATCH(E462, Matériel!A:A, 0), 0), 0) + 1)</f>
        <v>150</v>
      </c>
      <c r="J462" s="63">
        <f t="shared" ref="J462:J469" si="45">ROUNDUP(G462 / I462, 0)</f>
        <v>3</v>
      </c>
      <c r="K462" s="63">
        <f>VLOOKUP(H462,Manutention!A:E, 3, FALSE) * J462</f>
        <v>9</v>
      </c>
      <c r="L462" s="63" t="s">
        <v>164</v>
      </c>
      <c r="M462" s="63">
        <f>ROUNDUP(K462/VLOOKUP(L462,Camion!A:D, 3, FALSE),0)</f>
        <v>1</v>
      </c>
      <c r="N462" s="63">
        <f>INT(K462/VLOOKUP(L462,Camion!A:D, 3, FALSE))</f>
        <v>1</v>
      </c>
      <c r="O462" s="64">
        <f>ROUND(K462/VLOOKUP(L462,Camion!A:D, 3, FALSE) - N462,2)</f>
        <v>0</v>
      </c>
      <c r="P462" s="63" t="s">
        <v>130</v>
      </c>
    </row>
    <row r="463" spans="1:16" x14ac:dyDescent="0.25">
      <c r="A463" s="7">
        <v>20</v>
      </c>
      <c r="B463" s="62" t="s">
        <v>185</v>
      </c>
      <c r="C463" s="63" t="s">
        <v>1</v>
      </c>
      <c r="D463" s="63" t="s">
        <v>135</v>
      </c>
      <c r="E463" s="63" t="s">
        <v>72</v>
      </c>
      <c r="F463" s="63" t="s">
        <v>138</v>
      </c>
      <c r="G463" s="63">
        <v>976</v>
      </c>
      <c r="H463" s="63" t="s">
        <v>143</v>
      </c>
      <c r="I463" s="63">
        <f>INDEX(Matériel!A:Z, MATCH(E463, Matériel!A:A, 0), MATCH(H463, INDEX(Matériel!A:Z, MATCH(E463, Matériel!A:A, 0), 0), 0) + 1)</f>
        <v>1000</v>
      </c>
      <c r="J463" s="63">
        <f t="shared" si="45"/>
        <v>1</v>
      </c>
      <c r="K463" s="63">
        <f>VLOOKUP(H463,Manutention!A:E, 3, FALSE) * J463</f>
        <v>1</v>
      </c>
      <c r="L463" s="63" t="s">
        <v>164</v>
      </c>
      <c r="M463" s="63">
        <f>ROUNDUP(K463/VLOOKUP(L463,Camion!A:D, 3, FALSE),0)</f>
        <v>1</v>
      </c>
      <c r="N463" s="63">
        <f>INT(K463/VLOOKUP(L463,Camion!A:D, 3, FALSE))</f>
        <v>0</v>
      </c>
      <c r="O463" s="64">
        <f>ROUND(K463/VLOOKUP(L463,Camion!A:D, 3, FALSE) - N463,2)</f>
        <v>0.11</v>
      </c>
      <c r="P463" s="63" t="s">
        <v>130</v>
      </c>
    </row>
    <row r="464" spans="1:16" x14ac:dyDescent="0.25">
      <c r="A464" s="7">
        <v>20</v>
      </c>
      <c r="B464" s="62" t="s">
        <v>185</v>
      </c>
      <c r="C464" s="63" t="s">
        <v>1</v>
      </c>
      <c r="D464" s="63" t="s">
        <v>135</v>
      </c>
      <c r="E464" s="63" t="s">
        <v>75</v>
      </c>
      <c r="F464" s="63" t="s">
        <v>127</v>
      </c>
      <c r="G464" s="63">
        <v>50</v>
      </c>
      <c r="H464" s="63" t="s">
        <v>136</v>
      </c>
      <c r="I464" s="63">
        <f>INDEX(Matériel!A:Z, MATCH(E464, Matériel!A:A, 0), MATCH(H464, INDEX(Matériel!A:Z, MATCH(E464, Matériel!A:A, 0), 0), 0) + 1)</f>
        <v>60</v>
      </c>
      <c r="J464" s="63">
        <f t="shared" si="45"/>
        <v>1</v>
      </c>
      <c r="K464" s="63">
        <f>VLOOKUP(H464,Manutention!A:E, 3, FALSE) * J464</f>
        <v>1</v>
      </c>
      <c r="L464" s="63" t="s">
        <v>164</v>
      </c>
      <c r="M464" s="63">
        <f>ROUNDUP(K464/VLOOKUP(L464,Camion!A:D, 3, FALSE),0)</f>
        <v>1</v>
      </c>
      <c r="N464" s="63">
        <f>INT(K464/VLOOKUP(L464,Camion!A:D, 3, FALSE))</f>
        <v>0</v>
      </c>
      <c r="O464" s="64">
        <f>ROUND(K464/VLOOKUP(L464,Camion!A:D, 3, FALSE) - N464,2)</f>
        <v>0.11</v>
      </c>
      <c r="P464" s="63" t="s">
        <v>129</v>
      </c>
    </row>
    <row r="465" spans="1:16" x14ac:dyDescent="0.25">
      <c r="A465" s="7">
        <v>20</v>
      </c>
      <c r="B465" s="62" t="s">
        <v>185</v>
      </c>
      <c r="C465" s="63" t="s">
        <v>1</v>
      </c>
      <c r="D465" s="63" t="s">
        <v>128</v>
      </c>
      <c r="E465" s="63" t="s">
        <v>76</v>
      </c>
      <c r="F465" s="63" t="s">
        <v>127</v>
      </c>
      <c r="G465" s="63">
        <v>25</v>
      </c>
      <c r="H465" s="63" t="s">
        <v>131</v>
      </c>
      <c r="I465" s="63">
        <f>INDEX(Matériel!A:Z, MATCH(E465, Matériel!A:A, 0), MATCH(H465, INDEX(Matériel!A:Z, MATCH(E465, Matériel!A:A, 0), 0), 0) + 1)</f>
        <v>100</v>
      </c>
      <c r="J465" s="63">
        <f t="shared" si="45"/>
        <v>1</v>
      </c>
      <c r="K465" s="63">
        <f>VLOOKUP(H465,Manutention!A:E, 3, FALSE) * J465</f>
        <v>1</v>
      </c>
      <c r="L465" s="63" t="s">
        <v>164</v>
      </c>
      <c r="M465" s="63">
        <f>ROUNDUP(K465/VLOOKUP(L465,Camion!A:D, 3, FALSE),0)</f>
        <v>1</v>
      </c>
      <c r="N465" s="63">
        <f>INT(K465/VLOOKUP(L465,Camion!A:D, 3, FALSE))</f>
        <v>0</v>
      </c>
      <c r="O465" s="64">
        <f>ROUND(K465/VLOOKUP(L465,Camion!A:D, 3, FALSE) - N465,2)</f>
        <v>0.11</v>
      </c>
      <c r="P465" s="63" t="s">
        <v>129</v>
      </c>
    </row>
    <row r="466" spans="1:16" x14ac:dyDescent="0.25">
      <c r="A466" s="7">
        <v>20</v>
      </c>
      <c r="B466" s="62" t="s">
        <v>185</v>
      </c>
      <c r="C466" s="63" t="s">
        <v>1</v>
      </c>
      <c r="D466" s="63" t="s">
        <v>135</v>
      </c>
      <c r="E466" s="63" t="s">
        <v>77</v>
      </c>
      <c r="F466" s="63" t="s">
        <v>127</v>
      </c>
      <c r="G466" s="63">
        <v>209</v>
      </c>
      <c r="H466" s="63" t="s">
        <v>131</v>
      </c>
      <c r="I466" s="63">
        <f>INDEX(Matériel!A:Z, MATCH(E466, Matériel!A:A, 0), MATCH(H466, INDEX(Matériel!A:Z, MATCH(E466, Matériel!A:A, 0), 0), 0) + 1)</f>
        <v>20</v>
      </c>
      <c r="J466" s="63">
        <f t="shared" si="45"/>
        <v>11</v>
      </c>
      <c r="K466" s="63">
        <f>VLOOKUP(H466,Manutention!A:E, 3, FALSE) * J466</f>
        <v>11</v>
      </c>
      <c r="L466" s="63" t="s">
        <v>165</v>
      </c>
      <c r="M466" s="63">
        <f>ROUNDUP(K466/VLOOKUP(L466,Camion!A:D, 3, FALSE),0)</f>
        <v>1</v>
      </c>
      <c r="N466" s="63">
        <f>INT(K466/VLOOKUP(L466,Camion!A:D, 3, FALSE))</f>
        <v>0</v>
      </c>
      <c r="O466" s="64">
        <f>ROUND(K466/VLOOKUP(L466,Camion!A:D, 3, FALSE) - N466,2)</f>
        <v>0.92</v>
      </c>
      <c r="P466" s="63" t="s">
        <v>129</v>
      </c>
    </row>
    <row r="467" spans="1:16" x14ac:dyDescent="0.25">
      <c r="A467" s="7">
        <v>20</v>
      </c>
      <c r="B467" s="62" t="s">
        <v>185</v>
      </c>
      <c r="C467" s="63" t="s">
        <v>1</v>
      </c>
      <c r="D467" s="63" t="s">
        <v>135</v>
      </c>
      <c r="E467" s="63" t="s">
        <v>78</v>
      </c>
      <c r="F467" s="63" t="s">
        <v>127</v>
      </c>
      <c r="G467" s="63">
        <v>4</v>
      </c>
      <c r="H467" s="63" t="s">
        <v>133</v>
      </c>
      <c r="I467" s="63">
        <f>INDEX(Matériel!A:Z, MATCH(E467, Matériel!A:A, 0), MATCH(H467, INDEX(Matériel!A:Z, MATCH(E467, Matériel!A:A, 0), 0), 0) + 1)</f>
        <v>1</v>
      </c>
      <c r="J467" s="63">
        <f t="shared" si="45"/>
        <v>4</v>
      </c>
      <c r="K467" s="63">
        <f>VLOOKUP(H467,Manutention!A:E, 3, FALSE) * J467</f>
        <v>8</v>
      </c>
      <c r="L467" s="63" t="s">
        <v>164</v>
      </c>
      <c r="M467" s="63">
        <f>ROUNDUP(K467/VLOOKUP(L467,Camion!A:D, 3, FALSE),0)</f>
        <v>1</v>
      </c>
      <c r="N467" s="63">
        <f>INT(K467/VLOOKUP(L467,Camion!A:D, 3, FALSE))</f>
        <v>0</v>
      </c>
      <c r="O467" s="64">
        <f>ROUND(K467/VLOOKUP(L467,Camion!A:D, 3, FALSE) - N467,2)</f>
        <v>0.89</v>
      </c>
      <c r="P467" s="63" t="s">
        <v>129</v>
      </c>
    </row>
    <row r="468" spans="1:16" x14ac:dyDescent="0.25">
      <c r="A468" s="7">
        <v>20</v>
      </c>
      <c r="B468" s="62" t="s">
        <v>185</v>
      </c>
      <c r="C468" s="63" t="s">
        <v>1</v>
      </c>
      <c r="D468" s="63" t="s">
        <v>135</v>
      </c>
      <c r="E468" s="63" t="s">
        <v>79</v>
      </c>
      <c r="F468" s="63" t="s">
        <v>127</v>
      </c>
      <c r="G468" s="63">
        <v>3</v>
      </c>
      <c r="H468" s="63" t="s">
        <v>133</v>
      </c>
      <c r="I468" s="63">
        <f>INDEX(Matériel!A:Z, MATCH(E468, Matériel!A:A, 0), MATCH(H468, INDEX(Matériel!A:Z, MATCH(E468, Matériel!A:A, 0), 0), 0) + 1)</f>
        <v>1</v>
      </c>
      <c r="J468" s="63">
        <f t="shared" si="45"/>
        <v>3</v>
      </c>
      <c r="K468" s="63">
        <f>VLOOKUP(H468,Manutention!A:E, 3, FALSE) * J468</f>
        <v>6</v>
      </c>
      <c r="L468" s="63" t="s">
        <v>164</v>
      </c>
      <c r="M468" s="63">
        <f>ROUNDUP(K468/VLOOKUP(L468,Camion!A:D, 3, FALSE),0)</f>
        <v>1</v>
      </c>
      <c r="N468" s="63">
        <f>INT(K468/VLOOKUP(L468,Camion!A:D, 3, FALSE))</f>
        <v>0</v>
      </c>
      <c r="O468" s="64">
        <f>ROUND(K468/VLOOKUP(L468,Camion!A:D, 3, FALSE) - N468,2)</f>
        <v>0.67</v>
      </c>
      <c r="P468" s="63" t="s">
        <v>129</v>
      </c>
    </row>
    <row r="469" spans="1:16" x14ac:dyDescent="0.25">
      <c r="A469" s="7">
        <v>20</v>
      </c>
      <c r="B469" s="62" t="s">
        <v>185</v>
      </c>
      <c r="C469" s="63" t="s">
        <v>1</v>
      </c>
      <c r="D469" s="63" t="s">
        <v>128</v>
      </c>
      <c r="E469" s="63" t="s">
        <v>81</v>
      </c>
      <c r="F469" s="63" t="s">
        <v>127</v>
      </c>
      <c r="G469" s="63">
        <v>9</v>
      </c>
      <c r="H469" s="63" t="s">
        <v>131</v>
      </c>
      <c r="I469" s="63">
        <f>INDEX(Matériel!A:Z, MATCH(E469, Matériel!A:A, 0), MATCH(H469, INDEX(Matériel!A:Z, MATCH(E469, Matériel!A:A, 0), 0), 0) + 1)</f>
        <v>100</v>
      </c>
      <c r="J469" s="63">
        <f t="shared" si="45"/>
        <v>1</v>
      </c>
      <c r="K469" s="63">
        <f>VLOOKUP(H469,Manutention!A:E, 3, FALSE) * J469</f>
        <v>1</v>
      </c>
      <c r="L469" s="63" t="s">
        <v>164</v>
      </c>
      <c r="M469" s="63">
        <f>ROUNDUP(K469/VLOOKUP(L469,Camion!A:D, 3, FALSE),0)</f>
        <v>1</v>
      </c>
      <c r="N469" s="63">
        <f>INT(K469/VLOOKUP(L469,Camion!A:D, 3, FALSE))</f>
        <v>0</v>
      </c>
      <c r="O469" s="64">
        <f>ROUND(K469/VLOOKUP(L469,Camion!A:D, 3, FALSE) - N469,2)</f>
        <v>0.11</v>
      </c>
      <c r="P469" s="63" t="s">
        <v>130</v>
      </c>
    </row>
    <row r="470" spans="1:16" x14ac:dyDescent="0.25">
      <c r="A470" s="7">
        <v>20</v>
      </c>
      <c r="B470" s="5" t="s">
        <v>185</v>
      </c>
      <c r="C470" s="65"/>
      <c r="D470" s="65"/>
      <c r="E470" s="65" t="s">
        <v>187</v>
      </c>
      <c r="F470" s="65"/>
      <c r="G470" s="65"/>
      <c r="H470" s="65" t="s">
        <v>131</v>
      </c>
      <c r="I470" s="65"/>
      <c r="J470" s="65"/>
      <c r="K470" s="65">
        <f>SUMIFS(K:K, A:A, 20, B:B, "Z3 Z4", P:P, "Oui", D:D, "Production")</f>
        <v>1</v>
      </c>
      <c r="L470" s="65" t="s">
        <v>164</v>
      </c>
      <c r="M470" s="65">
        <f>ROUNDUP(K470/VLOOKUP(L470,Camion!A:D, 3, FALSE),0)</f>
        <v>1</v>
      </c>
      <c r="N470" s="65">
        <f>INT(K470/VLOOKUP(L470,Camion!A:D, 3, FALSE))</f>
        <v>0</v>
      </c>
      <c r="O470" s="66">
        <f>ROUND(K470/VLOOKUP(L470,Camion!A:D, 3, FALSE) - N470,2)</f>
        <v>0.11</v>
      </c>
      <c r="P470" s="65"/>
    </row>
    <row r="471" spans="1:16" x14ac:dyDescent="0.25">
      <c r="A471" s="7">
        <v>20</v>
      </c>
      <c r="B471" s="5" t="s">
        <v>185</v>
      </c>
      <c r="C471" s="65"/>
      <c r="D471" s="65"/>
      <c r="E471" s="65" t="s">
        <v>188</v>
      </c>
      <c r="F471" s="65"/>
      <c r="G471" s="65"/>
      <c r="H471" s="65" t="s">
        <v>131</v>
      </c>
      <c r="I471" s="65"/>
      <c r="J471" s="65"/>
      <c r="K471" s="65">
        <f>SUMIFS(K:K, A:A, 20, B:B, "Z3 Z4", P:P, "Oui", D:D, "Terminaux")</f>
        <v>26</v>
      </c>
      <c r="L471" s="65" t="s">
        <v>168</v>
      </c>
      <c r="M471" s="65">
        <f>ROUNDUP(K471/VLOOKUP(L471,Camion!A:D, 3, FALSE),0)</f>
        <v>1</v>
      </c>
      <c r="N471" s="65">
        <f>INT(K471/VLOOKUP(L471,Camion!A:D, 3, FALSE))</f>
        <v>0</v>
      </c>
      <c r="O471" s="66">
        <f>ROUND(K471/VLOOKUP(L471,Camion!A:D, 3, FALSE) - N471,2)</f>
        <v>0.76</v>
      </c>
      <c r="P471" s="65"/>
    </row>
    <row r="472" spans="1:16" x14ac:dyDescent="0.25">
      <c r="A472" s="7">
        <v>21</v>
      </c>
      <c r="B472" s="62" t="s">
        <v>184</v>
      </c>
      <c r="C472" s="63" t="s">
        <v>1</v>
      </c>
      <c r="D472" s="63" t="s">
        <v>128</v>
      </c>
      <c r="E472" s="63" t="s">
        <v>71</v>
      </c>
      <c r="F472" s="63" t="s">
        <v>138</v>
      </c>
      <c r="G472" s="63">
        <v>314</v>
      </c>
      <c r="H472" s="63" t="s">
        <v>139</v>
      </c>
      <c r="I472" s="63">
        <f>INDEX(Matériel!A:Z, MATCH(E472, Matériel!A:A, 0), MATCH(H472, INDEX(Matériel!A:Z, MATCH(E472, Matériel!A:A, 0), 0), 0) + 1)</f>
        <v>150</v>
      </c>
      <c r="J472" s="63">
        <f t="shared" ref="J472:J479" si="46">ROUNDUP(G472 / I472, 0)</f>
        <v>3</v>
      </c>
      <c r="K472" s="63">
        <f>VLOOKUP(H472,Manutention!A:E, 3, FALSE) * J472</f>
        <v>9</v>
      </c>
      <c r="L472" s="63" t="s">
        <v>164</v>
      </c>
      <c r="M472" s="63">
        <f>ROUNDUP(K472/VLOOKUP(L472,Camion!A:D, 3, FALSE),0)</f>
        <v>1</v>
      </c>
      <c r="N472" s="63">
        <f>INT(K472/VLOOKUP(L472,Camion!A:D, 3, FALSE))</f>
        <v>1</v>
      </c>
      <c r="O472" s="64">
        <f>ROUND(K472/VLOOKUP(L472,Camion!A:D, 3, FALSE) - N472,2)</f>
        <v>0</v>
      </c>
      <c r="P472" s="63" t="s">
        <v>130</v>
      </c>
    </row>
    <row r="473" spans="1:16" x14ac:dyDescent="0.25">
      <c r="A473" s="7">
        <v>21</v>
      </c>
      <c r="B473" s="62" t="s">
        <v>184</v>
      </c>
      <c r="C473" s="63" t="s">
        <v>1</v>
      </c>
      <c r="D473" s="63" t="s">
        <v>135</v>
      </c>
      <c r="E473" s="63" t="s">
        <v>72</v>
      </c>
      <c r="F473" s="63" t="s">
        <v>138</v>
      </c>
      <c r="G473" s="63">
        <v>961</v>
      </c>
      <c r="H473" s="63" t="s">
        <v>143</v>
      </c>
      <c r="I473" s="63">
        <f>INDEX(Matériel!A:Z, MATCH(E473, Matériel!A:A, 0), MATCH(H473, INDEX(Matériel!A:Z, MATCH(E473, Matériel!A:A, 0), 0), 0) + 1)</f>
        <v>1000</v>
      </c>
      <c r="J473" s="63">
        <f t="shared" si="46"/>
        <v>1</v>
      </c>
      <c r="K473" s="63">
        <f>VLOOKUP(H473,Manutention!A:E, 3, FALSE) * J473</f>
        <v>1</v>
      </c>
      <c r="L473" s="63" t="s">
        <v>164</v>
      </c>
      <c r="M473" s="63">
        <f>ROUNDUP(K473/VLOOKUP(L473,Camion!A:D, 3, FALSE),0)</f>
        <v>1</v>
      </c>
      <c r="N473" s="63">
        <f>INT(K473/VLOOKUP(L473,Camion!A:D, 3, FALSE))</f>
        <v>0</v>
      </c>
      <c r="O473" s="64">
        <f>ROUND(K473/VLOOKUP(L473,Camion!A:D, 3, FALSE) - N473,2)</f>
        <v>0.11</v>
      </c>
      <c r="P473" s="63" t="s">
        <v>130</v>
      </c>
    </row>
    <row r="474" spans="1:16" x14ac:dyDescent="0.25">
      <c r="A474" s="7">
        <v>21</v>
      </c>
      <c r="B474" s="62" t="s">
        <v>184</v>
      </c>
      <c r="C474" s="63" t="s">
        <v>1</v>
      </c>
      <c r="D474" s="63" t="s">
        <v>135</v>
      </c>
      <c r="E474" s="63" t="s">
        <v>75</v>
      </c>
      <c r="F474" s="63" t="s">
        <v>127</v>
      </c>
      <c r="G474" s="63">
        <v>49</v>
      </c>
      <c r="H474" s="63" t="s">
        <v>136</v>
      </c>
      <c r="I474" s="63">
        <f>INDEX(Matériel!A:Z, MATCH(E474, Matériel!A:A, 0), MATCH(H474, INDEX(Matériel!A:Z, MATCH(E474, Matériel!A:A, 0), 0), 0) + 1)</f>
        <v>60</v>
      </c>
      <c r="J474" s="63">
        <f t="shared" si="46"/>
        <v>1</v>
      </c>
      <c r="K474" s="63">
        <f>VLOOKUP(H474,Manutention!A:E, 3, FALSE) * J474</f>
        <v>1</v>
      </c>
      <c r="L474" s="63" t="s">
        <v>164</v>
      </c>
      <c r="M474" s="63">
        <f>ROUNDUP(K474/VLOOKUP(L474,Camion!A:D, 3, FALSE),0)</f>
        <v>1</v>
      </c>
      <c r="N474" s="63">
        <f>INT(K474/VLOOKUP(L474,Camion!A:D, 3, FALSE))</f>
        <v>0</v>
      </c>
      <c r="O474" s="64">
        <f>ROUND(K474/VLOOKUP(L474,Camion!A:D, 3, FALSE) - N474,2)</f>
        <v>0.11</v>
      </c>
      <c r="P474" s="63" t="s">
        <v>129</v>
      </c>
    </row>
    <row r="475" spans="1:16" x14ac:dyDescent="0.25">
      <c r="A475" s="7">
        <v>21</v>
      </c>
      <c r="B475" s="62" t="s">
        <v>184</v>
      </c>
      <c r="C475" s="63" t="s">
        <v>1</v>
      </c>
      <c r="D475" s="63" t="s">
        <v>128</v>
      </c>
      <c r="E475" s="63" t="s">
        <v>76</v>
      </c>
      <c r="F475" s="63" t="s">
        <v>127</v>
      </c>
      <c r="G475" s="63">
        <v>24</v>
      </c>
      <c r="H475" s="63" t="s">
        <v>131</v>
      </c>
      <c r="I475" s="63">
        <f>INDEX(Matériel!A:Z, MATCH(E475, Matériel!A:A, 0), MATCH(H475, INDEX(Matériel!A:Z, MATCH(E475, Matériel!A:A, 0), 0), 0) + 1)</f>
        <v>100</v>
      </c>
      <c r="J475" s="63">
        <f t="shared" si="46"/>
        <v>1</v>
      </c>
      <c r="K475" s="63">
        <f>VLOOKUP(H475,Manutention!A:E, 3, FALSE) * J475</f>
        <v>1</v>
      </c>
      <c r="L475" s="63" t="s">
        <v>164</v>
      </c>
      <c r="M475" s="63">
        <f>ROUNDUP(K475/VLOOKUP(L475,Camion!A:D, 3, FALSE),0)</f>
        <v>1</v>
      </c>
      <c r="N475" s="63">
        <f>INT(K475/VLOOKUP(L475,Camion!A:D, 3, FALSE))</f>
        <v>0</v>
      </c>
      <c r="O475" s="64">
        <f>ROUND(K475/VLOOKUP(L475,Camion!A:D, 3, FALSE) - N475,2)</f>
        <v>0.11</v>
      </c>
      <c r="P475" s="63" t="s">
        <v>129</v>
      </c>
    </row>
    <row r="476" spans="1:16" x14ac:dyDescent="0.25">
      <c r="A476" s="7">
        <v>21</v>
      </c>
      <c r="B476" s="62" t="s">
        <v>184</v>
      </c>
      <c r="C476" s="63" t="s">
        <v>1</v>
      </c>
      <c r="D476" s="63" t="s">
        <v>135</v>
      </c>
      <c r="E476" s="63" t="s">
        <v>77</v>
      </c>
      <c r="F476" s="63" t="s">
        <v>127</v>
      </c>
      <c r="G476" s="63">
        <v>206</v>
      </c>
      <c r="H476" s="63" t="s">
        <v>131</v>
      </c>
      <c r="I476" s="63">
        <f>INDEX(Matériel!A:Z, MATCH(E476, Matériel!A:A, 0), MATCH(H476, INDEX(Matériel!A:Z, MATCH(E476, Matériel!A:A, 0), 0), 0) + 1)</f>
        <v>20</v>
      </c>
      <c r="J476" s="63">
        <f t="shared" si="46"/>
        <v>11</v>
      </c>
      <c r="K476" s="63">
        <f>VLOOKUP(H476,Manutention!A:E, 3, FALSE) * J476</f>
        <v>11</v>
      </c>
      <c r="L476" s="63" t="s">
        <v>165</v>
      </c>
      <c r="M476" s="63">
        <f>ROUNDUP(K476/VLOOKUP(L476,Camion!A:D, 3, FALSE),0)</f>
        <v>1</v>
      </c>
      <c r="N476" s="63">
        <f>INT(K476/VLOOKUP(L476,Camion!A:D, 3, FALSE))</f>
        <v>0</v>
      </c>
      <c r="O476" s="64">
        <f>ROUND(K476/VLOOKUP(L476,Camion!A:D, 3, FALSE) - N476,2)</f>
        <v>0.92</v>
      </c>
      <c r="P476" s="63" t="s">
        <v>129</v>
      </c>
    </row>
    <row r="477" spans="1:16" x14ac:dyDescent="0.25">
      <c r="A477" s="7">
        <v>21</v>
      </c>
      <c r="B477" s="62" t="s">
        <v>184</v>
      </c>
      <c r="C477" s="63" t="s">
        <v>1</v>
      </c>
      <c r="D477" s="63" t="s">
        <v>135</v>
      </c>
      <c r="E477" s="63" t="s">
        <v>78</v>
      </c>
      <c r="F477" s="63" t="s">
        <v>127</v>
      </c>
      <c r="G477" s="63">
        <v>4</v>
      </c>
      <c r="H477" s="63" t="s">
        <v>133</v>
      </c>
      <c r="I477" s="63">
        <f>INDEX(Matériel!A:Z, MATCH(E477, Matériel!A:A, 0), MATCH(H477, INDEX(Matériel!A:Z, MATCH(E477, Matériel!A:A, 0), 0), 0) + 1)</f>
        <v>1</v>
      </c>
      <c r="J477" s="63">
        <f t="shared" si="46"/>
        <v>4</v>
      </c>
      <c r="K477" s="63">
        <f>VLOOKUP(H477,Manutention!A:E, 3, FALSE) * J477</f>
        <v>8</v>
      </c>
      <c r="L477" s="63" t="s">
        <v>164</v>
      </c>
      <c r="M477" s="63">
        <f>ROUNDUP(K477/VLOOKUP(L477,Camion!A:D, 3, FALSE),0)</f>
        <v>1</v>
      </c>
      <c r="N477" s="63">
        <f>INT(K477/VLOOKUP(L477,Camion!A:D, 3, FALSE))</f>
        <v>0</v>
      </c>
      <c r="O477" s="64">
        <f>ROUND(K477/VLOOKUP(L477,Camion!A:D, 3, FALSE) - N477,2)</f>
        <v>0.89</v>
      </c>
      <c r="P477" s="63" t="s">
        <v>129</v>
      </c>
    </row>
    <row r="478" spans="1:16" x14ac:dyDescent="0.25">
      <c r="A478" s="7">
        <v>21</v>
      </c>
      <c r="B478" s="62" t="s">
        <v>184</v>
      </c>
      <c r="C478" s="63" t="s">
        <v>1</v>
      </c>
      <c r="D478" s="63" t="s">
        <v>135</v>
      </c>
      <c r="E478" s="63" t="s">
        <v>79</v>
      </c>
      <c r="F478" s="63" t="s">
        <v>127</v>
      </c>
      <c r="G478" s="63">
        <v>3</v>
      </c>
      <c r="H478" s="63" t="s">
        <v>133</v>
      </c>
      <c r="I478" s="63">
        <f>INDEX(Matériel!A:Z, MATCH(E478, Matériel!A:A, 0), MATCH(H478, INDEX(Matériel!A:Z, MATCH(E478, Matériel!A:A, 0), 0), 0) + 1)</f>
        <v>1</v>
      </c>
      <c r="J478" s="63">
        <f t="shared" si="46"/>
        <v>3</v>
      </c>
      <c r="K478" s="63">
        <f>VLOOKUP(H478,Manutention!A:E, 3, FALSE) * J478</f>
        <v>6</v>
      </c>
      <c r="L478" s="63" t="s">
        <v>164</v>
      </c>
      <c r="M478" s="63">
        <f>ROUNDUP(K478/VLOOKUP(L478,Camion!A:D, 3, FALSE),0)</f>
        <v>1</v>
      </c>
      <c r="N478" s="63">
        <f>INT(K478/VLOOKUP(L478,Camion!A:D, 3, FALSE))</f>
        <v>0</v>
      </c>
      <c r="O478" s="64">
        <f>ROUND(K478/VLOOKUP(L478,Camion!A:D, 3, FALSE) - N478,2)</f>
        <v>0.67</v>
      </c>
      <c r="P478" s="63" t="s">
        <v>129</v>
      </c>
    </row>
    <row r="479" spans="1:16" x14ac:dyDescent="0.25">
      <c r="A479" s="7">
        <v>21</v>
      </c>
      <c r="B479" s="62" t="s">
        <v>184</v>
      </c>
      <c r="C479" s="63" t="s">
        <v>1</v>
      </c>
      <c r="D479" s="63" t="s">
        <v>128</v>
      </c>
      <c r="E479" s="63" t="s">
        <v>81</v>
      </c>
      <c r="F479" s="63" t="s">
        <v>127</v>
      </c>
      <c r="G479" s="63">
        <v>9</v>
      </c>
      <c r="H479" s="63" t="s">
        <v>131</v>
      </c>
      <c r="I479" s="63">
        <f>INDEX(Matériel!A:Z, MATCH(E479, Matériel!A:A, 0), MATCH(H479, INDEX(Matériel!A:Z, MATCH(E479, Matériel!A:A, 0), 0), 0) + 1)</f>
        <v>100</v>
      </c>
      <c r="J479" s="63">
        <f t="shared" si="46"/>
        <v>1</v>
      </c>
      <c r="K479" s="63">
        <f>VLOOKUP(H479,Manutention!A:E, 3, FALSE) * J479</f>
        <v>1</v>
      </c>
      <c r="L479" s="63" t="s">
        <v>164</v>
      </c>
      <c r="M479" s="63">
        <f>ROUNDUP(K479/VLOOKUP(L479,Camion!A:D, 3, FALSE),0)</f>
        <v>1</v>
      </c>
      <c r="N479" s="63">
        <f>INT(K479/VLOOKUP(L479,Camion!A:D, 3, FALSE))</f>
        <v>0</v>
      </c>
      <c r="O479" s="64">
        <f>ROUND(K479/VLOOKUP(L479,Camion!A:D, 3, FALSE) - N479,2)</f>
        <v>0.11</v>
      </c>
      <c r="P479" s="63" t="s">
        <v>130</v>
      </c>
    </row>
    <row r="480" spans="1:16" x14ac:dyDescent="0.25">
      <c r="A480" s="7">
        <v>21</v>
      </c>
      <c r="B480" s="5" t="s">
        <v>184</v>
      </c>
      <c r="C480" s="65"/>
      <c r="D480" s="65"/>
      <c r="E480" s="65" t="s">
        <v>187</v>
      </c>
      <c r="F480" s="65"/>
      <c r="G480" s="65"/>
      <c r="H480" s="65" t="s">
        <v>131</v>
      </c>
      <c r="I480" s="65"/>
      <c r="J480" s="65"/>
      <c r="K480" s="65">
        <f>SUMIFS(K:K, A:A, 21, B:B, "Z1 Z2", P:P, "Oui", D:D, "Production")</f>
        <v>1</v>
      </c>
      <c r="L480" s="65" t="s">
        <v>164</v>
      </c>
      <c r="M480" s="65">
        <f>ROUNDUP(K480/VLOOKUP(L480,Camion!A:D, 3, FALSE),0)</f>
        <v>1</v>
      </c>
      <c r="N480" s="65">
        <f>INT(K480/VLOOKUP(L480,Camion!A:D, 3, FALSE))</f>
        <v>0</v>
      </c>
      <c r="O480" s="66">
        <f>ROUND(K480/VLOOKUP(L480,Camion!A:D, 3, FALSE) - N480,2)</f>
        <v>0.11</v>
      </c>
      <c r="P480" s="65"/>
    </row>
    <row r="481" spans="1:16" x14ac:dyDescent="0.25">
      <c r="A481" s="7">
        <v>21</v>
      </c>
      <c r="B481" s="5" t="s">
        <v>184</v>
      </c>
      <c r="C481" s="65"/>
      <c r="D481" s="65"/>
      <c r="E481" s="65" t="s">
        <v>188</v>
      </c>
      <c r="F481" s="65"/>
      <c r="G481" s="65"/>
      <c r="H481" s="65" t="s">
        <v>131</v>
      </c>
      <c r="I481" s="65"/>
      <c r="J481" s="65"/>
      <c r="K481" s="65">
        <f>SUMIFS(K:K, A:A, 21, B:B, "Z1 Z2", P:P, "Oui", D:D, "Terminaux")</f>
        <v>26</v>
      </c>
      <c r="L481" s="65" t="s">
        <v>168</v>
      </c>
      <c r="M481" s="65">
        <f>ROUNDUP(K481/VLOOKUP(L481,Camion!A:D, 3, FALSE),0)</f>
        <v>1</v>
      </c>
      <c r="N481" s="65">
        <f>INT(K481/VLOOKUP(L481,Camion!A:D, 3, FALSE))</f>
        <v>0</v>
      </c>
      <c r="O481" s="66">
        <f>ROUND(K481/VLOOKUP(L481,Camion!A:D, 3, FALSE) - N481,2)</f>
        <v>0.76</v>
      </c>
      <c r="P481" s="65"/>
    </row>
    <row r="482" spans="1:16" x14ac:dyDescent="0.25">
      <c r="A482" s="7">
        <v>21</v>
      </c>
      <c r="B482" s="62" t="s">
        <v>185</v>
      </c>
      <c r="C482" s="63" t="s">
        <v>1</v>
      </c>
      <c r="D482" s="63" t="s">
        <v>128</v>
      </c>
      <c r="E482" s="63" t="s">
        <v>71</v>
      </c>
      <c r="F482" s="63" t="s">
        <v>138</v>
      </c>
      <c r="G482" s="63">
        <v>309</v>
      </c>
      <c r="H482" s="63" t="s">
        <v>139</v>
      </c>
      <c r="I482" s="63">
        <f>INDEX(Matériel!A:Z, MATCH(E482, Matériel!A:A, 0), MATCH(H482, INDEX(Matériel!A:Z, MATCH(E482, Matériel!A:A, 0), 0), 0) + 1)</f>
        <v>150</v>
      </c>
      <c r="J482" s="63">
        <f t="shared" ref="J482:J489" si="47">ROUNDUP(G482 / I482, 0)</f>
        <v>3</v>
      </c>
      <c r="K482" s="63">
        <f>VLOOKUP(H482,Manutention!A:E, 3, FALSE) * J482</f>
        <v>9</v>
      </c>
      <c r="L482" s="63" t="s">
        <v>164</v>
      </c>
      <c r="M482" s="63">
        <f>ROUNDUP(K482/VLOOKUP(L482,Camion!A:D, 3, FALSE),0)</f>
        <v>1</v>
      </c>
      <c r="N482" s="63">
        <f>INT(K482/VLOOKUP(L482,Camion!A:D, 3, FALSE))</f>
        <v>1</v>
      </c>
      <c r="O482" s="64">
        <f>ROUND(K482/VLOOKUP(L482,Camion!A:D, 3, FALSE) - N482,2)</f>
        <v>0</v>
      </c>
      <c r="P482" s="63" t="s">
        <v>130</v>
      </c>
    </row>
    <row r="483" spans="1:16" x14ac:dyDescent="0.25">
      <c r="A483" s="7">
        <v>21</v>
      </c>
      <c r="B483" s="62" t="s">
        <v>185</v>
      </c>
      <c r="C483" s="63" t="s">
        <v>1</v>
      </c>
      <c r="D483" s="63" t="s">
        <v>135</v>
      </c>
      <c r="E483" s="63" t="s">
        <v>72</v>
      </c>
      <c r="F483" s="63" t="s">
        <v>138</v>
      </c>
      <c r="G483" s="63">
        <v>947</v>
      </c>
      <c r="H483" s="63" t="s">
        <v>143</v>
      </c>
      <c r="I483" s="63">
        <f>INDEX(Matériel!A:Z, MATCH(E483, Matériel!A:A, 0), MATCH(H483, INDEX(Matériel!A:Z, MATCH(E483, Matériel!A:A, 0), 0), 0) + 1)</f>
        <v>1000</v>
      </c>
      <c r="J483" s="63">
        <f t="shared" si="47"/>
        <v>1</v>
      </c>
      <c r="K483" s="63">
        <f>VLOOKUP(H483,Manutention!A:E, 3, FALSE) * J483</f>
        <v>1</v>
      </c>
      <c r="L483" s="63" t="s">
        <v>164</v>
      </c>
      <c r="M483" s="63">
        <f>ROUNDUP(K483/VLOOKUP(L483,Camion!A:D, 3, FALSE),0)</f>
        <v>1</v>
      </c>
      <c r="N483" s="63">
        <f>INT(K483/VLOOKUP(L483,Camion!A:D, 3, FALSE))</f>
        <v>0</v>
      </c>
      <c r="O483" s="64">
        <f>ROUND(K483/VLOOKUP(L483,Camion!A:D, 3, FALSE) - N483,2)</f>
        <v>0.11</v>
      </c>
      <c r="P483" s="63" t="s">
        <v>130</v>
      </c>
    </row>
    <row r="484" spans="1:16" x14ac:dyDescent="0.25">
      <c r="A484" s="7">
        <v>21</v>
      </c>
      <c r="B484" s="62" t="s">
        <v>185</v>
      </c>
      <c r="C484" s="63" t="s">
        <v>1</v>
      </c>
      <c r="D484" s="63" t="s">
        <v>135</v>
      </c>
      <c r="E484" s="63" t="s">
        <v>75</v>
      </c>
      <c r="F484" s="63" t="s">
        <v>127</v>
      </c>
      <c r="G484" s="63">
        <v>48</v>
      </c>
      <c r="H484" s="63" t="s">
        <v>136</v>
      </c>
      <c r="I484" s="63">
        <f>INDEX(Matériel!A:Z, MATCH(E484, Matériel!A:A, 0), MATCH(H484, INDEX(Matériel!A:Z, MATCH(E484, Matériel!A:A, 0), 0), 0) + 1)</f>
        <v>60</v>
      </c>
      <c r="J484" s="63">
        <f t="shared" si="47"/>
        <v>1</v>
      </c>
      <c r="K484" s="63">
        <f>VLOOKUP(H484,Manutention!A:E, 3, FALSE) * J484</f>
        <v>1</v>
      </c>
      <c r="L484" s="63" t="s">
        <v>164</v>
      </c>
      <c r="M484" s="63">
        <f>ROUNDUP(K484/VLOOKUP(L484,Camion!A:D, 3, FALSE),0)</f>
        <v>1</v>
      </c>
      <c r="N484" s="63">
        <f>INT(K484/VLOOKUP(L484,Camion!A:D, 3, FALSE))</f>
        <v>0</v>
      </c>
      <c r="O484" s="64">
        <f>ROUND(K484/VLOOKUP(L484,Camion!A:D, 3, FALSE) - N484,2)</f>
        <v>0.11</v>
      </c>
      <c r="P484" s="63" t="s">
        <v>129</v>
      </c>
    </row>
    <row r="485" spans="1:16" x14ac:dyDescent="0.25">
      <c r="A485" s="7">
        <v>21</v>
      </c>
      <c r="B485" s="62" t="s">
        <v>185</v>
      </c>
      <c r="C485" s="63" t="s">
        <v>1</v>
      </c>
      <c r="D485" s="63" t="s">
        <v>128</v>
      </c>
      <c r="E485" s="63" t="s">
        <v>76</v>
      </c>
      <c r="F485" s="63" t="s">
        <v>127</v>
      </c>
      <c r="G485" s="63">
        <v>24</v>
      </c>
      <c r="H485" s="63" t="s">
        <v>131</v>
      </c>
      <c r="I485" s="63">
        <f>INDEX(Matériel!A:Z, MATCH(E485, Matériel!A:A, 0), MATCH(H485, INDEX(Matériel!A:Z, MATCH(E485, Matériel!A:A, 0), 0), 0) + 1)</f>
        <v>100</v>
      </c>
      <c r="J485" s="63">
        <f t="shared" si="47"/>
        <v>1</v>
      </c>
      <c r="K485" s="63">
        <f>VLOOKUP(H485,Manutention!A:E, 3, FALSE) * J485</f>
        <v>1</v>
      </c>
      <c r="L485" s="63" t="s">
        <v>164</v>
      </c>
      <c r="M485" s="63">
        <f>ROUNDUP(K485/VLOOKUP(L485,Camion!A:D, 3, FALSE),0)</f>
        <v>1</v>
      </c>
      <c r="N485" s="63">
        <f>INT(K485/VLOOKUP(L485,Camion!A:D, 3, FALSE))</f>
        <v>0</v>
      </c>
      <c r="O485" s="64">
        <f>ROUND(K485/VLOOKUP(L485,Camion!A:D, 3, FALSE) - N485,2)</f>
        <v>0.11</v>
      </c>
      <c r="P485" s="63" t="s">
        <v>129</v>
      </c>
    </row>
    <row r="486" spans="1:16" x14ac:dyDescent="0.25">
      <c r="A486" s="7">
        <v>21</v>
      </c>
      <c r="B486" s="62" t="s">
        <v>185</v>
      </c>
      <c r="C486" s="63" t="s">
        <v>1</v>
      </c>
      <c r="D486" s="63" t="s">
        <v>135</v>
      </c>
      <c r="E486" s="63" t="s">
        <v>77</v>
      </c>
      <c r="F486" s="63" t="s">
        <v>127</v>
      </c>
      <c r="G486" s="63">
        <v>202</v>
      </c>
      <c r="H486" s="63" t="s">
        <v>131</v>
      </c>
      <c r="I486" s="63">
        <f>INDEX(Matériel!A:Z, MATCH(E486, Matériel!A:A, 0), MATCH(H486, INDEX(Matériel!A:Z, MATCH(E486, Matériel!A:A, 0), 0), 0) + 1)</f>
        <v>20</v>
      </c>
      <c r="J486" s="63">
        <f t="shared" si="47"/>
        <v>11</v>
      </c>
      <c r="K486" s="63">
        <f>VLOOKUP(H486,Manutention!A:E, 3, FALSE) * J486</f>
        <v>11</v>
      </c>
      <c r="L486" s="63" t="s">
        <v>165</v>
      </c>
      <c r="M486" s="63">
        <f>ROUNDUP(K486/VLOOKUP(L486,Camion!A:D, 3, FALSE),0)</f>
        <v>1</v>
      </c>
      <c r="N486" s="63">
        <f>INT(K486/VLOOKUP(L486,Camion!A:D, 3, FALSE))</f>
        <v>0</v>
      </c>
      <c r="O486" s="64">
        <f>ROUND(K486/VLOOKUP(L486,Camion!A:D, 3, FALSE) - N486,2)</f>
        <v>0.92</v>
      </c>
      <c r="P486" s="63" t="s">
        <v>129</v>
      </c>
    </row>
    <row r="487" spans="1:16" x14ac:dyDescent="0.25">
      <c r="A487" s="7">
        <v>21</v>
      </c>
      <c r="B487" s="62" t="s">
        <v>185</v>
      </c>
      <c r="C487" s="63" t="s">
        <v>1</v>
      </c>
      <c r="D487" s="63" t="s">
        <v>135</v>
      </c>
      <c r="E487" s="63" t="s">
        <v>78</v>
      </c>
      <c r="F487" s="63" t="s">
        <v>127</v>
      </c>
      <c r="G487" s="63">
        <v>4</v>
      </c>
      <c r="H487" s="63" t="s">
        <v>133</v>
      </c>
      <c r="I487" s="63">
        <f>INDEX(Matériel!A:Z, MATCH(E487, Matériel!A:A, 0), MATCH(H487, INDEX(Matériel!A:Z, MATCH(E487, Matériel!A:A, 0), 0), 0) + 1)</f>
        <v>1</v>
      </c>
      <c r="J487" s="63">
        <f t="shared" si="47"/>
        <v>4</v>
      </c>
      <c r="K487" s="63">
        <f>VLOOKUP(H487,Manutention!A:E, 3, FALSE) * J487</f>
        <v>8</v>
      </c>
      <c r="L487" s="63" t="s">
        <v>164</v>
      </c>
      <c r="M487" s="63">
        <f>ROUNDUP(K487/VLOOKUP(L487,Camion!A:D, 3, FALSE),0)</f>
        <v>1</v>
      </c>
      <c r="N487" s="63">
        <f>INT(K487/VLOOKUP(L487,Camion!A:D, 3, FALSE))</f>
        <v>0</v>
      </c>
      <c r="O487" s="64">
        <f>ROUND(K487/VLOOKUP(L487,Camion!A:D, 3, FALSE) - N487,2)</f>
        <v>0.89</v>
      </c>
      <c r="P487" s="63" t="s">
        <v>129</v>
      </c>
    </row>
    <row r="488" spans="1:16" x14ac:dyDescent="0.25">
      <c r="A488" s="7">
        <v>21</v>
      </c>
      <c r="B488" s="62" t="s">
        <v>185</v>
      </c>
      <c r="C488" s="63" t="s">
        <v>1</v>
      </c>
      <c r="D488" s="63" t="s">
        <v>135</v>
      </c>
      <c r="E488" s="63" t="s">
        <v>79</v>
      </c>
      <c r="F488" s="63" t="s">
        <v>127</v>
      </c>
      <c r="G488" s="63">
        <v>3</v>
      </c>
      <c r="H488" s="63" t="s">
        <v>133</v>
      </c>
      <c r="I488" s="63">
        <f>INDEX(Matériel!A:Z, MATCH(E488, Matériel!A:A, 0), MATCH(H488, INDEX(Matériel!A:Z, MATCH(E488, Matériel!A:A, 0), 0), 0) + 1)</f>
        <v>1</v>
      </c>
      <c r="J488" s="63">
        <f t="shared" si="47"/>
        <v>3</v>
      </c>
      <c r="K488" s="63">
        <f>VLOOKUP(H488,Manutention!A:E, 3, FALSE) * J488</f>
        <v>6</v>
      </c>
      <c r="L488" s="63" t="s">
        <v>164</v>
      </c>
      <c r="M488" s="63">
        <f>ROUNDUP(K488/VLOOKUP(L488,Camion!A:D, 3, FALSE),0)</f>
        <v>1</v>
      </c>
      <c r="N488" s="63">
        <f>INT(K488/VLOOKUP(L488,Camion!A:D, 3, FALSE))</f>
        <v>0</v>
      </c>
      <c r="O488" s="64">
        <f>ROUND(K488/VLOOKUP(L488,Camion!A:D, 3, FALSE) - N488,2)</f>
        <v>0.67</v>
      </c>
      <c r="P488" s="63" t="s">
        <v>129</v>
      </c>
    </row>
    <row r="489" spans="1:16" x14ac:dyDescent="0.25">
      <c r="A489" s="7">
        <v>21</v>
      </c>
      <c r="B489" s="62" t="s">
        <v>185</v>
      </c>
      <c r="C489" s="63" t="s">
        <v>1</v>
      </c>
      <c r="D489" s="63" t="s">
        <v>128</v>
      </c>
      <c r="E489" s="63" t="s">
        <v>81</v>
      </c>
      <c r="F489" s="63" t="s">
        <v>127</v>
      </c>
      <c r="G489" s="63">
        <v>9</v>
      </c>
      <c r="H489" s="63" t="s">
        <v>131</v>
      </c>
      <c r="I489" s="63">
        <f>INDEX(Matériel!A:Z, MATCH(E489, Matériel!A:A, 0), MATCH(H489, INDEX(Matériel!A:Z, MATCH(E489, Matériel!A:A, 0), 0), 0) + 1)</f>
        <v>100</v>
      </c>
      <c r="J489" s="63">
        <f t="shared" si="47"/>
        <v>1</v>
      </c>
      <c r="K489" s="63">
        <f>VLOOKUP(H489,Manutention!A:E, 3, FALSE) * J489</f>
        <v>1</v>
      </c>
      <c r="L489" s="63" t="s">
        <v>164</v>
      </c>
      <c r="M489" s="63">
        <f>ROUNDUP(K489/VLOOKUP(L489,Camion!A:D, 3, FALSE),0)</f>
        <v>1</v>
      </c>
      <c r="N489" s="63">
        <f>INT(K489/VLOOKUP(L489,Camion!A:D, 3, FALSE))</f>
        <v>0</v>
      </c>
      <c r="O489" s="64">
        <f>ROUND(K489/VLOOKUP(L489,Camion!A:D, 3, FALSE) - N489,2)</f>
        <v>0.11</v>
      </c>
      <c r="P489" s="63" t="s">
        <v>130</v>
      </c>
    </row>
    <row r="490" spans="1:16" x14ac:dyDescent="0.25">
      <c r="A490" s="7">
        <v>21</v>
      </c>
      <c r="B490" s="5" t="s">
        <v>185</v>
      </c>
      <c r="C490" s="65"/>
      <c r="D490" s="65"/>
      <c r="E490" s="65" t="s">
        <v>187</v>
      </c>
      <c r="F490" s="65"/>
      <c r="G490" s="65"/>
      <c r="H490" s="65" t="s">
        <v>131</v>
      </c>
      <c r="I490" s="65"/>
      <c r="J490" s="65"/>
      <c r="K490" s="65">
        <f>SUMIFS(K:K, A:A, 21, B:B, "Z3 Z4", P:P, "Oui", D:D, "Production")</f>
        <v>1</v>
      </c>
      <c r="L490" s="65" t="s">
        <v>164</v>
      </c>
      <c r="M490" s="65">
        <f>ROUNDUP(K490/VLOOKUP(L490,Camion!A:D, 3, FALSE),0)</f>
        <v>1</v>
      </c>
      <c r="N490" s="65">
        <f>INT(K490/VLOOKUP(L490,Camion!A:D, 3, FALSE))</f>
        <v>0</v>
      </c>
      <c r="O490" s="66">
        <f>ROUND(K490/VLOOKUP(L490,Camion!A:D, 3, FALSE) - N490,2)</f>
        <v>0.11</v>
      </c>
      <c r="P490" s="65"/>
    </row>
    <row r="491" spans="1:16" x14ac:dyDescent="0.25">
      <c r="A491" s="7">
        <v>21</v>
      </c>
      <c r="B491" s="5" t="s">
        <v>185</v>
      </c>
      <c r="C491" s="65"/>
      <c r="D491" s="65"/>
      <c r="E491" s="65" t="s">
        <v>188</v>
      </c>
      <c r="F491" s="65"/>
      <c r="G491" s="65"/>
      <c r="H491" s="65" t="s">
        <v>131</v>
      </c>
      <c r="I491" s="65"/>
      <c r="J491" s="65"/>
      <c r="K491" s="65">
        <f>SUMIFS(K:K, A:A, 21, B:B, "Z3 Z4", P:P, "Oui", D:D, "Terminaux")</f>
        <v>26</v>
      </c>
      <c r="L491" s="65" t="s">
        <v>168</v>
      </c>
      <c r="M491" s="65">
        <f>ROUNDUP(K491/VLOOKUP(L491,Camion!A:D, 3, FALSE),0)</f>
        <v>1</v>
      </c>
      <c r="N491" s="65">
        <f>INT(K491/VLOOKUP(L491,Camion!A:D, 3, FALSE))</f>
        <v>0</v>
      </c>
      <c r="O491" s="66">
        <f>ROUND(K491/VLOOKUP(L491,Camion!A:D, 3, FALSE) - N491,2)</f>
        <v>0.76</v>
      </c>
      <c r="P491" s="65"/>
    </row>
    <row r="492" spans="1:16" x14ac:dyDescent="0.25">
      <c r="A492" s="7">
        <v>22</v>
      </c>
      <c r="B492" s="62" t="s">
        <v>184</v>
      </c>
      <c r="C492" s="63" t="s">
        <v>1</v>
      </c>
      <c r="D492" s="63" t="s">
        <v>128</v>
      </c>
      <c r="E492" s="63" t="s">
        <v>71</v>
      </c>
      <c r="F492" s="63" t="s">
        <v>138</v>
      </c>
      <c r="G492" s="63">
        <v>305</v>
      </c>
      <c r="H492" s="63" t="s">
        <v>139</v>
      </c>
      <c r="I492" s="63">
        <f>INDEX(Matériel!A:Z, MATCH(E492, Matériel!A:A, 0), MATCH(H492, INDEX(Matériel!A:Z, MATCH(E492, Matériel!A:A, 0), 0), 0) + 1)</f>
        <v>150</v>
      </c>
      <c r="J492" s="63">
        <f t="shared" ref="J492:J499" si="48">ROUNDUP(G492 / I492, 0)</f>
        <v>3</v>
      </c>
      <c r="K492" s="63">
        <f>VLOOKUP(H492,Manutention!A:E, 3, FALSE) * J492</f>
        <v>9</v>
      </c>
      <c r="L492" s="63" t="s">
        <v>164</v>
      </c>
      <c r="M492" s="63">
        <f>ROUNDUP(K492/VLOOKUP(L492,Camion!A:D, 3, FALSE),0)</f>
        <v>1</v>
      </c>
      <c r="N492" s="63">
        <f>INT(K492/VLOOKUP(L492,Camion!A:D, 3, FALSE))</f>
        <v>1</v>
      </c>
      <c r="O492" s="64">
        <f>ROUND(K492/VLOOKUP(L492,Camion!A:D, 3, FALSE) - N492,2)</f>
        <v>0</v>
      </c>
      <c r="P492" s="63" t="s">
        <v>130</v>
      </c>
    </row>
    <row r="493" spans="1:16" x14ac:dyDescent="0.25">
      <c r="A493" s="7">
        <v>22</v>
      </c>
      <c r="B493" s="62" t="s">
        <v>184</v>
      </c>
      <c r="C493" s="63" t="s">
        <v>1</v>
      </c>
      <c r="D493" s="63" t="s">
        <v>135</v>
      </c>
      <c r="E493" s="63" t="s">
        <v>72</v>
      </c>
      <c r="F493" s="63" t="s">
        <v>138</v>
      </c>
      <c r="G493" s="63">
        <v>933</v>
      </c>
      <c r="H493" s="63" t="s">
        <v>143</v>
      </c>
      <c r="I493" s="63">
        <f>INDEX(Matériel!A:Z, MATCH(E493, Matériel!A:A, 0), MATCH(H493, INDEX(Matériel!A:Z, MATCH(E493, Matériel!A:A, 0), 0), 0) + 1)</f>
        <v>1000</v>
      </c>
      <c r="J493" s="63">
        <f t="shared" si="48"/>
        <v>1</v>
      </c>
      <c r="K493" s="63">
        <f>VLOOKUP(H493,Manutention!A:E, 3, FALSE) * J493</f>
        <v>1</v>
      </c>
      <c r="L493" s="63" t="s">
        <v>164</v>
      </c>
      <c r="M493" s="63">
        <f>ROUNDUP(K493/VLOOKUP(L493,Camion!A:D, 3, FALSE),0)</f>
        <v>1</v>
      </c>
      <c r="N493" s="63">
        <f>INT(K493/VLOOKUP(L493,Camion!A:D, 3, FALSE))</f>
        <v>0</v>
      </c>
      <c r="O493" s="64">
        <f>ROUND(K493/VLOOKUP(L493,Camion!A:D, 3, FALSE) - N493,2)</f>
        <v>0.11</v>
      </c>
      <c r="P493" s="63" t="s">
        <v>130</v>
      </c>
    </row>
    <row r="494" spans="1:16" x14ac:dyDescent="0.25">
      <c r="A494" s="7">
        <v>22</v>
      </c>
      <c r="B494" s="62" t="s">
        <v>184</v>
      </c>
      <c r="C494" s="63" t="s">
        <v>1</v>
      </c>
      <c r="D494" s="63" t="s">
        <v>135</v>
      </c>
      <c r="E494" s="63" t="s">
        <v>75</v>
      </c>
      <c r="F494" s="63" t="s">
        <v>127</v>
      </c>
      <c r="G494" s="63">
        <v>48</v>
      </c>
      <c r="H494" s="63" t="s">
        <v>136</v>
      </c>
      <c r="I494" s="63">
        <f>INDEX(Matériel!A:Z, MATCH(E494, Matériel!A:A, 0), MATCH(H494, INDEX(Matériel!A:Z, MATCH(E494, Matériel!A:A, 0), 0), 0) + 1)</f>
        <v>60</v>
      </c>
      <c r="J494" s="63">
        <f t="shared" si="48"/>
        <v>1</v>
      </c>
      <c r="K494" s="63">
        <f>VLOOKUP(H494,Manutention!A:E, 3, FALSE) * J494</f>
        <v>1</v>
      </c>
      <c r="L494" s="63" t="s">
        <v>164</v>
      </c>
      <c r="M494" s="63">
        <f>ROUNDUP(K494/VLOOKUP(L494,Camion!A:D, 3, FALSE),0)</f>
        <v>1</v>
      </c>
      <c r="N494" s="63">
        <f>INT(K494/VLOOKUP(L494,Camion!A:D, 3, FALSE))</f>
        <v>0</v>
      </c>
      <c r="O494" s="64">
        <f>ROUND(K494/VLOOKUP(L494,Camion!A:D, 3, FALSE) - N494,2)</f>
        <v>0.11</v>
      </c>
      <c r="P494" s="63" t="s">
        <v>129</v>
      </c>
    </row>
    <row r="495" spans="1:16" x14ac:dyDescent="0.25">
      <c r="A495" s="7">
        <v>22</v>
      </c>
      <c r="B495" s="62" t="s">
        <v>184</v>
      </c>
      <c r="C495" s="63" t="s">
        <v>1</v>
      </c>
      <c r="D495" s="63" t="s">
        <v>128</v>
      </c>
      <c r="E495" s="63" t="s">
        <v>76</v>
      </c>
      <c r="F495" s="63" t="s">
        <v>127</v>
      </c>
      <c r="G495" s="63">
        <v>24</v>
      </c>
      <c r="H495" s="63" t="s">
        <v>131</v>
      </c>
      <c r="I495" s="63">
        <f>INDEX(Matériel!A:Z, MATCH(E495, Matériel!A:A, 0), MATCH(H495, INDEX(Matériel!A:Z, MATCH(E495, Matériel!A:A, 0), 0), 0) + 1)</f>
        <v>100</v>
      </c>
      <c r="J495" s="63">
        <f t="shared" si="48"/>
        <v>1</v>
      </c>
      <c r="K495" s="63">
        <f>VLOOKUP(H495,Manutention!A:E, 3, FALSE) * J495</f>
        <v>1</v>
      </c>
      <c r="L495" s="63" t="s">
        <v>164</v>
      </c>
      <c r="M495" s="63">
        <f>ROUNDUP(K495/VLOOKUP(L495,Camion!A:D, 3, FALSE),0)</f>
        <v>1</v>
      </c>
      <c r="N495" s="63">
        <f>INT(K495/VLOOKUP(L495,Camion!A:D, 3, FALSE))</f>
        <v>0</v>
      </c>
      <c r="O495" s="64">
        <f>ROUND(K495/VLOOKUP(L495,Camion!A:D, 3, FALSE) - N495,2)</f>
        <v>0.11</v>
      </c>
      <c r="P495" s="63" t="s">
        <v>129</v>
      </c>
    </row>
    <row r="496" spans="1:16" x14ac:dyDescent="0.25">
      <c r="A496" s="7">
        <v>22</v>
      </c>
      <c r="B496" s="62" t="s">
        <v>184</v>
      </c>
      <c r="C496" s="63" t="s">
        <v>1</v>
      </c>
      <c r="D496" s="63" t="s">
        <v>135</v>
      </c>
      <c r="E496" s="63" t="s">
        <v>77</v>
      </c>
      <c r="F496" s="63" t="s">
        <v>127</v>
      </c>
      <c r="G496" s="63">
        <v>199</v>
      </c>
      <c r="H496" s="63" t="s">
        <v>131</v>
      </c>
      <c r="I496" s="63">
        <f>INDEX(Matériel!A:Z, MATCH(E496, Matériel!A:A, 0), MATCH(H496, INDEX(Matériel!A:Z, MATCH(E496, Matériel!A:A, 0), 0), 0) + 1)</f>
        <v>20</v>
      </c>
      <c r="J496" s="63">
        <f t="shared" si="48"/>
        <v>10</v>
      </c>
      <c r="K496" s="63">
        <f>VLOOKUP(H496,Manutention!A:E, 3, FALSE) * J496</f>
        <v>10</v>
      </c>
      <c r="L496" s="63" t="s">
        <v>165</v>
      </c>
      <c r="M496" s="63">
        <f>ROUNDUP(K496/VLOOKUP(L496,Camion!A:D, 3, FALSE),0)</f>
        <v>1</v>
      </c>
      <c r="N496" s="63">
        <f>INT(K496/VLOOKUP(L496,Camion!A:D, 3, FALSE))</f>
        <v>0</v>
      </c>
      <c r="O496" s="64">
        <f>ROUND(K496/VLOOKUP(L496,Camion!A:D, 3, FALSE) - N496,2)</f>
        <v>0.83</v>
      </c>
      <c r="P496" s="63" t="s">
        <v>129</v>
      </c>
    </row>
    <row r="497" spans="1:16" x14ac:dyDescent="0.25">
      <c r="A497" s="7">
        <v>22</v>
      </c>
      <c r="B497" s="62" t="s">
        <v>184</v>
      </c>
      <c r="C497" s="63" t="s">
        <v>1</v>
      </c>
      <c r="D497" s="63" t="s">
        <v>135</v>
      </c>
      <c r="E497" s="63" t="s">
        <v>78</v>
      </c>
      <c r="F497" s="63" t="s">
        <v>127</v>
      </c>
      <c r="G497" s="63">
        <v>4</v>
      </c>
      <c r="H497" s="63" t="s">
        <v>133</v>
      </c>
      <c r="I497" s="63">
        <f>INDEX(Matériel!A:Z, MATCH(E497, Matériel!A:A, 0), MATCH(H497, INDEX(Matériel!A:Z, MATCH(E497, Matériel!A:A, 0), 0), 0) + 1)</f>
        <v>1</v>
      </c>
      <c r="J497" s="63">
        <f t="shared" si="48"/>
        <v>4</v>
      </c>
      <c r="K497" s="63">
        <f>VLOOKUP(H497,Manutention!A:E, 3, FALSE) * J497</f>
        <v>8</v>
      </c>
      <c r="L497" s="63" t="s">
        <v>164</v>
      </c>
      <c r="M497" s="63">
        <f>ROUNDUP(K497/VLOOKUP(L497,Camion!A:D, 3, FALSE),0)</f>
        <v>1</v>
      </c>
      <c r="N497" s="63">
        <f>INT(K497/VLOOKUP(L497,Camion!A:D, 3, FALSE))</f>
        <v>0</v>
      </c>
      <c r="O497" s="64">
        <f>ROUND(K497/VLOOKUP(L497,Camion!A:D, 3, FALSE) - N497,2)</f>
        <v>0.89</v>
      </c>
      <c r="P497" s="63" t="s">
        <v>129</v>
      </c>
    </row>
    <row r="498" spans="1:16" x14ac:dyDescent="0.25">
      <c r="A498" s="7">
        <v>22</v>
      </c>
      <c r="B498" s="62" t="s">
        <v>184</v>
      </c>
      <c r="C498" s="63" t="s">
        <v>1</v>
      </c>
      <c r="D498" s="63" t="s">
        <v>135</v>
      </c>
      <c r="E498" s="63" t="s">
        <v>79</v>
      </c>
      <c r="F498" s="63" t="s">
        <v>127</v>
      </c>
      <c r="G498" s="63">
        <v>3</v>
      </c>
      <c r="H498" s="63" t="s">
        <v>133</v>
      </c>
      <c r="I498" s="63">
        <f>INDEX(Matériel!A:Z, MATCH(E498, Matériel!A:A, 0), MATCH(H498, INDEX(Matériel!A:Z, MATCH(E498, Matériel!A:A, 0), 0), 0) + 1)</f>
        <v>1</v>
      </c>
      <c r="J498" s="63">
        <f t="shared" si="48"/>
        <v>3</v>
      </c>
      <c r="K498" s="63">
        <f>VLOOKUP(H498,Manutention!A:E, 3, FALSE) * J498</f>
        <v>6</v>
      </c>
      <c r="L498" s="63" t="s">
        <v>164</v>
      </c>
      <c r="M498" s="63">
        <f>ROUNDUP(K498/VLOOKUP(L498,Camion!A:D, 3, FALSE),0)</f>
        <v>1</v>
      </c>
      <c r="N498" s="63">
        <f>INT(K498/VLOOKUP(L498,Camion!A:D, 3, FALSE))</f>
        <v>0</v>
      </c>
      <c r="O498" s="64">
        <f>ROUND(K498/VLOOKUP(L498,Camion!A:D, 3, FALSE) - N498,2)</f>
        <v>0.67</v>
      </c>
      <c r="P498" s="63" t="s">
        <v>129</v>
      </c>
    </row>
    <row r="499" spans="1:16" x14ac:dyDescent="0.25">
      <c r="A499" s="7">
        <v>22</v>
      </c>
      <c r="B499" s="62" t="s">
        <v>184</v>
      </c>
      <c r="C499" s="63" t="s">
        <v>1</v>
      </c>
      <c r="D499" s="63" t="s">
        <v>128</v>
      </c>
      <c r="E499" s="63" t="s">
        <v>81</v>
      </c>
      <c r="F499" s="63" t="s">
        <v>127</v>
      </c>
      <c r="G499" s="63">
        <v>9</v>
      </c>
      <c r="H499" s="63" t="s">
        <v>131</v>
      </c>
      <c r="I499" s="63">
        <f>INDEX(Matériel!A:Z, MATCH(E499, Matériel!A:A, 0), MATCH(H499, INDEX(Matériel!A:Z, MATCH(E499, Matériel!A:A, 0), 0), 0) + 1)</f>
        <v>100</v>
      </c>
      <c r="J499" s="63">
        <f t="shared" si="48"/>
        <v>1</v>
      </c>
      <c r="K499" s="63">
        <f>VLOOKUP(H499,Manutention!A:E, 3, FALSE) * J499</f>
        <v>1</v>
      </c>
      <c r="L499" s="63" t="s">
        <v>164</v>
      </c>
      <c r="M499" s="63">
        <f>ROUNDUP(K499/VLOOKUP(L499,Camion!A:D, 3, FALSE),0)</f>
        <v>1</v>
      </c>
      <c r="N499" s="63">
        <f>INT(K499/VLOOKUP(L499,Camion!A:D, 3, FALSE))</f>
        <v>0</v>
      </c>
      <c r="O499" s="64">
        <f>ROUND(K499/VLOOKUP(L499,Camion!A:D, 3, FALSE) - N499,2)</f>
        <v>0.11</v>
      </c>
      <c r="P499" s="63" t="s">
        <v>130</v>
      </c>
    </row>
    <row r="500" spans="1:16" x14ac:dyDescent="0.25">
      <c r="A500" s="7">
        <v>22</v>
      </c>
      <c r="B500" s="5" t="s">
        <v>184</v>
      </c>
      <c r="C500" s="65"/>
      <c r="D500" s="65"/>
      <c r="E500" s="65" t="s">
        <v>187</v>
      </c>
      <c r="F500" s="65"/>
      <c r="G500" s="65"/>
      <c r="H500" s="65" t="s">
        <v>131</v>
      </c>
      <c r="I500" s="65"/>
      <c r="J500" s="65"/>
      <c r="K500" s="65">
        <f>SUMIFS(K:K, A:A, 22, B:B, "Z1 Z2", P:P, "Oui", D:D, "Production")</f>
        <v>1</v>
      </c>
      <c r="L500" s="65" t="s">
        <v>164</v>
      </c>
      <c r="M500" s="65">
        <f>ROUNDUP(K500/VLOOKUP(L500,Camion!A:D, 3, FALSE),0)</f>
        <v>1</v>
      </c>
      <c r="N500" s="65">
        <f>INT(K500/VLOOKUP(L500,Camion!A:D, 3, FALSE))</f>
        <v>0</v>
      </c>
      <c r="O500" s="66">
        <f>ROUND(K500/VLOOKUP(L500,Camion!A:D, 3, FALSE) - N500,2)</f>
        <v>0.11</v>
      </c>
      <c r="P500" s="65"/>
    </row>
    <row r="501" spans="1:16" x14ac:dyDescent="0.25">
      <c r="A501" s="7">
        <v>22</v>
      </c>
      <c r="B501" s="5" t="s">
        <v>184</v>
      </c>
      <c r="C501" s="65"/>
      <c r="D501" s="65"/>
      <c r="E501" s="65" t="s">
        <v>188</v>
      </c>
      <c r="F501" s="65"/>
      <c r="G501" s="65"/>
      <c r="H501" s="65" t="s">
        <v>131</v>
      </c>
      <c r="I501" s="65"/>
      <c r="J501" s="65"/>
      <c r="K501" s="65">
        <f>SUMIFS(K:K, A:A, 22, B:B, "Z1 Z2", P:P, "Oui", D:D, "Terminaux")</f>
        <v>25</v>
      </c>
      <c r="L501" s="65" t="s">
        <v>168</v>
      </c>
      <c r="M501" s="65">
        <f>ROUNDUP(K501/VLOOKUP(L501,Camion!A:D, 3, FALSE),0)</f>
        <v>1</v>
      </c>
      <c r="N501" s="65">
        <f>INT(K501/VLOOKUP(L501,Camion!A:D, 3, FALSE))</f>
        <v>0</v>
      </c>
      <c r="O501" s="66">
        <f>ROUND(K501/VLOOKUP(L501,Camion!A:D, 3, FALSE) - N501,2)</f>
        <v>0.74</v>
      </c>
      <c r="P501" s="65"/>
    </row>
    <row r="502" spans="1:16" x14ac:dyDescent="0.25">
      <c r="A502" s="7">
        <v>22</v>
      </c>
      <c r="B502" s="62" t="s">
        <v>185</v>
      </c>
      <c r="C502" s="63" t="s">
        <v>1</v>
      </c>
      <c r="D502" s="63" t="s">
        <v>128</v>
      </c>
      <c r="E502" s="63" t="s">
        <v>71</v>
      </c>
      <c r="F502" s="63" t="s">
        <v>138</v>
      </c>
      <c r="G502" s="63">
        <v>300</v>
      </c>
      <c r="H502" s="63" t="s">
        <v>139</v>
      </c>
      <c r="I502" s="63">
        <f>INDEX(Matériel!A:Z, MATCH(E502, Matériel!A:A, 0), MATCH(H502, INDEX(Matériel!A:Z, MATCH(E502, Matériel!A:A, 0), 0), 0) + 1)</f>
        <v>150</v>
      </c>
      <c r="J502" s="63">
        <f t="shared" ref="J502:J509" si="49">ROUNDUP(G502 / I502, 0)</f>
        <v>2</v>
      </c>
      <c r="K502" s="63">
        <f>VLOOKUP(H502,Manutention!A:E, 3, FALSE) * J502</f>
        <v>6</v>
      </c>
      <c r="L502" s="63" t="s">
        <v>164</v>
      </c>
      <c r="M502" s="63">
        <f>ROUNDUP(K502/VLOOKUP(L502,Camion!A:D, 3, FALSE),0)</f>
        <v>1</v>
      </c>
      <c r="N502" s="63">
        <f>INT(K502/VLOOKUP(L502,Camion!A:D, 3, FALSE))</f>
        <v>0</v>
      </c>
      <c r="O502" s="64">
        <f>ROUND(K502/VLOOKUP(L502,Camion!A:D, 3, FALSE) - N502,2)</f>
        <v>0.67</v>
      </c>
      <c r="P502" s="63" t="s">
        <v>130</v>
      </c>
    </row>
    <row r="503" spans="1:16" x14ac:dyDescent="0.25">
      <c r="A503" s="7">
        <v>22</v>
      </c>
      <c r="B503" s="62" t="s">
        <v>185</v>
      </c>
      <c r="C503" s="63" t="s">
        <v>1</v>
      </c>
      <c r="D503" s="63" t="s">
        <v>135</v>
      </c>
      <c r="E503" s="63" t="s">
        <v>72</v>
      </c>
      <c r="F503" s="63" t="s">
        <v>138</v>
      </c>
      <c r="G503" s="63">
        <v>919</v>
      </c>
      <c r="H503" s="63" t="s">
        <v>143</v>
      </c>
      <c r="I503" s="63">
        <f>INDEX(Matériel!A:Z, MATCH(E503, Matériel!A:A, 0), MATCH(H503, INDEX(Matériel!A:Z, MATCH(E503, Matériel!A:A, 0), 0), 0) + 1)</f>
        <v>1000</v>
      </c>
      <c r="J503" s="63">
        <f t="shared" si="49"/>
        <v>1</v>
      </c>
      <c r="K503" s="63">
        <f>VLOOKUP(H503,Manutention!A:E, 3, FALSE) * J503</f>
        <v>1</v>
      </c>
      <c r="L503" s="63" t="s">
        <v>164</v>
      </c>
      <c r="M503" s="63">
        <f>ROUNDUP(K503/VLOOKUP(L503,Camion!A:D, 3, FALSE),0)</f>
        <v>1</v>
      </c>
      <c r="N503" s="63">
        <f>INT(K503/VLOOKUP(L503,Camion!A:D, 3, FALSE))</f>
        <v>0</v>
      </c>
      <c r="O503" s="64">
        <f>ROUND(K503/VLOOKUP(L503,Camion!A:D, 3, FALSE) - N503,2)</f>
        <v>0.11</v>
      </c>
      <c r="P503" s="63" t="s">
        <v>130</v>
      </c>
    </row>
    <row r="504" spans="1:16" x14ac:dyDescent="0.25">
      <c r="A504" s="7">
        <v>22</v>
      </c>
      <c r="B504" s="62" t="s">
        <v>185</v>
      </c>
      <c r="C504" s="63" t="s">
        <v>1</v>
      </c>
      <c r="D504" s="63" t="s">
        <v>135</v>
      </c>
      <c r="E504" s="63" t="s">
        <v>75</v>
      </c>
      <c r="F504" s="63" t="s">
        <v>127</v>
      </c>
      <c r="G504" s="63">
        <v>47</v>
      </c>
      <c r="H504" s="63" t="s">
        <v>136</v>
      </c>
      <c r="I504" s="63">
        <f>INDEX(Matériel!A:Z, MATCH(E504, Matériel!A:A, 0), MATCH(H504, INDEX(Matériel!A:Z, MATCH(E504, Matériel!A:A, 0), 0), 0) + 1)</f>
        <v>60</v>
      </c>
      <c r="J504" s="63">
        <f t="shared" si="49"/>
        <v>1</v>
      </c>
      <c r="K504" s="63">
        <f>VLOOKUP(H504,Manutention!A:E, 3, FALSE) * J504</f>
        <v>1</v>
      </c>
      <c r="L504" s="63" t="s">
        <v>164</v>
      </c>
      <c r="M504" s="63">
        <f>ROUNDUP(K504/VLOOKUP(L504,Camion!A:D, 3, FALSE),0)</f>
        <v>1</v>
      </c>
      <c r="N504" s="63">
        <f>INT(K504/VLOOKUP(L504,Camion!A:D, 3, FALSE))</f>
        <v>0</v>
      </c>
      <c r="O504" s="64">
        <f>ROUND(K504/VLOOKUP(L504,Camion!A:D, 3, FALSE) - N504,2)</f>
        <v>0.11</v>
      </c>
      <c r="P504" s="63" t="s">
        <v>129</v>
      </c>
    </row>
    <row r="505" spans="1:16" x14ac:dyDescent="0.25">
      <c r="A505" s="7">
        <v>22</v>
      </c>
      <c r="B505" s="62" t="s">
        <v>185</v>
      </c>
      <c r="C505" s="63" t="s">
        <v>1</v>
      </c>
      <c r="D505" s="63" t="s">
        <v>128</v>
      </c>
      <c r="E505" s="63" t="s">
        <v>76</v>
      </c>
      <c r="F505" s="63" t="s">
        <v>127</v>
      </c>
      <c r="G505" s="63">
        <v>23</v>
      </c>
      <c r="H505" s="63" t="s">
        <v>131</v>
      </c>
      <c r="I505" s="63">
        <f>INDEX(Matériel!A:Z, MATCH(E505, Matériel!A:A, 0), MATCH(H505, INDEX(Matériel!A:Z, MATCH(E505, Matériel!A:A, 0), 0), 0) + 1)</f>
        <v>100</v>
      </c>
      <c r="J505" s="63">
        <f t="shared" si="49"/>
        <v>1</v>
      </c>
      <c r="K505" s="63">
        <f>VLOOKUP(H505,Manutention!A:E, 3, FALSE) * J505</f>
        <v>1</v>
      </c>
      <c r="L505" s="63" t="s">
        <v>164</v>
      </c>
      <c r="M505" s="63">
        <f>ROUNDUP(K505/VLOOKUP(L505,Camion!A:D, 3, FALSE),0)</f>
        <v>1</v>
      </c>
      <c r="N505" s="63">
        <f>INT(K505/VLOOKUP(L505,Camion!A:D, 3, FALSE))</f>
        <v>0</v>
      </c>
      <c r="O505" s="64">
        <f>ROUND(K505/VLOOKUP(L505,Camion!A:D, 3, FALSE) - N505,2)</f>
        <v>0.11</v>
      </c>
      <c r="P505" s="63" t="s">
        <v>129</v>
      </c>
    </row>
    <row r="506" spans="1:16" x14ac:dyDescent="0.25">
      <c r="A506" s="7">
        <v>22</v>
      </c>
      <c r="B506" s="62" t="s">
        <v>185</v>
      </c>
      <c r="C506" s="63" t="s">
        <v>1</v>
      </c>
      <c r="D506" s="63" t="s">
        <v>135</v>
      </c>
      <c r="E506" s="63" t="s">
        <v>77</v>
      </c>
      <c r="F506" s="63" t="s">
        <v>127</v>
      </c>
      <c r="G506" s="63">
        <v>196</v>
      </c>
      <c r="H506" s="63" t="s">
        <v>131</v>
      </c>
      <c r="I506" s="63">
        <f>INDEX(Matériel!A:Z, MATCH(E506, Matériel!A:A, 0), MATCH(H506, INDEX(Matériel!A:Z, MATCH(E506, Matériel!A:A, 0), 0), 0) + 1)</f>
        <v>20</v>
      </c>
      <c r="J506" s="63">
        <f t="shared" si="49"/>
        <v>10</v>
      </c>
      <c r="K506" s="63">
        <f>VLOOKUP(H506,Manutention!A:E, 3, FALSE) * J506</f>
        <v>10</v>
      </c>
      <c r="L506" s="63" t="s">
        <v>165</v>
      </c>
      <c r="M506" s="63">
        <f>ROUNDUP(K506/VLOOKUP(L506,Camion!A:D, 3, FALSE),0)</f>
        <v>1</v>
      </c>
      <c r="N506" s="63">
        <f>INT(K506/VLOOKUP(L506,Camion!A:D, 3, FALSE))</f>
        <v>0</v>
      </c>
      <c r="O506" s="64">
        <f>ROUND(K506/VLOOKUP(L506,Camion!A:D, 3, FALSE) - N506,2)</f>
        <v>0.83</v>
      </c>
      <c r="P506" s="63" t="s">
        <v>129</v>
      </c>
    </row>
    <row r="507" spans="1:16" x14ac:dyDescent="0.25">
      <c r="A507" s="7">
        <v>22</v>
      </c>
      <c r="B507" s="62" t="s">
        <v>185</v>
      </c>
      <c r="C507" s="63" t="s">
        <v>1</v>
      </c>
      <c r="D507" s="63" t="s">
        <v>135</v>
      </c>
      <c r="E507" s="63" t="s">
        <v>78</v>
      </c>
      <c r="F507" s="63" t="s">
        <v>127</v>
      </c>
      <c r="G507" s="63">
        <v>4</v>
      </c>
      <c r="H507" s="63" t="s">
        <v>133</v>
      </c>
      <c r="I507" s="63">
        <f>INDEX(Matériel!A:Z, MATCH(E507, Matériel!A:A, 0), MATCH(H507, INDEX(Matériel!A:Z, MATCH(E507, Matériel!A:A, 0), 0), 0) + 1)</f>
        <v>1</v>
      </c>
      <c r="J507" s="63">
        <f t="shared" si="49"/>
        <v>4</v>
      </c>
      <c r="K507" s="63">
        <f>VLOOKUP(H507,Manutention!A:E, 3, FALSE) * J507</f>
        <v>8</v>
      </c>
      <c r="L507" s="63" t="s">
        <v>164</v>
      </c>
      <c r="M507" s="63">
        <f>ROUNDUP(K507/VLOOKUP(L507,Camion!A:D, 3, FALSE),0)</f>
        <v>1</v>
      </c>
      <c r="N507" s="63">
        <f>INT(K507/VLOOKUP(L507,Camion!A:D, 3, FALSE))</f>
        <v>0</v>
      </c>
      <c r="O507" s="64">
        <f>ROUND(K507/VLOOKUP(L507,Camion!A:D, 3, FALSE) - N507,2)</f>
        <v>0.89</v>
      </c>
      <c r="P507" s="63" t="s">
        <v>129</v>
      </c>
    </row>
    <row r="508" spans="1:16" x14ac:dyDescent="0.25">
      <c r="A508" s="7">
        <v>22</v>
      </c>
      <c r="B508" s="62" t="s">
        <v>185</v>
      </c>
      <c r="C508" s="63" t="s">
        <v>1</v>
      </c>
      <c r="D508" s="63" t="s">
        <v>135</v>
      </c>
      <c r="E508" s="63" t="s">
        <v>79</v>
      </c>
      <c r="F508" s="63" t="s">
        <v>127</v>
      </c>
      <c r="G508" s="63">
        <v>2</v>
      </c>
      <c r="H508" s="63" t="s">
        <v>133</v>
      </c>
      <c r="I508" s="63">
        <f>INDEX(Matériel!A:Z, MATCH(E508, Matériel!A:A, 0), MATCH(H508, INDEX(Matériel!A:Z, MATCH(E508, Matériel!A:A, 0), 0), 0) + 1)</f>
        <v>1</v>
      </c>
      <c r="J508" s="63">
        <f t="shared" si="49"/>
        <v>2</v>
      </c>
      <c r="K508" s="63">
        <f>VLOOKUP(H508,Manutention!A:E, 3, FALSE) * J508</f>
        <v>4</v>
      </c>
      <c r="L508" s="63" t="s">
        <v>164</v>
      </c>
      <c r="M508" s="63">
        <f>ROUNDUP(K508/VLOOKUP(L508,Camion!A:D, 3, FALSE),0)</f>
        <v>1</v>
      </c>
      <c r="N508" s="63">
        <f>INT(K508/VLOOKUP(L508,Camion!A:D, 3, FALSE))</f>
        <v>0</v>
      </c>
      <c r="O508" s="64">
        <f>ROUND(K508/VLOOKUP(L508,Camion!A:D, 3, FALSE) - N508,2)</f>
        <v>0.44</v>
      </c>
      <c r="P508" s="63" t="s">
        <v>129</v>
      </c>
    </row>
    <row r="509" spans="1:16" x14ac:dyDescent="0.25">
      <c r="A509" s="7">
        <v>22</v>
      </c>
      <c r="B509" s="62" t="s">
        <v>185</v>
      </c>
      <c r="C509" s="63" t="s">
        <v>1</v>
      </c>
      <c r="D509" s="63" t="s">
        <v>128</v>
      </c>
      <c r="E509" s="63" t="s">
        <v>81</v>
      </c>
      <c r="F509" s="63" t="s">
        <v>127</v>
      </c>
      <c r="G509" s="63">
        <v>9</v>
      </c>
      <c r="H509" s="63" t="s">
        <v>131</v>
      </c>
      <c r="I509" s="63">
        <f>INDEX(Matériel!A:Z, MATCH(E509, Matériel!A:A, 0), MATCH(H509, INDEX(Matériel!A:Z, MATCH(E509, Matériel!A:A, 0), 0), 0) + 1)</f>
        <v>100</v>
      </c>
      <c r="J509" s="63">
        <f t="shared" si="49"/>
        <v>1</v>
      </c>
      <c r="K509" s="63">
        <f>VLOOKUP(H509,Manutention!A:E, 3, FALSE) * J509</f>
        <v>1</v>
      </c>
      <c r="L509" s="63" t="s">
        <v>164</v>
      </c>
      <c r="M509" s="63">
        <f>ROUNDUP(K509/VLOOKUP(L509,Camion!A:D, 3, FALSE),0)</f>
        <v>1</v>
      </c>
      <c r="N509" s="63">
        <f>INT(K509/VLOOKUP(L509,Camion!A:D, 3, FALSE))</f>
        <v>0</v>
      </c>
      <c r="O509" s="64">
        <f>ROUND(K509/VLOOKUP(L509,Camion!A:D, 3, FALSE) - N509,2)</f>
        <v>0.11</v>
      </c>
      <c r="P509" s="63" t="s">
        <v>130</v>
      </c>
    </row>
    <row r="510" spans="1:16" x14ac:dyDescent="0.25">
      <c r="A510" s="7">
        <v>22</v>
      </c>
      <c r="B510" s="5" t="s">
        <v>185</v>
      </c>
      <c r="C510" s="65"/>
      <c r="D510" s="65"/>
      <c r="E510" s="65" t="s">
        <v>187</v>
      </c>
      <c r="F510" s="65"/>
      <c r="G510" s="65"/>
      <c r="H510" s="65" t="s">
        <v>131</v>
      </c>
      <c r="I510" s="65"/>
      <c r="J510" s="65"/>
      <c r="K510" s="65">
        <f>SUMIFS(K:K, A:A, 22, B:B, "Z3 Z4", P:P, "Oui", D:D, "Production")</f>
        <v>1</v>
      </c>
      <c r="L510" s="65" t="s">
        <v>164</v>
      </c>
      <c r="M510" s="65">
        <f>ROUNDUP(K510/VLOOKUP(L510,Camion!A:D, 3, FALSE),0)</f>
        <v>1</v>
      </c>
      <c r="N510" s="65">
        <f>INT(K510/VLOOKUP(L510,Camion!A:D, 3, FALSE))</f>
        <v>0</v>
      </c>
      <c r="O510" s="66">
        <f>ROUND(K510/VLOOKUP(L510,Camion!A:D, 3, FALSE) - N510,2)</f>
        <v>0.11</v>
      </c>
      <c r="P510" s="65"/>
    </row>
    <row r="511" spans="1:16" x14ac:dyDescent="0.25">
      <c r="A511" s="7">
        <v>22</v>
      </c>
      <c r="B511" s="5" t="s">
        <v>185</v>
      </c>
      <c r="C511" s="65"/>
      <c r="D511" s="65"/>
      <c r="E511" s="65" t="s">
        <v>188</v>
      </c>
      <c r="F511" s="65"/>
      <c r="G511" s="65"/>
      <c r="H511" s="65" t="s">
        <v>131</v>
      </c>
      <c r="I511" s="65"/>
      <c r="J511" s="65"/>
      <c r="K511" s="65">
        <f>SUMIFS(K:K, A:A, 22, B:B, "Z3 Z4", P:P, "Oui", D:D, "Terminaux")</f>
        <v>23</v>
      </c>
      <c r="L511" s="65" t="s">
        <v>168</v>
      </c>
      <c r="M511" s="65">
        <f>ROUNDUP(K511/VLOOKUP(L511,Camion!A:D, 3, FALSE),0)</f>
        <v>1</v>
      </c>
      <c r="N511" s="65">
        <f>INT(K511/VLOOKUP(L511,Camion!A:D, 3, FALSE))</f>
        <v>0</v>
      </c>
      <c r="O511" s="66">
        <f>ROUND(K511/VLOOKUP(L511,Camion!A:D, 3, FALSE) - N511,2)</f>
        <v>0.68</v>
      </c>
      <c r="P511" s="65"/>
    </row>
    <row r="512" spans="1:16" x14ac:dyDescent="0.25">
      <c r="A512" s="7">
        <v>23</v>
      </c>
      <c r="B512" s="62" t="s">
        <v>184</v>
      </c>
      <c r="C512" s="63" t="s">
        <v>1</v>
      </c>
      <c r="D512" s="63" t="s">
        <v>128</v>
      </c>
      <c r="E512" s="63" t="s">
        <v>71</v>
      </c>
      <c r="F512" s="63" t="s">
        <v>138</v>
      </c>
      <c r="G512" s="63">
        <v>295</v>
      </c>
      <c r="H512" s="63" t="s">
        <v>139</v>
      </c>
      <c r="I512" s="63">
        <f>INDEX(Matériel!A:Z, MATCH(E512, Matériel!A:A, 0), MATCH(H512, INDEX(Matériel!A:Z, MATCH(E512, Matériel!A:A, 0), 0), 0) + 1)</f>
        <v>150</v>
      </c>
      <c r="J512" s="63">
        <f t="shared" ref="J512:J519" si="50">ROUNDUP(G512 / I512, 0)</f>
        <v>2</v>
      </c>
      <c r="K512" s="63">
        <f>VLOOKUP(H512,Manutention!A:E, 3, FALSE) * J512</f>
        <v>6</v>
      </c>
      <c r="L512" s="63" t="s">
        <v>164</v>
      </c>
      <c r="M512" s="63">
        <f>ROUNDUP(K512/VLOOKUP(L512,Camion!A:D, 3, FALSE),0)</f>
        <v>1</v>
      </c>
      <c r="N512" s="63">
        <f>INT(K512/VLOOKUP(L512,Camion!A:D, 3, FALSE))</f>
        <v>0</v>
      </c>
      <c r="O512" s="64">
        <f>ROUND(K512/VLOOKUP(L512,Camion!A:D, 3, FALSE) - N512,2)</f>
        <v>0.67</v>
      </c>
      <c r="P512" s="63" t="s">
        <v>130</v>
      </c>
    </row>
    <row r="513" spans="1:16" x14ac:dyDescent="0.25">
      <c r="A513" s="7">
        <v>23</v>
      </c>
      <c r="B513" s="62" t="s">
        <v>184</v>
      </c>
      <c r="C513" s="63" t="s">
        <v>1</v>
      </c>
      <c r="D513" s="63" t="s">
        <v>135</v>
      </c>
      <c r="E513" s="63" t="s">
        <v>72</v>
      </c>
      <c r="F513" s="63" t="s">
        <v>138</v>
      </c>
      <c r="G513" s="63">
        <v>905</v>
      </c>
      <c r="H513" s="63" t="s">
        <v>143</v>
      </c>
      <c r="I513" s="63">
        <f>INDEX(Matériel!A:Z, MATCH(E513, Matériel!A:A, 0), MATCH(H513, INDEX(Matériel!A:Z, MATCH(E513, Matériel!A:A, 0), 0), 0) + 1)</f>
        <v>1000</v>
      </c>
      <c r="J513" s="63">
        <f t="shared" si="50"/>
        <v>1</v>
      </c>
      <c r="K513" s="63">
        <f>VLOOKUP(H513,Manutention!A:E, 3, FALSE) * J513</f>
        <v>1</v>
      </c>
      <c r="L513" s="63" t="s">
        <v>164</v>
      </c>
      <c r="M513" s="63">
        <f>ROUNDUP(K513/VLOOKUP(L513,Camion!A:D, 3, FALSE),0)</f>
        <v>1</v>
      </c>
      <c r="N513" s="63">
        <f>INT(K513/VLOOKUP(L513,Camion!A:D, 3, FALSE))</f>
        <v>0</v>
      </c>
      <c r="O513" s="64">
        <f>ROUND(K513/VLOOKUP(L513,Camion!A:D, 3, FALSE) - N513,2)</f>
        <v>0.11</v>
      </c>
      <c r="P513" s="63" t="s">
        <v>130</v>
      </c>
    </row>
    <row r="514" spans="1:16" x14ac:dyDescent="0.25">
      <c r="A514" s="7">
        <v>23</v>
      </c>
      <c r="B514" s="62" t="s">
        <v>184</v>
      </c>
      <c r="C514" s="63" t="s">
        <v>1</v>
      </c>
      <c r="D514" s="63" t="s">
        <v>135</v>
      </c>
      <c r="E514" s="63" t="s">
        <v>75</v>
      </c>
      <c r="F514" s="63" t="s">
        <v>127</v>
      </c>
      <c r="G514" s="63">
        <v>46</v>
      </c>
      <c r="H514" s="63" t="s">
        <v>136</v>
      </c>
      <c r="I514" s="63">
        <f>INDEX(Matériel!A:Z, MATCH(E514, Matériel!A:A, 0), MATCH(H514, INDEX(Matériel!A:Z, MATCH(E514, Matériel!A:A, 0), 0), 0) + 1)</f>
        <v>60</v>
      </c>
      <c r="J514" s="63">
        <f t="shared" si="50"/>
        <v>1</v>
      </c>
      <c r="K514" s="63">
        <f>VLOOKUP(H514,Manutention!A:E, 3, FALSE) * J514</f>
        <v>1</v>
      </c>
      <c r="L514" s="63" t="s">
        <v>164</v>
      </c>
      <c r="M514" s="63">
        <f>ROUNDUP(K514/VLOOKUP(L514,Camion!A:D, 3, FALSE),0)</f>
        <v>1</v>
      </c>
      <c r="N514" s="63">
        <f>INT(K514/VLOOKUP(L514,Camion!A:D, 3, FALSE))</f>
        <v>0</v>
      </c>
      <c r="O514" s="64">
        <f>ROUND(K514/VLOOKUP(L514,Camion!A:D, 3, FALSE) - N514,2)</f>
        <v>0.11</v>
      </c>
      <c r="P514" s="63" t="s">
        <v>129</v>
      </c>
    </row>
    <row r="515" spans="1:16" x14ac:dyDescent="0.25">
      <c r="A515" s="7">
        <v>23</v>
      </c>
      <c r="B515" s="62" t="s">
        <v>184</v>
      </c>
      <c r="C515" s="63" t="s">
        <v>1</v>
      </c>
      <c r="D515" s="63" t="s">
        <v>128</v>
      </c>
      <c r="E515" s="63" t="s">
        <v>76</v>
      </c>
      <c r="F515" s="63" t="s">
        <v>127</v>
      </c>
      <c r="G515" s="63">
        <v>23</v>
      </c>
      <c r="H515" s="63" t="s">
        <v>131</v>
      </c>
      <c r="I515" s="63">
        <f>INDEX(Matériel!A:Z, MATCH(E515, Matériel!A:A, 0), MATCH(H515, INDEX(Matériel!A:Z, MATCH(E515, Matériel!A:A, 0), 0), 0) + 1)</f>
        <v>100</v>
      </c>
      <c r="J515" s="63">
        <f t="shared" si="50"/>
        <v>1</v>
      </c>
      <c r="K515" s="63">
        <f>VLOOKUP(H515,Manutention!A:E, 3, FALSE) * J515</f>
        <v>1</v>
      </c>
      <c r="L515" s="63" t="s">
        <v>164</v>
      </c>
      <c r="M515" s="63">
        <f>ROUNDUP(K515/VLOOKUP(L515,Camion!A:D, 3, FALSE),0)</f>
        <v>1</v>
      </c>
      <c r="N515" s="63">
        <f>INT(K515/VLOOKUP(L515,Camion!A:D, 3, FALSE))</f>
        <v>0</v>
      </c>
      <c r="O515" s="64">
        <f>ROUND(K515/VLOOKUP(L515,Camion!A:D, 3, FALSE) - N515,2)</f>
        <v>0.11</v>
      </c>
      <c r="P515" s="63" t="s">
        <v>129</v>
      </c>
    </row>
    <row r="516" spans="1:16" x14ac:dyDescent="0.25">
      <c r="A516" s="7">
        <v>23</v>
      </c>
      <c r="B516" s="62" t="s">
        <v>184</v>
      </c>
      <c r="C516" s="63" t="s">
        <v>1</v>
      </c>
      <c r="D516" s="63" t="s">
        <v>135</v>
      </c>
      <c r="E516" s="63" t="s">
        <v>77</v>
      </c>
      <c r="F516" s="63" t="s">
        <v>127</v>
      </c>
      <c r="G516" s="63">
        <v>193</v>
      </c>
      <c r="H516" s="63" t="s">
        <v>131</v>
      </c>
      <c r="I516" s="63">
        <f>INDEX(Matériel!A:Z, MATCH(E516, Matériel!A:A, 0), MATCH(H516, INDEX(Matériel!A:Z, MATCH(E516, Matériel!A:A, 0), 0), 0) + 1)</f>
        <v>20</v>
      </c>
      <c r="J516" s="63">
        <f t="shared" si="50"/>
        <v>10</v>
      </c>
      <c r="K516" s="63">
        <f>VLOOKUP(H516,Manutention!A:E, 3, FALSE) * J516</f>
        <v>10</v>
      </c>
      <c r="L516" s="63" t="s">
        <v>165</v>
      </c>
      <c r="M516" s="63">
        <f>ROUNDUP(K516/VLOOKUP(L516,Camion!A:D, 3, FALSE),0)</f>
        <v>1</v>
      </c>
      <c r="N516" s="63">
        <f>INT(K516/VLOOKUP(L516,Camion!A:D, 3, FALSE))</f>
        <v>0</v>
      </c>
      <c r="O516" s="64">
        <f>ROUND(K516/VLOOKUP(L516,Camion!A:D, 3, FALSE) - N516,2)</f>
        <v>0.83</v>
      </c>
      <c r="P516" s="63" t="s">
        <v>129</v>
      </c>
    </row>
    <row r="517" spans="1:16" x14ac:dyDescent="0.25">
      <c r="A517" s="7">
        <v>23</v>
      </c>
      <c r="B517" s="62" t="s">
        <v>184</v>
      </c>
      <c r="C517" s="63" t="s">
        <v>1</v>
      </c>
      <c r="D517" s="63" t="s">
        <v>135</v>
      </c>
      <c r="E517" s="63" t="s">
        <v>78</v>
      </c>
      <c r="F517" s="63" t="s">
        <v>127</v>
      </c>
      <c r="G517" s="63">
        <v>4</v>
      </c>
      <c r="H517" s="63" t="s">
        <v>133</v>
      </c>
      <c r="I517" s="63">
        <f>INDEX(Matériel!A:Z, MATCH(E517, Matériel!A:A, 0), MATCH(H517, INDEX(Matériel!A:Z, MATCH(E517, Matériel!A:A, 0), 0), 0) + 1)</f>
        <v>1</v>
      </c>
      <c r="J517" s="63">
        <f t="shared" si="50"/>
        <v>4</v>
      </c>
      <c r="K517" s="63">
        <f>VLOOKUP(H517,Manutention!A:E, 3, FALSE) * J517</f>
        <v>8</v>
      </c>
      <c r="L517" s="63" t="s">
        <v>164</v>
      </c>
      <c r="M517" s="63">
        <f>ROUNDUP(K517/VLOOKUP(L517,Camion!A:D, 3, FALSE),0)</f>
        <v>1</v>
      </c>
      <c r="N517" s="63">
        <f>INT(K517/VLOOKUP(L517,Camion!A:D, 3, FALSE))</f>
        <v>0</v>
      </c>
      <c r="O517" s="64">
        <f>ROUND(K517/VLOOKUP(L517,Camion!A:D, 3, FALSE) - N517,2)</f>
        <v>0.89</v>
      </c>
      <c r="P517" s="63" t="s">
        <v>129</v>
      </c>
    </row>
    <row r="518" spans="1:16" x14ac:dyDescent="0.25">
      <c r="A518" s="7">
        <v>23</v>
      </c>
      <c r="B518" s="62" t="s">
        <v>184</v>
      </c>
      <c r="C518" s="63" t="s">
        <v>1</v>
      </c>
      <c r="D518" s="63" t="s">
        <v>135</v>
      </c>
      <c r="E518" s="63" t="s">
        <v>79</v>
      </c>
      <c r="F518" s="63" t="s">
        <v>127</v>
      </c>
      <c r="G518" s="63">
        <v>2</v>
      </c>
      <c r="H518" s="63" t="s">
        <v>133</v>
      </c>
      <c r="I518" s="63">
        <f>INDEX(Matériel!A:Z, MATCH(E518, Matériel!A:A, 0), MATCH(H518, INDEX(Matériel!A:Z, MATCH(E518, Matériel!A:A, 0), 0), 0) + 1)</f>
        <v>1</v>
      </c>
      <c r="J518" s="63">
        <f t="shared" si="50"/>
        <v>2</v>
      </c>
      <c r="K518" s="63">
        <f>VLOOKUP(H518,Manutention!A:E, 3, FALSE) * J518</f>
        <v>4</v>
      </c>
      <c r="L518" s="63" t="s">
        <v>164</v>
      </c>
      <c r="M518" s="63">
        <f>ROUNDUP(K518/VLOOKUP(L518,Camion!A:D, 3, FALSE),0)</f>
        <v>1</v>
      </c>
      <c r="N518" s="63">
        <f>INT(K518/VLOOKUP(L518,Camion!A:D, 3, FALSE))</f>
        <v>0</v>
      </c>
      <c r="O518" s="64">
        <f>ROUND(K518/VLOOKUP(L518,Camion!A:D, 3, FALSE) - N518,2)</f>
        <v>0.44</v>
      </c>
      <c r="P518" s="63" t="s">
        <v>129</v>
      </c>
    </row>
    <row r="519" spans="1:16" x14ac:dyDescent="0.25">
      <c r="A519" s="7">
        <v>23</v>
      </c>
      <c r="B519" s="62" t="s">
        <v>184</v>
      </c>
      <c r="C519" s="63" t="s">
        <v>1</v>
      </c>
      <c r="D519" s="63" t="s">
        <v>128</v>
      </c>
      <c r="E519" s="63" t="s">
        <v>81</v>
      </c>
      <c r="F519" s="63" t="s">
        <v>127</v>
      </c>
      <c r="G519" s="63">
        <v>8</v>
      </c>
      <c r="H519" s="63" t="s">
        <v>131</v>
      </c>
      <c r="I519" s="63">
        <f>INDEX(Matériel!A:Z, MATCH(E519, Matériel!A:A, 0), MATCH(H519, INDEX(Matériel!A:Z, MATCH(E519, Matériel!A:A, 0), 0), 0) + 1)</f>
        <v>100</v>
      </c>
      <c r="J519" s="63">
        <f t="shared" si="50"/>
        <v>1</v>
      </c>
      <c r="K519" s="63">
        <f>VLOOKUP(H519,Manutention!A:E, 3, FALSE) * J519</f>
        <v>1</v>
      </c>
      <c r="L519" s="63" t="s">
        <v>164</v>
      </c>
      <c r="M519" s="63">
        <f>ROUNDUP(K519/VLOOKUP(L519,Camion!A:D, 3, FALSE),0)</f>
        <v>1</v>
      </c>
      <c r="N519" s="63">
        <f>INT(K519/VLOOKUP(L519,Camion!A:D, 3, FALSE))</f>
        <v>0</v>
      </c>
      <c r="O519" s="64">
        <f>ROUND(K519/VLOOKUP(L519,Camion!A:D, 3, FALSE) - N519,2)</f>
        <v>0.11</v>
      </c>
      <c r="P519" s="63" t="s">
        <v>130</v>
      </c>
    </row>
    <row r="520" spans="1:16" x14ac:dyDescent="0.25">
      <c r="A520" s="7">
        <v>23</v>
      </c>
      <c r="B520" s="5" t="s">
        <v>184</v>
      </c>
      <c r="C520" s="65"/>
      <c r="D520" s="65"/>
      <c r="E520" s="65" t="s">
        <v>187</v>
      </c>
      <c r="F520" s="65"/>
      <c r="G520" s="65"/>
      <c r="H520" s="65" t="s">
        <v>131</v>
      </c>
      <c r="I520" s="65"/>
      <c r="J520" s="65"/>
      <c r="K520" s="65">
        <f>SUMIFS(K:K, A:A, 23, B:B, "Z1 Z2", P:P, "Oui", D:D, "Production")</f>
        <v>1</v>
      </c>
      <c r="L520" s="65" t="s">
        <v>164</v>
      </c>
      <c r="M520" s="65">
        <f>ROUNDUP(K520/VLOOKUP(L520,Camion!A:D, 3, FALSE),0)</f>
        <v>1</v>
      </c>
      <c r="N520" s="65">
        <f>INT(K520/VLOOKUP(L520,Camion!A:D, 3, FALSE))</f>
        <v>0</v>
      </c>
      <c r="O520" s="66">
        <f>ROUND(K520/VLOOKUP(L520,Camion!A:D, 3, FALSE) - N520,2)</f>
        <v>0.11</v>
      </c>
      <c r="P520" s="65"/>
    </row>
    <row r="521" spans="1:16" x14ac:dyDescent="0.25">
      <c r="A521" s="7">
        <v>23</v>
      </c>
      <c r="B521" s="5" t="s">
        <v>184</v>
      </c>
      <c r="C521" s="65"/>
      <c r="D521" s="65"/>
      <c r="E521" s="65" t="s">
        <v>188</v>
      </c>
      <c r="F521" s="65"/>
      <c r="G521" s="65"/>
      <c r="H521" s="65" t="s">
        <v>131</v>
      </c>
      <c r="I521" s="65"/>
      <c r="J521" s="65"/>
      <c r="K521" s="65">
        <f>SUMIFS(K:K, A:A, 23, B:B, "Z1 Z2", P:P, "Oui", D:D, "Terminaux")</f>
        <v>23</v>
      </c>
      <c r="L521" s="65" t="s">
        <v>168</v>
      </c>
      <c r="M521" s="65">
        <f>ROUNDUP(K521/VLOOKUP(L521,Camion!A:D, 3, FALSE),0)</f>
        <v>1</v>
      </c>
      <c r="N521" s="65">
        <f>INT(K521/VLOOKUP(L521,Camion!A:D, 3, FALSE))</f>
        <v>0</v>
      </c>
      <c r="O521" s="66">
        <f>ROUND(K521/VLOOKUP(L521,Camion!A:D, 3, FALSE) - N521,2)</f>
        <v>0.68</v>
      </c>
      <c r="P521" s="65"/>
    </row>
    <row r="522" spans="1:16" x14ac:dyDescent="0.25">
      <c r="A522" s="7">
        <v>23</v>
      </c>
      <c r="B522" s="62" t="s">
        <v>185</v>
      </c>
      <c r="C522" s="63" t="s">
        <v>1</v>
      </c>
      <c r="D522" s="63" t="s">
        <v>128</v>
      </c>
      <c r="E522" s="63" t="s">
        <v>71</v>
      </c>
      <c r="F522" s="63" t="s">
        <v>138</v>
      </c>
      <c r="G522" s="63">
        <v>291</v>
      </c>
      <c r="H522" s="63" t="s">
        <v>139</v>
      </c>
      <c r="I522" s="63">
        <f>INDEX(Matériel!A:Z, MATCH(E522, Matériel!A:A, 0), MATCH(H522, INDEX(Matériel!A:Z, MATCH(E522, Matériel!A:A, 0), 0), 0) + 1)</f>
        <v>150</v>
      </c>
      <c r="J522" s="63">
        <f t="shared" ref="J522:J529" si="51">ROUNDUP(G522 / I522, 0)</f>
        <v>2</v>
      </c>
      <c r="K522" s="63">
        <f>VLOOKUP(H522,Manutention!A:E, 3, FALSE) * J522</f>
        <v>6</v>
      </c>
      <c r="L522" s="63" t="s">
        <v>164</v>
      </c>
      <c r="M522" s="63">
        <f>ROUNDUP(K522/VLOOKUP(L522,Camion!A:D, 3, FALSE),0)</f>
        <v>1</v>
      </c>
      <c r="N522" s="63">
        <f>INT(K522/VLOOKUP(L522,Camion!A:D, 3, FALSE))</f>
        <v>0</v>
      </c>
      <c r="O522" s="64">
        <f>ROUND(K522/VLOOKUP(L522,Camion!A:D, 3, FALSE) - N522,2)</f>
        <v>0.67</v>
      </c>
      <c r="P522" s="63" t="s">
        <v>130</v>
      </c>
    </row>
    <row r="523" spans="1:16" x14ac:dyDescent="0.25">
      <c r="A523" s="7">
        <v>23</v>
      </c>
      <c r="B523" s="62" t="s">
        <v>185</v>
      </c>
      <c r="C523" s="63" t="s">
        <v>1</v>
      </c>
      <c r="D523" s="63" t="s">
        <v>135</v>
      </c>
      <c r="E523" s="63" t="s">
        <v>72</v>
      </c>
      <c r="F523" s="63" t="s">
        <v>138</v>
      </c>
      <c r="G523" s="63">
        <v>891</v>
      </c>
      <c r="H523" s="63" t="s">
        <v>143</v>
      </c>
      <c r="I523" s="63">
        <f>INDEX(Matériel!A:Z, MATCH(E523, Matériel!A:A, 0), MATCH(H523, INDEX(Matériel!A:Z, MATCH(E523, Matériel!A:A, 0), 0), 0) + 1)</f>
        <v>1000</v>
      </c>
      <c r="J523" s="63">
        <f t="shared" si="51"/>
        <v>1</v>
      </c>
      <c r="K523" s="63">
        <f>VLOOKUP(H523,Manutention!A:E, 3, FALSE) * J523</f>
        <v>1</v>
      </c>
      <c r="L523" s="63" t="s">
        <v>164</v>
      </c>
      <c r="M523" s="63">
        <f>ROUNDUP(K523/VLOOKUP(L523,Camion!A:D, 3, FALSE),0)</f>
        <v>1</v>
      </c>
      <c r="N523" s="63">
        <f>INT(K523/VLOOKUP(L523,Camion!A:D, 3, FALSE))</f>
        <v>0</v>
      </c>
      <c r="O523" s="64">
        <f>ROUND(K523/VLOOKUP(L523,Camion!A:D, 3, FALSE) - N523,2)</f>
        <v>0.11</v>
      </c>
      <c r="P523" s="63" t="s">
        <v>130</v>
      </c>
    </row>
    <row r="524" spans="1:16" x14ac:dyDescent="0.25">
      <c r="A524" s="7">
        <v>23</v>
      </c>
      <c r="B524" s="62" t="s">
        <v>185</v>
      </c>
      <c r="C524" s="63" t="s">
        <v>1</v>
      </c>
      <c r="D524" s="63" t="s">
        <v>135</v>
      </c>
      <c r="E524" s="63" t="s">
        <v>75</v>
      </c>
      <c r="F524" s="63" t="s">
        <v>127</v>
      </c>
      <c r="G524" s="63">
        <v>45</v>
      </c>
      <c r="H524" s="63" t="s">
        <v>136</v>
      </c>
      <c r="I524" s="63">
        <f>INDEX(Matériel!A:Z, MATCH(E524, Matériel!A:A, 0), MATCH(H524, INDEX(Matériel!A:Z, MATCH(E524, Matériel!A:A, 0), 0), 0) + 1)</f>
        <v>60</v>
      </c>
      <c r="J524" s="63">
        <f t="shared" si="51"/>
        <v>1</v>
      </c>
      <c r="K524" s="63">
        <f>VLOOKUP(H524,Manutention!A:E, 3, FALSE) * J524</f>
        <v>1</v>
      </c>
      <c r="L524" s="63" t="s">
        <v>164</v>
      </c>
      <c r="M524" s="63">
        <f>ROUNDUP(K524/VLOOKUP(L524,Camion!A:D, 3, FALSE),0)</f>
        <v>1</v>
      </c>
      <c r="N524" s="63">
        <f>INT(K524/VLOOKUP(L524,Camion!A:D, 3, FALSE))</f>
        <v>0</v>
      </c>
      <c r="O524" s="64">
        <f>ROUND(K524/VLOOKUP(L524,Camion!A:D, 3, FALSE) - N524,2)</f>
        <v>0.11</v>
      </c>
      <c r="P524" s="63" t="s">
        <v>129</v>
      </c>
    </row>
    <row r="525" spans="1:16" x14ac:dyDescent="0.25">
      <c r="A525" s="7">
        <v>23</v>
      </c>
      <c r="B525" s="62" t="s">
        <v>185</v>
      </c>
      <c r="C525" s="63" t="s">
        <v>1</v>
      </c>
      <c r="D525" s="63" t="s">
        <v>128</v>
      </c>
      <c r="E525" s="63" t="s">
        <v>76</v>
      </c>
      <c r="F525" s="63" t="s">
        <v>127</v>
      </c>
      <c r="G525" s="63">
        <v>22</v>
      </c>
      <c r="H525" s="63" t="s">
        <v>131</v>
      </c>
      <c r="I525" s="63">
        <f>INDEX(Matériel!A:Z, MATCH(E525, Matériel!A:A, 0), MATCH(H525, INDEX(Matériel!A:Z, MATCH(E525, Matériel!A:A, 0), 0), 0) + 1)</f>
        <v>100</v>
      </c>
      <c r="J525" s="63">
        <f t="shared" si="51"/>
        <v>1</v>
      </c>
      <c r="K525" s="63">
        <f>VLOOKUP(H525,Manutention!A:E, 3, FALSE) * J525</f>
        <v>1</v>
      </c>
      <c r="L525" s="63" t="s">
        <v>164</v>
      </c>
      <c r="M525" s="63">
        <f>ROUNDUP(K525/VLOOKUP(L525,Camion!A:D, 3, FALSE),0)</f>
        <v>1</v>
      </c>
      <c r="N525" s="63">
        <f>INT(K525/VLOOKUP(L525,Camion!A:D, 3, FALSE))</f>
        <v>0</v>
      </c>
      <c r="O525" s="64">
        <f>ROUND(K525/VLOOKUP(L525,Camion!A:D, 3, FALSE) - N525,2)</f>
        <v>0.11</v>
      </c>
      <c r="P525" s="63" t="s">
        <v>129</v>
      </c>
    </row>
    <row r="526" spans="1:16" x14ac:dyDescent="0.25">
      <c r="A526" s="7">
        <v>23</v>
      </c>
      <c r="B526" s="62" t="s">
        <v>185</v>
      </c>
      <c r="C526" s="63" t="s">
        <v>1</v>
      </c>
      <c r="D526" s="63" t="s">
        <v>135</v>
      </c>
      <c r="E526" s="63" t="s">
        <v>77</v>
      </c>
      <c r="F526" s="63" t="s">
        <v>127</v>
      </c>
      <c r="G526" s="63">
        <v>191</v>
      </c>
      <c r="H526" s="63" t="s">
        <v>131</v>
      </c>
      <c r="I526" s="63">
        <f>INDEX(Matériel!A:Z, MATCH(E526, Matériel!A:A, 0), MATCH(H526, INDEX(Matériel!A:Z, MATCH(E526, Matériel!A:A, 0), 0), 0) + 1)</f>
        <v>20</v>
      </c>
      <c r="J526" s="63">
        <f t="shared" si="51"/>
        <v>10</v>
      </c>
      <c r="K526" s="63">
        <f>VLOOKUP(H526,Manutention!A:E, 3, FALSE) * J526</f>
        <v>10</v>
      </c>
      <c r="L526" s="63" t="s">
        <v>165</v>
      </c>
      <c r="M526" s="63">
        <f>ROUNDUP(K526/VLOOKUP(L526,Camion!A:D, 3, FALSE),0)</f>
        <v>1</v>
      </c>
      <c r="N526" s="63">
        <f>INT(K526/VLOOKUP(L526,Camion!A:D, 3, FALSE))</f>
        <v>0</v>
      </c>
      <c r="O526" s="64">
        <f>ROUND(K526/VLOOKUP(L526,Camion!A:D, 3, FALSE) - N526,2)</f>
        <v>0.83</v>
      </c>
      <c r="P526" s="63" t="s">
        <v>129</v>
      </c>
    </row>
    <row r="527" spans="1:16" x14ac:dyDescent="0.25">
      <c r="A527" s="7">
        <v>23</v>
      </c>
      <c r="B527" s="62" t="s">
        <v>185</v>
      </c>
      <c r="C527" s="63" t="s">
        <v>1</v>
      </c>
      <c r="D527" s="63" t="s">
        <v>135</v>
      </c>
      <c r="E527" s="63" t="s">
        <v>78</v>
      </c>
      <c r="F527" s="63" t="s">
        <v>127</v>
      </c>
      <c r="G527" s="63">
        <v>4</v>
      </c>
      <c r="H527" s="63" t="s">
        <v>133</v>
      </c>
      <c r="I527" s="63">
        <f>INDEX(Matériel!A:Z, MATCH(E527, Matériel!A:A, 0), MATCH(H527, INDEX(Matériel!A:Z, MATCH(E527, Matériel!A:A, 0), 0), 0) + 1)</f>
        <v>1</v>
      </c>
      <c r="J527" s="63">
        <f t="shared" si="51"/>
        <v>4</v>
      </c>
      <c r="K527" s="63">
        <f>VLOOKUP(H527,Manutention!A:E, 3, FALSE) * J527</f>
        <v>8</v>
      </c>
      <c r="L527" s="63" t="s">
        <v>164</v>
      </c>
      <c r="M527" s="63">
        <f>ROUNDUP(K527/VLOOKUP(L527,Camion!A:D, 3, FALSE),0)</f>
        <v>1</v>
      </c>
      <c r="N527" s="63">
        <f>INT(K527/VLOOKUP(L527,Camion!A:D, 3, FALSE))</f>
        <v>0</v>
      </c>
      <c r="O527" s="64">
        <f>ROUND(K527/VLOOKUP(L527,Camion!A:D, 3, FALSE) - N527,2)</f>
        <v>0.89</v>
      </c>
      <c r="P527" s="63" t="s">
        <v>129</v>
      </c>
    </row>
    <row r="528" spans="1:16" x14ac:dyDescent="0.25">
      <c r="A528" s="7">
        <v>23</v>
      </c>
      <c r="B528" s="62" t="s">
        <v>185</v>
      </c>
      <c r="C528" s="63" t="s">
        <v>1</v>
      </c>
      <c r="D528" s="63" t="s">
        <v>135</v>
      </c>
      <c r="E528" s="63" t="s">
        <v>79</v>
      </c>
      <c r="F528" s="63" t="s">
        <v>127</v>
      </c>
      <c r="G528" s="63">
        <v>2</v>
      </c>
      <c r="H528" s="63" t="s">
        <v>133</v>
      </c>
      <c r="I528" s="63">
        <f>INDEX(Matériel!A:Z, MATCH(E528, Matériel!A:A, 0), MATCH(H528, INDEX(Matériel!A:Z, MATCH(E528, Matériel!A:A, 0), 0), 0) + 1)</f>
        <v>1</v>
      </c>
      <c r="J528" s="63">
        <f t="shared" si="51"/>
        <v>2</v>
      </c>
      <c r="K528" s="63">
        <f>VLOOKUP(H528,Manutention!A:E, 3, FALSE) * J528</f>
        <v>4</v>
      </c>
      <c r="L528" s="63" t="s">
        <v>164</v>
      </c>
      <c r="M528" s="63">
        <f>ROUNDUP(K528/VLOOKUP(L528,Camion!A:D, 3, FALSE),0)</f>
        <v>1</v>
      </c>
      <c r="N528" s="63">
        <f>INT(K528/VLOOKUP(L528,Camion!A:D, 3, FALSE))</f>
        <v>0</v>
      </c>
      <c r="O528" s="64">
        <f>ROUND(K528/VLOOKUP(L528,Camion!A:D, 3, FALSE) - N528,2)</f>
        <v>0.44</v>
      </c>
      <c r="P528" s="63" t="s">
        <v>129</v>
      </c>
    </row>
    <row r="529" spans="1:16" x14ac:dyDescent="0.25">
      <c r="A529" s="7">
        <v>23</v>
      </c>
      <c r="B529" s="62" t="s">
        <v>185</v>
      </c>
      <c r="C529" s="63" t="s">
        <v>1</v>
      </c>
      <c r="D529" s="63" t="s">
        <v>128</v>
      </c>
      <c r="E529" s="63" t="s">
        <v>81</v>
      </c>
      <c r="F529" s="63" t="s">
        <v>127</v>
      </c>
      <c r="G529" s="63">
        <v>8</v>
      </c>
      <c r="H529" s="63" t="s">
        <v>131</v>
      </c>
      <c r="I529" s="63">
        <f>INDEX(Matériel!A:Z, MATCH(E529, Matériel!A:A, 0), MATCH(H529, INDEX(Matériel!A:Z, MATCH(E529, Matériel!A:A, 0), 0), 0) + 1)</f>
        <v>100</v>
      </c>
      <c r="J529" s="63">
        <f t="shared" si="51"/>
        <v>1</v>
      </c>
      <c r="K529" s="63">
        <f>VLOOKUP(H529,Manutention!A:E, 3, FALSE) * J529</f>
        <v>1</v>
      </c>
      <c r="L529" s="63" t="s">
        <v>164</v>
      </c>
      <c r="M529" s="63">
        <f>ROUNDUP(K529/VLOOKUP(L529,Camion!A:D, 3, FALSE),0)</f>
        <v>1</v>
      </c>
      <c r="N529" s="63">
        <f>INT(K529/VLOOKUP(L529,Camion!A:D, 3, FALSE))</f>
        <v>0</v>
      </c>
      <c r="O529" s="64">
        <f>ROUND(K529/VLOOKUP(L529,Camion!A:D, 3, FALSE) - N529,2)</f>
        <v>0.11</v>
      </c>
      <c r="P529" s="63" t="s">
        <v>130</v>
      </c>
    </row>
    <row r="530" spans="1:16" x14ac:dyDescent="0.25">
      <c r="A530" s="7">
        <v>23</v>
      </c>
      <c r="B530" s="5" t="s">
        <v>185</v>
      </c>
      <c r="C530" s="65"/>
      <c r="D530" s="65"/>
      <c r="E530" s="65" t="s">
        <v>187</v>
      </c>
      <c r="F530" s="65"/>
      <c r="G530" s="65"/>
      <c r="H530" s="65" t="s">
        <v>131</v>
      </c>
      <c r="I530" s="65"/>
      <c r="J530" s="65"/>
      <c r="K530" s="65">
        <f>SUMIFS(K:K, A:A, 23, B:B, "Z3 Z4", P:P, "Oui", D:D, "Production")</f>
        <v>1</v>
      </c>
      <c r="L530" s="65" t="s">
        <v>164</v>
      </c>
      <c r="M530" s="65">
        <f>ROUNDUP(K530/VLOOKUP(L530,Camion!A:D, 3, FALSE),0)</f>
        <v>1</v>
      </c>
      <c r="N530" s="65">
        <f>INT(K530/VLOOKUP(L530,Camion!A:D, 3, FALSE))</f>
        <v>0</v>
      </c>
      <c r="O530" s="66">
        <f>ROUND(K530/VLOOKUP(L530,Camion!A:D, 3, FALSE) - N530,2)</f>
        <v>0.11</v>
      </c>
      <c r="P530" s="65"/>
    </row>
    <row r="531" spans="1:16" x14ac:dyDescent="0.25">
      <c r="A531" s="7">
        <v>23</v>
      </c>
      <c r="B531" s="5" t="s">
        <v>185</v>
      </c>
      <c r="C531" s="65"/>
      <c r="D531" s="65"/>
      <c r="E531" s="65" t="s">
        <v>188</v>
      </c>
      <c r="F531" s="65"/>
      <c r="G531" s="65"/>
      <c r="H531" s="65" t="s">
        <v>131</v>
      </c>
      <c r="I531" s="65"/>
      <c r="J531" s="65"/>
      <c r="K531" s="65">
        <f>SUMIFS(K:K, A:A, 23, B:B, "Z3 Z4", P:P, "Oui", D:D, "Terminaux")</f>
        <v>23</v>
      </c>
      <c r="L531" s="65" t="s">
        <v>168</v>
      </c>
      <c r="M531" s="65">
        <f>ROUNDUP(K531/VLOOKUP(L531,Camion!A:D, 3, FALSE),0)</f>
        <v>1</v>
      </c>
      <c r="N531" s="65">
        <f>INT(K531/VLOOKUP(L531,Camion!A:D, 3, FALSE))</f>
        <v>0</v>
      </c>
      <c r="O531" s="66">
        <f>ROUND(K531/VLOOKUP(L531,Camion!A:D, 3, FALSE) - N531,2)</f>
        <v>0.68</v>
      </c>
      <c r="P531" s="65"/>
    </row>
    <row r="532" spans="1:16" x14ac:dyDescent="0.25">
      <c r="A532" s="7">
        <v>24</v>
      </c>
      <c r="B532" s="62" t="s">
        <v>184</v>
      </c>
      <c r="C532" s="63" t="s">
        <v>1</v>
      </c>
      <c r="D532" s="63" t="s">
        <v>128</v>
      </c>
      <c r="E532" s="63" t="s">
        <v>71</v>
      </c>
      <c r="F532" s="63" t="s">
        <v>138</v>
      </c>
      <c r="G532" s="63">
        <v>287</v>
      </c>
      <c r="H532" s="63" t="s">
        <v>139</v>
      </c>
      <c r="I532" s="63">
        <f>INDEX(Matériel!A:Z, MATCH(E532, Matériel!A:A, 0), MATCH(H532, INDEX(Matériel!A:Z, MATCH(E532, Matériel!A:A, 0), 0), 0) + 1)</f>
        <v>150</v>
      </c>
      <c r="J532" s="63">
        <f t="shared" ref="J532:J539" si="52">ROUNDUP(G532 / I532, 0)</f>
        <v>2</v>
      </c>
      <c r="K532" s="63">
        <f>VLOOKUP(H532,Manutention!A:E, 3, FALSE) * J532</f>
        <v>6</v>
      </c>
      <c r="L532" s="63" t="s">
        <v>164</v>
      </c>
      <c r="M532" s="63">
        <f>ROUNDUP(K532/VLOOKUP(L532,Camion!A:D, 3, FALSE),0)</f>
        <v>1</v>
      </c>
      <c r="N532" s="63">
        <f>INT(K532/VLOOKUP(L532,Camion!A:D, 3, FALSE))</f>
        <v>0</v>
      </c>
      <c r="O532" s="64">
        <f>ROUND(K532/VLOOKUP(L532,Camion!A:D, 3, FALSE) - N532,2)</f>
        <v>0.67</v>
      </c>
      <c r="P532" s="63" t="s">
        <v>130</v>
      </c>
    </row>
    <row r="533" spans="1:16" x14ac:dyDescent="0.25">
      <c r="A533" s="7">
        <v>24</v>
      </c>
      <c r="B533" s="62" t="s">
        <v>184</v>
      </c>
      <c r="C533" s="63" t="s">
        <v>1</v>
      </c>
      <c r="D533" s="63" t="s">
        <v>135</v>
      </c>
      <c r="E533" s="63" t="s">
        <v>72</v>
      </c>
      <c r="F533" s="63" t="s">
        <v>138</v>
      </c>
      <c r="G533" s="63">
        <v>878</v>
      </c>
      <c r="H533" s="63" t="s">
        <v>143</v>
      </c>
      <c r="I533" s="63">
        <f>INDEX(Matériel!A:Z, MATCH(E533, Matériel!A:A, 0), MATCH(H533, INDEX(Matériel!A:Z, MATCH(E533, Matériel!A:A, 0), 0), 0) + 1)</f>
        <v>1000</v>
      </c>
      <c r="J533" s="63">
        <f t="shared" si="52"/>
        <v>1</v>
      </c>
      <c r="K533" s="63">
        <f>VLOOKUP(H533,Manutention!A:E, 3, FALSE) * J533</f>
        <v>1</v>
      </c>
      <c r="L533" s="63" t="s">
        <v>164</v>
      </c>
      <c r="M533" s="63">
        <f>ROUNDUP(K533/VLOOKUP(L533,Camion!A:D, 3, FALSE),0)</f>
        <v>1</v>
      </c>
      <c r="N533" s="63">
        <f>INT(K533/VLOOKUP(L533,Camion!A:D, 3, FALSE))</f>
        <v>0</v>
      </c>
      <c r="O533" s="64">
        <f>ROUND(K533/VLOOKUP(L533,Camion!A:D, 3, FALSE) - N533,2)</f>
        <v>0.11</v>
      </c>
      <c r="P533" s="63" t="s">
        <v>130</v>
      </c>
    </row>
    <row r="534" spans="1:16" x14ac:dyDescent="0.25">
      <c r="A534" s="7">
        <v>24</v>
      </c>
      <c r="B534" s="62" t="s">
        <v>184</v>
      </c>
      <c r="C534" s="63" t="s">
        <v>1</v>
      </c>
      <c r="D534" s="63" t="s">
        <v>135</v>
      </c>
      <c r="E534" s="63" t="s">
        <v>75</v>
      </c>
      <c r="F534" s="63" t="s">
        <v>127</v>
      </c>
      <c r="G534" s="63">
        <v>45</v>
      </c>
      <c r="H534" s="63" t="s">
        <v>136</v>
      </c>
      <c r="I534" s="63">
        <f>INDEX(Matériel!A:Z, MATCH(E534, Matériel!A:A, 0), MATCH(H534, INDEX(Matériel!A:Z, MATCH(E534, Matériel!A:A, 0), 0), 0) + 1)</f>
        <v>60</v>
      </c>
      <c r="J534" s="63">
        <f t="shared" si="52"/>
        <v>1</v>
      </c>
      <c r="K534" s="63">
        <f>VLOOKUP(H534,Manutention!A:E, 3, FALSE) * J534</f>
        <v>1</v>
      </c>
      <c r="L534" s="63" t="s">
        <v>164</v>
      </c>
      <c r="M534" s="63">
        <f>ROUNDUP(K534/VLOOKUP(L534,Camion!A:D, 3, FALSE),0)</f>
        <v>1</v>
      </c>
      <c r="N534" s="63">
        <f>INT(K534/VLOOKUP(L534,Camion!A:D, 3, FALSE))</f>
        <v>0</v>
      </c>
      <c r="O534" s="64">
        <f>ROUND(K534/VLOOKUP(L534,Camion!A:D, 3, FALSE) - N534,2)</f>
        <v>0.11</v>
      </c>
      <c r="P534" s="63" t="s">
        <v>129</v>
      </c>
    </row>
    <row r="535" spans="1:16" x14ac:dyDescent="0.25">
      <c r="A535" s="7">
        <v>24</v>
      </c>
      <c r="B535" s="62" t="s">
        <v>184</v>
      </c>
      <c r="C535" s="63" t="s">
        <v>1</v>
      </c>
      <c r="D535" s="63" t="s">
        <v>128</v>
      </c>
      <c r="E535" s="63" t="s">
        <v>76</v>
      </c>
      <c r="F535" s="63" t="s">
        <v>127</v>
      </c>
      <c r="G535" s="63">
        <v>22</v>
      </c>
      <c r="H535" s="63" t="s">
        <v>131</v>
      </c>
      <c r="I535" s="63">
        <f>INDEX(Matériel!A:Z, MATCH(E535, Matériel!A:A, 0), MATCH(H535, INDEX(Matériel!A:Z, MATCH(E535, Matériel!A:A, 0), 0), 0) + 1)</f>
        <v>100</v>
      </c>
      <c r="J535" s="63">
        <f t="shared" si="52"/>
        <v>1</v>
      </c>
      <c r="K535" s="63">
        <f>VLOOKUP(H535,Manutention!A:E, 3, FALSE) * J535</f>
        <v>1</v>
      </c>
      <c r="L535" s="63" t="s">
        <v>164</v>
      </c>
      <c r="M535" s="63">
        <f>ROUNDUP(K535/VLOOKUP(L535,Camion!A:D, 3, FALSE),0)</f>
        <v>1</v>
      </c>
      <c r="N535" s="63">
        <f>INT(K535/VLOOKUP(L535,Camion!A:D, 3, FALSE))</f>
        <v>0</v>
      </c>
      <c r="O535" s="64">
        <f>ROUND(K535/VLOOKUP(L535,Camion!A:D, 3, FALSE) - N535,2)</f>
        <v>0.11</v>
      </c>
      <c r="P535" s="63" t="s">
        <v>129</v>
      </c>
    </row>
    <row r="536" spans="1:16" x14ac:dyDescent="0.25">
      <c r="A536" s="7">
        <v>24</v>
      </c>
      <c r="B536" s="62" t="s">
        <v>184</v>
      </c>
      <c r="C536" s="63" t="s">
        <v>1</v>
      </c>
      <c r="D536" s="63" t="s">
        <v>135</v>
      </c>
      <c r="E536" s="63" t="s">
        <v>77</v>
      </c>
      <c r="F536" s="63" t="s">
        <v>127</v>
      </c>
      <c r="G536" s="63">
        <v>188</v>
      </c>
      <c r="H536" s="63" t="s">
        <v>131</v>
      </c>
      <c r="I536" s="63">
        <f>INDEX(Matériel!A:Z, MATCH(E536, Matériel!A:A, 0), MATCH(H536, INDEX(Matériel!A:Z, MATCH(E536, Matériel!A:A, 0), 0), 0) + 1)</f>
        <v>20</v>
      </c>
      <c r="J536" s="63">
        <f t="shared" si="52"/>
        <v>10</v>
      </c>
      <c r="K536" s="63">
        <f>VLOOKUP(H536,Manutention!A:E, 3, FALSE) * J536</f>
        <v>10</v>
      </c>
      <c r="L536" s="63" t="s">
        <v>165</v>
      </c>
      <c r="M536" s="63">
        <f>ROUNDUP(K536/VLOOKUP(L536,Camion!A:D, 3, FALSE),0)</f>
        <v>1</v>
      </c>
      <c r="N536" s="63">
        <f>INT(K536/VLOOKUP(L536,Camion!A:D, 3, FALSE))</f>
        <v>0</v>
      </c>
      <c r="O536" s="64">
        <f>ROUND(K536/VLOOKUP(L536,Camion!A:D, 3, FALSE) - N536,2)</f>
        <v>0.83</v>
      </c>
      <c r="P536" s="63" t="s">
        <v>129</v>
      </c>
    </row>
    <row r="537" spans="1:16" x14ac:dyDescent="0.25">
      <c r="A537" s="7">
        <v>24</v>
      </c>
      <c r="B537" s="62" t="s">
        <v>184</v>
      </c>
      <c r="C537" s="63" t="s">
        <v>1</v>
      </c>
      <c r="D537" s="63" t="s">
        <v>135</v>
      </c>
      <c r="E537" s="63" t="s">
        <v>78</v>
      </c>
      <c r="F537" s="63" t="s">
        <v>127</v>
      </c>
      <c r="G537" s="63">
        <v>4</v>
      </c>
      <c r="H537" s="63" t="s">
        <v>133</v>
      </c>
      <c r="I537" s="63">
        <f>INDEX(Matériel!A:Z, MATCH(E537, Matériel!A:A, 0), MATCH(H537, INDEX(Matériel!A:Z, MATCH(E537, Matériel!A:A, 0), 0), 0) + 1)</f>
        <v>1</v>
      </c>
      <c r="J537" s="63">
        <f t="shared" si="52"/>
        <v>4</v>
      </c>
      <c r="K537" s="63">
        <f>VLOOKUP(H537,Manutention!A:E, 3, FALSE) * J537</f>
        <v>8</v>
      </c>
      <c r="L537" s="63" t="s">
        <v>164</v>
      </c>
      <c r="M537" s="63">
        <f>ROUNDUP(K537/VLOOKUP(L537,Camion!A:D, 3, FALSE),0)</f>
        <v>1</v>
      </c>
      <c r="N537" s="63">
        <f>INT(K537/VLOOKUP(L537,Camion!A:D, 3, FALSE))</f>
        <v>0</v>
      </c>
      <c r="O537" s="64">
        <f>ROUND(K537/VLOOKUP(L537,Camion!A:D, 3, FALSE) - N537,2)</f>
        <v>0.89</v>
      </c>
      <c r="P537" s="63" t="s">
        <v>129</v>
      </c>
    </row>
    <row r="538" spans="1:16" x14ac:dyDescent="0.25">
      <c r="A538" s="7">
        <v>24</v>
      </c>
      <c r="B538" s="62" t="s">
        <v>184</v>
      </c>
      <c r="C538" s="63" t="s">
        <v>1</v>
      </c>
      <c r="D538" s="63" t="s">
        <v>135</v>
      </c>
      <c r="E538" s="63" t="s">
        <v>79</v>
      </c>
      <c r="F538" s="63" t="s">
        <v>127</v>
      </c>
      <c r="G538" s="63">
        <v>2</v>
      </c>
      <c r="H538" s="63" t="s">
        <v>133</v>
      </c>
      <c r="I538" s="63">
        <f>INDEX(Matériel!A:Z, MATCH(E538, Matériel!A:A, 0), MATCH(H538, INDEX(Matériel!A:Z, MATCH(E538, Matériel!A:A, 0), 0), 0) + 1)</f>
        <v>1</v>
      </c>
      <c r="J538" s="63">
        <f t="shared" si="52"/>
        <v>2</v>
      </c>
      <c r="K538" s="63">
        <f>VLOOKUP(H538,Manutention!A:E, 3, FALSE) * J538</f>
        <v>4</v>
      </c>
      <c r="L538" s="63" t="s">
        <v>164</v>
      </c>
      <c r="M538" s="63">
        <f>ROUNDUP(K538/VLOOKUP(L538,Camion!A:D, 3, FALSE),0)</f>
        <v>1</v>
      </c>
      <c r="N538" s="63">
        <f>INT(K538/VLOOKUP(L538,Camion!A:D, 3, FALSE))</f>
        <v>0</v>
      </c>
      <c r="O538" s="64">
        <f>ROUND(K538/VLOOKUP(L538,Camion!A:D, 3, FALSE) - N538,2)</f>
        <v>0.44</v>
      </c>
      <c r="P538" s="63" t="s">
        <v>129</v>
      </c>
    </row>
    <row r="539" spans="1:16" x14ac:dyDescent="0.25">
      <c r="A539" s="7">
        <v>24</v>
      </c>
      <c r="B539" s="62" t="s">
        <v>184</v>
      </c>
      <c r="C539" s="63" t="s">
        <v>1</v>
      </c>
      <c r="D539" s="63" t="s">
        <v>128</v>
      </c>
      <c r="E539" s="63" t="s">
        <v>81</v>
      </c>
      <c r="F539" s="63" t="s">
        <v>127</v>
      </c>
      <c r="G539" s="63">
        <v>8</v>
      </c>
      <c r="H539" s="63" t="s">
        <v>131</v>
      </c>
      <c r="I539" s="63">
        <f>INDEX(Matériel!A:Z, MATCH(E539, Matériel!A:A, 0), MATCH(H539, INDEX(Matériel!A:Z, MATCH(E539, Matériel!A:A, 0), 0), 0) + 1)</f>
        <v>100</v>
      </c>
      <c r="J539" s="63">
        <f t="shared" si="52"/>
        <v>1</v>
      </c>
      <c r="K539" s="63">
        <f>VLOOKUP(H539,Manutention!A:E, 3, FALSE) * J539</f>
        <v>1</v>
      </c>
      <c r="L539" s="63" t="s">
        <v>164</v>
      </c>
      <c r="M539" s="63">
        <f>ROUNDUP(K539/VLOOKUP(L539,Camion!A:D, 3, FALSE),0)</f>
        <v>1</v>
      </c>
      <c r="N539" s="63">
        <f>INT(K539/VLOOKUP(L539,Camion!A:D, 3, FALSE))</f>
        <v>0</v>
      </c>
      <c r="O539" s="64">
        <f>ROUND(K539/VLOOKUP(L539,Camion!A:D, 3, FALSE) - N539,2)</f>
        <v>0.11</v>
      </c>
      <c r="P539" s="63" t="s">
        <v>130</v>
      </c>
    </row>
    <row r="540" spans="1:16" x14ac:dyDescent="0.25">
      <c r="A540" s="7">
        <v>24</v>
      </c>
      <c r="B540" s="5" t="s">
        <v>184</v>
      </c>
      <c r="C540" s="65"/>
      <c r="D540" s="65"/>
      <c r="E540" s="65" t="s">
        <v>187</v>
      </c>
      <c r="F540" s="65"/>
      <c r="G540" s="65"/>
      <c r="H540" s="65" t="s">
        <v>131</v>
      </c>
      <c r="I540" s="65"/>
      <c r="J540" s="65"/>
      <c r="K540" s="65">
        <f>SUMIFS(K:K, A:A, 24, B:B, "Z1 Z2", P:P, "Oui", D:D, "Production")</f>
        <v>1</v>
      </c>
      <c r="L540" s="65" t="s">
        <v>164</v>
      </c>
      <c r="M540" s="65">
        <f>ROUNDUP(K540/VLOOKUP(L540,Camion!A:D, 3, FALSE),0)</f>
        <v>1</v>
      </c>
      <c r="N540" s="65">
        <f>INT(K540/VLOOKUP(L540,Camion!A:D, 3, FALSE))</f>
        <v>0</v>
      </c>
      <c r="O540" s="66">
        <f>ROUND(K540/VLOOKUP(L540,Camion!A:D, 3, FALSE) - N540,2)</f>
        <v>0.11</v>
      </c>
      <c r="P540" s="65"/>
    </row>
    <row r="541" spans="1:16" x14ac:dyDescent="0.25">
      <c r="A541" s="7">
        <v>24</v>
      </c>
      <c r="B541" s="5" t="s">
        <v>184</v>
      </c>
      <c r="C541" s="65"/>
      <c r="D541" s="65"/>
      <c r="E541" s="65" t="s">
        <v>188</v>
      </c>
      <c r="F541" s="65"/>
      <c r="G541" s="65"/>
      <c r="H541" s="65" t="s">
        <v>131</v>
      </c>
      <c r="I541" s="65"/>
      <c r="J541" s="65"/>
      <c r="K541" s="65">
        <f>SUMIFS(K:K, A:A, 24, B:B, "Z1 Z2", P:P, "Oui", D:D, "Terminaux")</f>
        <v>23</v>
      </c>
      <c r="L541" s="65" t="s">
        <v>168</v>
      </c>
      <c r="M541" s="65">
        <f>ROUNDUP(K541/VLOOKUP(L541,Camion!A:D, 3, FALSE),0)</f>
        <v>1</v>
      </c>
      <c r="N541" s="65">
        <f>INT(K541/VLOOKUP(L541,Camion!A:D, 3, FALSE))</f>
        <v>0</v>
      </c>
      <c r="O541" s="66">
        <f>ROUND(K541/VLOOKUP(L541,Camion!A:D, 3, FALSE) - N541,2)</f>
        <v>0.68</v>
      </c>
      <c r="P541" s="65"/>
    </row>
    <row r="542" spans="1:16" x14ac:dyDescent="0.25">
      <c r="A542" s="7">
        <v>24</v>
      </c>
      <c r="B542" s="62" t="s">
        <v>185</v>
      </c>
      <c r="C542" s="63" t="s">
        <v>1</v>
      </c>
      <c r="D542" s="63" t="s">
        <v>128</v>
      </c>
      <c r="E542" s="63" t="s">
        <v>71</v>
      </c>
      <c r="F542" s="63" t="s">
        <v>138</v>
      </c>
      <c r="G542" s="63">
        <v>282</v>
      </c>
      <c r="H542" s="63" t="s">
        <v>139</v>
      </c>
      <c r="I542" s="63">
        <f>INDEX(Matériel!A:Z, MATCH(E542, Matériel!A:A, 0), MATCH(H542, INDEX(Matériel!A:Z, MATCH(E542, Matériel!A:A, 0), 0), 0) + 1)</f>
        <v>150</v>
      </c>
      <c r="J542" s="63">
        <f t="shared" ref="J542:J549" si="53">ROUNDUP(G542 / I542, 0)</f>
        <v>2</v>
      </c>
      <c r="K542" s="63">
        <f>VLOOKUP(H542,Manutention!A:E, 3, FALSE) * J542</f>
        <v>6</v>
      </c>
      <c r="L542" s="63" t="s">
        <v>164</v>
      </c>
      <c r="M542" s="63">
        <f>ROUNDUP(K542/VLOOKUP(L542,Camion!A:D, 3, FALSE),0)</f>
        <v>1</v>
      </c>
      <c r="N542" s="63">
        <f>INT(K542/VLOOKUP(L542,Camion!A:D, 3, FALSE))</f>
        <v>0</v>
      </c>
      <c r="O542" s="64">
        <f>ROUND(K542/VLOOKUP(L542,Camion!A:D, 3, FALSE) - N542,2)</f>
        <v>0.67</v>
      </c>
      <c r="P542" s="63" t="s">
        <v>130</v>
      </c>
    </row>
    <row r="543" spans="1:16" x14ac:dyDescent="0.25">
      <c r="A543" s="7">
        <v>24</v>
      </c>
      <c r="B543" s="62" t="s">
        <v>185</v>
      </c>
      <c r="C543" s="63" t="s">
        <v>1</v>
      </c>
      <c r="D543" s="63" t="s">
        <v>135</v>
      </c>
      <c r="E543" s="63" t="s">
        <v>72</v>
      </c>
      <c r="F543" s="63" t="s">
        <v>138</v>
      </c>
      <c r="G543" s="63">
        <v>865</v>
      </c>
      <c r="H543" s="63" t="s">
        <v>143</v>
      </c>
      <c r="I543" s="63">
        <f>INDEX(Matériel!A:Z, MATCH(E543, Matériel!A:A, 0), MATCH(H543, INDEX(Matériel!A:Z, MATCH(E543, Matériel!A:A, 0), 0), 0) + 1)</f>
        <v>1000</v>
      </c>
      <c r="J543" s="63">
        <f t="shared" si="53"/>
        <v>1</v>
      </c>
      <c r="K543" s="63">
        <f>VLOOKUP(H543,Manutention!A:E, 3, FALSE) * J543</f>
        <v>1</v>
      </c>
      <c r="L543" s="63" t="s">
        <v>164</v>
      </c>
      <c r="M543" s="63">
        <f>ROUNDUP(K543/VLOOKUP(L543,Camion!A:D, 3, FALSE),0)</f>
        <v>1</v>
      </c>
      <c r="N543" s="63">
        <f>INT(K543/VLOOKUP(L543,Camion!A:D, 3, FALSE))</f>
        <v>0</v>
      </c>
      <c r="O543" s="64">
        <f>ROUND(K543/VLOOKUP(L543,Camion!A:D, 3, FALSE) - N543,2)</f>
        <v>0.11</v>
      </c>
      <c r="P543" s="63" t="s">
        <v>130</v>
      </c>
    </row>
    <row r="544" spans="1:16" x14ac:dyDescent="0.25">
      <c r="A544" s="7">
        <v>24</v>
      </c>
      <c r="B544" s="62" t="s">
        <v>185</v>
      </c>
      <c r="C544" s="63" t="s">
        <v>1</v>
      </c>
      <c r="D544" s="63" t="s">
        <v>135</v>
      </c>
      <c r="E544" s="63" t="s">
        <v>75</v>
      </c>
      <c r="F544" s="63" t="s">
        <v>127</v>
      </c>
      <c r="G544" s="63">
        <v>44</v>
      </c>
      <c r="H544" s="63" t="s">
        <v>136</v>
      </c>
      <c r="I544" s="63">
        <f>INDEX(Matériel!A:Z, MATCH(E544, Matériel!A:A, 0), MATCH(H544, INDEX(Matériel!A:Z, MATCH(E544, Matériel!A:A, 0), 0), 0) + 1)</f>
        <v>60</v>
      </c>
      <c r="J544" s="63">
        <f t="shared" si="53"/>
        <v>1</v>
      </c>
      <c r="K544" s="63">
        <f>VLOOKUP(H544,Manutention!A:E, 3, FALSE) * J544</f>
        <v>1</v>
      </c>
      <c r="L544" s="63" t="s">
        <v>164</v>
      </c>
      <c r="M544" s="63">
        <f>ROUNDUP(K544/VLOOKUP(L544,Camion!A:D, 3, FALSE),0)</f>
        <v>1</v>
      </c>
      <c r="N544" s="63">
        <f>INT(K544/VLOOKUP(L544,Camion!A:D, 3, FALSE))</f>
        <v>0</v>
      </c>
      <c r="O544" s="64">
        <f>ROUND(K544/VLOOKUP(L544,Camion!A:D, 3, FALSE) - N544,2)</f>
        <v>0.11</v>
      </c>
      <c r="P544" s="63" t="s">
        <v>129</v>
      </c>
    </row>
    <row r="545" spans="1:16" x14ac:dyDescent="0.25">
      <c r="A545" s="7">
        <v>24</v>
      </c>
      <c r="B545" s="62" t="s">
        <v>185</v>
      </c>
      <c r="C545" s="63" t="s">
        <v>1</v>
      </c>
      <c r="D545" s="63" t="s">
        <v>128</v>
      </c>
      <c r="E545" s="63" t="s">
        <v>76</v>
      </c>
      <c r="F545" s="63" t="s">
        <v>127</v>
      </c>
      <c r="G545" s="63">
        <v>22</v>
      </c>
      <c r="H545" s="63" t="s">
        <v>131</v>
      </c>
      <c r="I545" s="63">
        <f>INDEX(Matériel!A:Z, MATCH(E545, Matériel!A:A, 0), MATCH(H545, INDEX(Matériel!A:Z, MATCH(E545, Matériel!A:A, 0), 0), 0) + 1)</f>
        <v>100</v>
      </c>
      <c r="J545" s="63">
        <f t="shared" si="53"/>
        <v>1</v>
      </c>
      <c r="K545" s="63">
        <f>VLOOKUP(H545,Manutention!A:E, 3, FALSE) * J545</f>
        <v>1</v>
      </c>
      <c r="L545" s="63" t="s">
        <v>164</v>
      </c>
      <c r="M545" s="63">
        <f>ROUNDUP(K545/VLOOKUP(L545,Camion!A:D, 3, FALSE),0)</f>
        <v>1</v>
      </c>
      <c r="N545" s="63">
        <f>INT(K545/VLOOKUP(L545,Camion!A:D, 3, FALSE))</f>
        <v>0</v>
      </c>
      <c r="O545" s="64">
        <f>ROUND(K545/VLOOKUP(L545,Camion!A:D, 3, FALSE) - N545,2)</f>
        <v>0.11</v>
      </c>
      <c r="P545" s="63" t="s">
        <v>129</v>
      </c>
    </row>
    <row r="546" spans="1:16" x14ac:dyDescent="0.25">
      <c r="A546" s="7">
        <v>24</v>
      </c>
      <c r="B546" s="62" t="s">
        <v>185</v>
      </c>
      <c r="C546" s="63" t="s">
        <v>1</v>
      </c>
      <c r="D546" s="63" t="s">
        <v>135</v>
      </c>
      <c r="E546" s="63" t="s">
        <v>77</v>
      </c>
      <c r="F546" s="63" t="s">
        <v>127</v>
      </c>
      <c r="G546" s="63">
        <v>185</v>
      </c>
      <c r="H546" s="63" t="s">
        <v>131</v>
      </c>
      <c r="I546" s="63">
        <f>INDEX(Matériel!A:Z, MATCH(E546, Matériel!A:A, 0), MATCH(H546, INDEX(Matériel!A:Z, MATCH(E546, Matériel!A:A, 0), 0), 0) + 1)</f>
        <v>20</v>
      </c>
      <c r="J546" s="63">
        <f t="shared" si="53"/>
        <v>10</v>
      </c>
      <c r="K546" s="63">
        <f>VLOOKUP(H546,Manutention!A:E, 3, FALSE) * J546</f>
        <v>10</v>
      </c>
      <c r="L546" s="63" t="s">
        <v>165</v>
      </c>
      <c r="M546" s="63">
        <f>ROUNDUP(K546/VLOOKUP(L546,Camion!A:D, 3, FALSE),0)</f>
        <v>1</v>
      </c>
      <c r="N546" s="63">
        <f>INT(K546/VLOOKUP(L546,Camion!A:D, 3, FALSE))</f>
        <v>0</v>
      </c>
      <c r="O546" s="64">
        <f>ROUND(K546/VLOOKUP(L546,Camion!A:D, 3, FALSE) - N546,2)</f>
        <v>0.83</v>
      </c>
      <c r="P546" s="63" t="s">
        <v>129</v>
      </c>
    </row>
    <row r="547" spans="1:16" x14ac:dyDescent="0.25">
      <c r="A547" s="7">
        <v>24</v>
      </c>
      <c r="B547" s="62" t="s">
        <v>185</v>
      </c>
      <c r="C547" s="63" t="s">
        <v>1</v>
      </c>
      <c r="D547" s="63" t="s">
        <v>135</v>
      </c>
      <c r="E547" s="63" t="s">
        <v>78</v>
      </c>
      <c r="F547" s="63" t="s">
        <v>127</v>
      </c>
      <c r="G547" s="63">
        <v>4</v>
      </c>
      <c r="H547" s="63" t="s">
        <v>133</v>
      </c>
      <c r="I547" s="63">
        <f>INDEX(Matériel!A:Z, MATCH(E547, Matériel!A:A, 0), MATCH(H547, INDEX(Matériel!A:Z, MATCH(E547, Matériel!A:A, 0), 0), 0) + 1)</f>
        <v>1</v>
      </c>
      <c r="J547" s="63">
        <f t="shared" si="53"/>
        <v>4</v>
      </c>
      <c r="K547" s="63">
        <f>VLOOKUP(H547,Manutention!A:E, 3, FALSE) * J547</f>
        <v>8</v>
      </c>
      <c r="L547" s="63" t="s">
        <v>164</v>
      </c>
      <c r="M547" s="63">
        <f>ROUNDUP(K547/VLOOKUP(L547,Camion!A:D, 3, FALSE),0)</f>
        <v>1</v>
      </c>
      <c r="N547" s="63">
        <f>INT(K547/VLOOKUP(L547,Camion!A:D, 3, FALSE))</f>
        <v>0</v>
      </c>
      <c r="O547" s="64">
        <f>ROUND(K547/VLOOKUP(L547,Camion!A:D, 3, FALSE) - N547,2)</f>
        <v>0.89</v>
      </c>
      <c r="P547" s="63" t="s">
        <v>129</v>
      </c>
    </row>
    <row r="548" spans="1:16" x14ac:dyDescent="0.25">
      <c r="A548" s="7">
        <v>24</v>
      </c>
      <c r="B548" s="62" t="s">
        <v>185</v>
      </c>
      <c r="C548" s="63" t="s">
        <v>1</v>
      </c>
      <c r="D548" s="63" t="s">
        <v>135</v>
      </c>
      <c r="E548" s="63" t="s">
        <v>79</v>
      </c>
      <c r="F548" s="63" t="s">
        <v>127</v>
      </c>
      <c r="G548" s="63">
        <v>2</v>
      </c>
      <c r="H548" s="63" t="s">
        <v>133</v>
      </c>
      <c r="I548" s="63">
        <f>INDEX(Matériel!A:Z, MATCH(E548, Matériel!A:A, 0), MATCH(H548, INDEX(Matériel!A:Z, MATCH(E548, Matériel!A:A, 0), 0), 0) + 1)</f>
        <v>1</v>
      </c>
      <c r="J548" s="63">
        <f t="shared" si="53"/>
        <v>2</v>
      </c>
      <c r="K548" s="63">
        <f>VLOOKUP(H548,Manutention!A:E, 3, FALSE) * J548</f>
        <v>4</v>
      </c>
      <c r="L548" s="63" t="s">
        <v>164</v>
      </c>
      <c r="M548" s="63">
        <f>ROUNDUP(K548/VLOOKUP(L548,Camion!A:D, 3, FALSE),0)</f>
        <v>1</v>
      </c>
      <c r="N548" s="63">
        <f>INT(K548/VLOOKUP(L548,Camion!A:D, 3, FALSE))</f>
        <v>0</v>
      </c>
      <c r="O548" s="64">
        <f>ROUND(K548/VLOOKUP(L548,Camion!A:D, 3, FALSE) - N548,2)</f>
        <v>0.44</v>
      </c>
      <c r="P548" s="63" t="s">
        <v>129</v>
      </c>
    </row>
    <row r="549" spans="1:16" x14ac:dyDescent="0.25">
      <c r="A549" s="7">
        <v>24</v>
      </c>
      <c r="B549" s="62" t="s">
        <v>185</v>
      </c>
      <c r="C549" s="63" t="s">
        <v>1</v>
      </c>
      <c r="D549" s="63" t="s">
        <v>128</v>
      </c>
      <c r="E549" s="63" t="s">
        <v>81</v>
      </c>
      <c r="F549" s="63" t="s">
        <v>127</v>
      </c>
      <c r="G549" s="63">
        <v>8</v>
      </c>
      <c r="H549" s="63" t="s">
        <v>131</v>
      </c>
      <c r="I549" s="63">
        <f>INDEX(Matériel!A:Z, MATCH(E549, Matériel!A:A, 0), MATCH(H549, INDEX(Matériel!A:Z, MATCH(E549, Matériel!A:A, 0), 0), 0) + 1)</f>
        <v>100</v>
      </c>
      <c r="J549" s="63">
        <f t="shared" si="53"/>
        <v>1</v>
      </c>
      <c r="K549" s="63">
        <f>VLOOKUP(H549,Manutention!A:E, 3, FALSE) * J549</f>
        <v>1</v>
      </c>
      <c r="L549" s="63" t="s">
        <v>164</v>
      </c>
      <c r="M549" s="63">
        <f>ROUNDUP(K549/VLOOKUP(L549,Camion!A:D, 3, FALSE),0)</f>
        <v>1</v>
      </c>
      <c r="N549" s="63">
        <f>INT(K549/VLOOKUP(L549,Camion!A:D, 3, FALSE))</f>
        <v>0</v>
      </c>
      <c r="O549" s="64">
        <f>ROUND(K549/VLOOKUP(L549,Camion!A:D, 3, FALSE) - N549,2)</f>
        <v>0.11</v>
      </c>
      <c r="P549" s="63" t="s">
        <v>130</v>
      </c>
    </row>
    <row r="550" spans="1:16" x14ac:dyDescent="0.25">
      <c r="A550" s="7">
        <v>24</v>
      </c>
      <c r="B550" s="5" t="s">
        <v>185</v>
      </c>
      <c r="C550" s="65"/>
      <c r="D550" s="65"/>
      <c r="E550" s="65" t="s">
        <v>187</v>
      </c>
      <c r="F550" s="65"/>
      <c r="G550" s="65"/>
      <c r="H550" s="65" t="s">
        <v>131</v>
      </c>
      <c r="I550" s="65"/>
      <c r="J550" s="65"/>
      <c r="K550" s="65">
        <f>SUMIFS(K:K, A:A, 24, B:B, "Z3 Z4", P:P, "Oui", D:D, "Production")</f>
        <v>1</v>
      </c>
      <c r="L550" s="65" t="s">
        <v>164</v>
      </c>
      <c r="M550" s="65">
        <f>ROUNDUP(K550/VLOOKUP(L550,Camion!A:D, 3, FALSE),0)</f>
        <v>1</v>
      </c>
      <c r="N550" s="65">
        <f>INT(K550/VLOOKUP(L550,Camion!A:D, 3, FALSE))</f>
        <v>0</v>
      </c>
      <c r="O550" s="66">
        <f>ROUND(K550/VLOOKUP(L550,Camion!A:D, 3, FALSE) - N550,2)</f>
        <v>0.11</v>
      </c>
      <c r="P550" s="65"/>
    </row>
    <row r="551" spans="1:16" x14ac:dyDescent="0.25">
      <c r="A551" s="7">
        <v>24</v>
      </c>
      <c r="B551" s="5" t="s">
        <v>185</v>
      </c>
      <c r="C551" s="65"/>
      <c r="D551" s="65"/>
      <c r="E551" s="65" t="s">
        <v>188</v>
      </c>
      <c r="F551" s="65"/>
      <c r="G551" s="65"/>
      <c r="H551" s="65" t="s">
        <v>131</v>
      </c>
      <c r="I551" s="65"/>
      <c r="J551" s="65"/>
      <c r="K551" s="65">
        <f>SUMIFS(K:K, A:A, 24, B:B, "Z3 Z4", P:P, "Oui", D:D, "Terminaux")</f>
        <v>23</v>
      </c>
      <c r="L551" s="65" t="s">
        <v>168</v>
      </c>
      <c r="M551" s="65">
        <f>ROUNDUP(K551/VLOOKUP(L551,Camion!A:D, 3, FALSE),0)</f>
        <v>1</v>
      </c>
      <c r="N551" s="65">
        <f>INT(K551/VLOOKUP(L551,Camion!A:D, 3, FALSE))</f>
        <v>0</v>
      </c>
      <c r="O551" s="66">
        <f>ROUND(K551/VLOOKUP(L551,Camion!A:D, 3, FALSE) - N551,2)</f>
        <v>0.68</v>
      </c>
      <c r="P551" s="65"/>
    </row>
    <row r="552" spans="1:16" x14ac:dyDescent="0.25">
      <c r="A552" s="7">
        <v>25</v>
      </c>
      <c r="B552" s="62" t="s">
        <v>184</v>
      </c>
      <c r="C552" s="63" t="s">
        <v>1</v>
      </c>
      <c r="D552" s="63" t="s">
        <v>128</v>
      </c>
      <c r="E552" s="63" t="s">
        <v>71</v>
      </c>
      <c r="F552" s="63" t="s">
        <v>138</v>
      </c>
      <c r="G552" s="63">
        <v>278</v>
      </c>
      <c r="H552" s="63" t="s">
        <v>139</v>
      </c>
      <c r="I552" s="63">
        <f>INDEX(Matériel!A:Z, MATCH(E552, Matériel!A:A, 0), MATCH(H552, INDEX(Matériel!A:Z, MATCH(E552, Matériel!A:A, 0), 0), 0) + 1)</f>
        <v>150</v>
      </c>
      <c r="J552" s="63">
        <f t="shared" ref="J552:J559" si="54">ROUNDUP(G552 / I552, 0)</f>
        <v>2</v>
      </c>
      <c r="K552" s="63">
        <f>VLOOKUP(H552,Manutention!A:E, 3, FALSE) * J552</f>
        <v>6</v>
      </c>
      <c r="L552" s="63" t="s">
        <v>164</v>
      </c>
      <c r="M552" s="63">
        <f>ROUNDUP(K552/VLOOKUP(L552,Camion!A:D, 3, FALSE),0)</f>
        <v>1</v>
      </c>
      <c r="N552" s="63">
        <f>INT(K552/VLOOKUP(L552,Camion!A:D, 3, FALSE))</f>
        <v>0</v>
      </c>
      <c r="O552" s="64">
        <f>ROUND(K552/VLOOKUP(L552,Camion!A:D, 3, FALSE) - N552,2)</f>
        <v>0.67</v>
      </c>
      <c r="P552" s="63" t="s">
        <v>130</v>
      </c>
    </row>
    <row r="553" spans="1:16" x14ac:dyDescent="0.25">
      <c r="A553" s="7">
        <v>25</v>
      </c>
      <c r="B553" s="62" t="s">
        <v>184</v>
      </c>
      <c r="C553" s="63" t="s">
        <v>1</v>
      </c>
      <c r="D553" s="63" t="s">
        <v>135</v>
      </c>
      <c r="E553" s="63" t="s">
        <v>72</v>
      </c>
      <c r="F553" s="63" t="s">
        <v>138</v>
      </c>
      <c r="G553" s="63">
        <v>852</v>
      </c>
      <c r="H553" s="63" t="s">
        <v>143</v>
      </c>
      <c r="I553" s="63">
        <f>INDEX(Matériel!A:Z, MATCH(E553, Matériel!A:A, 0), MATCH(H553, INDEX(Matériel!A:Z, MATCH(E553, Matériel!A:A, 0), 0), 0) + 1)</f>
        <v>1000</v>
      </c>
      <c r="J553" s="63">
        <f t="shared" si="54"/>
        <v>1</v>
      </c>
      <c r="K553" s="63">
        <f>VLOOKUP(H553,Manutention!A:E, 3, FALSE) * J553</f>
        <v>1</v>
      </c>
      <c r="L553" s="63" t="s">
        <v>164</v>
      </c>
      <c r="M553" s="63">
        <f>ROUNDUP(K553/VLOOKUP(L553,Camion!A:D, 3, FALSE),0)</f>
        <v>1</v>
      </c>
      <c r="N553" s="63">
        <f>INT(K553/VLOOKUP(L553,Camion!A:D, 3, FALSE))</f>
        <v>0</v>
      </c>
      <c r="O553" s="64">
        <f>ROUND(K553/VLOOKUP(L553,Camion!A:D, 3, FALSE) - N553,2)</f>
        <v>0.11</v>
      </c>
      <c r="P553" s="63" t="s">
        <v>130</v>
      </c>
    </row>
    <row r="554" spans="1:16" x14ac:dyDescent="0.25">
      <c r="A554" s="7">
        <v>25</v>
      </c>
      <c r="B554" s="62" t="s">
        <v>184</v>
      </c>
      <c r="C554" s="63" t="s">
        <v>1</v>
      </c>
      <c r="D554" s="63" t="s">
        <v>135</v>
      </c>
      <c r="E554" s="63" t="s">
        <v>75</v>
      </c>
      <c r="F554" s="63" t="s">
        <v>127</v>
      </c>
      <c r="G554" s="63">
        <v>43</v>
      </c>
      <c r="H554" s="63" t="s">
        <v>136</v>
      </c>
      <c r="I554" s="63">
        <f>INDEX(Matériel!A:Z, MATCH(E554, Matériel!A:A, 0), MATCH(H554, INDEX(Matériel!A:Z, MATCH(E554, Matériel!A:A, 0), 0), 0) + 1)</f>
        <v>60</v>
      </c>
      <c r="J554" s="63">
        <f t="shared" si="54"/>
        <v>1</v>
      </c>
      <c r="K554" s="63">
        <f>VLOOKUP(H554,Manutention!A:E, 3, FALSE) * J554</f>
        <v>1</v>
      </c>
      <c r="L554" s="63" t="s">
        <v>164</v>
      </c>
      <c r="M554" s="63">
        <f>ROUNDUP(K554/VLOOKUP(L554,Camion!A:D, 3, FALSE),0)</f>
        <v>1</v>
      </c>
      <c r="N554" s="63">
        <f>INT(K554/VLOOKUP(L554,Camion!A:D, 3, FALSE))</f>
        <v>0</v>
      </c>
      <c r="O554" s="64">
        <f>ROUND(K554/VLOOKUP(L554,Camion!A:D, 3, FALSE) - N554,2)</f>
        <v>0.11</v>
      </c>
      <c r="P554" s="63" t="s">
        <v>129</v>
      </c>
    </row>
    <row r="555" spans="1:16" x14ac:dyDescent="0.25">
      <c r="A555" s="7">
        <v>25</v>
      </c>
      <c r="B555" s="62" t="s">
        <v>184</v>
      </c>
      <c r="C555" s="63" t="s">
        <v>1</v>
      </c>
      <c r="D555" s="63" t="s">
        <v>128</v>
      </c>
      <c r="E555" s="63" t="s">
        <v>76</v>
      </c>
      <c r="F555" s="63" t="s">
        <v>127</v>
      </c>
      <c r="G555" s="63">
        <v>21</v>
      </c>
      <c r="H555" s="63" t="s">
        <v>131</v>
      </c>
      <c r="I555" s="63">
        <f>INDEX(Matériel!A:Z, MATCH(E555, Matériel!A:A, 0), MATCH(H555, INDEX(Matériel!A:Z, MATCH(E555, Matériel!A:A, 0), 0), 0) + 1)</f>
        <v>100</v>
      </c>
      <c r="J555" s="63">
        <f t="shared" si="54"/>
        <v>1</v>
      </c>
      <c r="K555" s="63">
        <f>VLOOKUP(H555,Manutention!A:E, 3, FALSE) * J555</f>
        <v>1</v>
      </c>
      <c r="L555" s="63" t="s">
        <v>164</v>
      </c>
      <c r="M555" s="63">
        <f>ROUNDUP(K555/VLOOKUP(L555,Camion!A:D, 3, FALSE),0)</f>
        <v>1</v>
      </c>
      <c r="N555" s="63">
        <f>INT(K555/VLOOKUP(L555,Camion!A:D, 3, FALSE))</f>
        <v>0</v>
      </c>
      <c r="O555" s="64">
        <f>ROUND(K555/VLOOKUP(L555,Camion!A:D, 3, FALSE) - N555,2)</f>
        <v>0.11</v>
      </c>
      <c r="P555" s="63" t="s">
        <v>129</v>
      </c>
    </row>
    <row r="556" spans="1:16" x14ac:dyDescent="0.25">
      <c r="A556" s="7">
        <v>25</v>
      </c>
      <c r="B556" s="62" t="s">
        <v>184</v>
      </c>
      <c r="C556" s="63" t="s">
        <v>1</v>
      </c>
      <c r="D556" s="63" t="s">
        <v>135</v>
      </c>
      <c r="E556" s="63" t="s">
        <v>77</v>
      </c>
      <c r="F556" s="63" t="s">
        <v>127</v>
      </c>
      <c r="G556" s="63">
        <v>182</v>
      </c>
      <c r="H556" s="63" t="s">
        <v>131</v>
      </c>
      <c r="I556" s="63">
        <f>INDEX(Matériel!A:Z, MATCH(E556, Matériel!A:A, 0), MATCH(H556, INDEX(Matériel!A:Z, MATCH(E556, Matériel!A:A, 0), 0), 0) + 1)</f>
        <v>20</v>
      </c>
      <c r="J556" s="63">
        <f t="shared" si="54"/>
        <v>10</v>
      </c>
      <c r="K556" s="63">
        <f>VLOOKUP(H556,Manutention!A:E, 3, FALSE) * J556</f>
        <v>10</v>
      </c>
      <c r="L556" s="63" t="s">
        <v>165</v>
      </c>
      <c r="M556" s="63">
        <f>ROUNDUP(K556/VLOOKUP(L556,Camion!A:D, 3, FALSE),0)</f>
        <v>1</v>
      </c>
      <c r="N556" s="63">
        <f>INT(K556/VLOOKUP(L556,Camion!A:D, 3, FALSE))</f>
        <v>0</v>
      </c>
      <c r="O556" s="64">
        <f>ROUND(K556/VLOOKUP(L556,Camion!A:D, 3, FALSE) - N556,2)</f>
        <v>0.83</v>
      </c>
      <c r="P556" s="63" t="s">
        <v>129</v>
      </c>
    </row>
    <row r="557" spans="1:16" x14ac:dyDescent="0.25">
      <c r="A557" s="7">
        <v>25</v>
      </c>
      <c r="B557" s="62" t="s">
        <v>184</v>
      </c>
      <c r="C557" s="63" t="s">
        <v>1</v>
      </c>
      <c r="D557" s="63" t="s">
        <v>135</v>
      </c>
      <c r="E557" s="63" t="s">
        <v>78</v>
      </c>
      <c r="F557" s="63" t="s">
        <v>127</v>
      </c>
      <c r="G557" s="63">
        <v>3</v>
      </c>
      <c r="H557" s="63" t="s">
        <v>133</v>
      </c>
      <c r="I557" s="63">
        <f>INDEX(Matériel!A:Z, MATCH(E557, Matériel!A:A, 0), MATCH(H557, INDEX(Matériel!A:Z, MATCH(E557, Matériel!A:A, 0), 0), 0) + 1)</f>
        <v>1</v>
      </c>
      <c r="J557" s="63">
        <f t="shared" si="54"/>
        <v>3</v>
      </c>
      <c r="K557" s="63">
        <f>VLOOKUP(H557,Manutention!A:E, 3, FALSE) * J557</f>
        <v>6</v>
      </c>
      <c r="L557" s="63" t="s">
        <v>164</v>
      </c>
      <c r="M557" s="63">
        <f>ROUNDUP(K557/VLOOKUP(L557,Camion!A:D, 3, FALSE),0)</f>
        <v>1</v>
      </c>
      <c r="N557" s="63">
        <f>INT(K557/VLOOKUP(L557,Camion!A:D, 3, FALSE))</f>
        <v>0</v>
      </c>
      <c r="O557" s="64">
        <f>ROUND(K557/VLOOKUP(L557,Camion!A:D, 3, FALSE) - N557,2)</f>
        <v>0.67</v>
      </c>
      <c r="P557" s="63" t="s">
        <v>129</v>
      </c>
    </row>
    <row r="558" spans="1:16" x14ac:dyDescent="0.25">
      <c r="A558" s="7">
        <v>25</v>
      </c>
      <c r="B558" s="62" t="s">
        <v>184</v>
      </c>
      <c r="C558" s="63" t="s">
        <v>1</v>
      </c>
      <c r="D558" s="63" t="s">
        <v>135</v>
      </c>
      <c r="E558" s="63" t="s">
        <v>79</v>
      </c>
      <c r="F558" s="63" t="s">
        <v>127</v>
      </c>
      <c r="G558" s="63">
        <v>2</v>
      </c>
      <c r="H558" s="63" t="s">
        <v>133</v>
      </c>
      <c r="I558" s="63">
        <f>INDEX(Matériel!A:Z, MATCH(E558, Matériel!A:A, 0), MATCH(H558, INDEX(Matériel!A:Z, MATCH(E558, Matériel!A:A, 0), 0), 0) + 1)</f>
        <v>1</v>
      </c>
      <c r="J558" s="63">
        <f t="shared" si="54"/>
        <v>2</v>
      </c>
      <c r="K558" s="63">
        <f>VLOOKUP(H558,Manutention!A:E, 3, FALSE) * J558</f>
        <v>4</v>
      </c>
      <c r="L558" s="63" t="s">
        <v>164</v>
      </c>
      <c r="M558" s="63">
        <f>ROUNDUP(K558/VLOOKUP(L558,Camion!A:D, 3, FALSE),0)</f>
        <v>1</v>
      </c>
      <c r="N558" s="63">
        <f>INT(K558/VLOOKUP(L558,Camion!A:D, 3, FALSE))</f>
        <v>0</v>
      </c>
      <c r="O558" s="64">
        <f>ROUND(K558/VLOOKUP(L558,Camion!A:D, 3, FALSE) - N558,2)</f>
        <v>0.44</v>
      </c>
      <c r="P558" s="63" t="s">
        <v>129</v>
      </c>
    </row>
    <row r="559" spans="1:16" x14ac:dyDescent="0.25">
      <c r="A559" s="7">
        <v>25</v>
      </c>
      <c r="B559" s="62" t="s">
        <v>184</v>
      </c>
      <c r="C559" s="63" t="s">
        <v>1</v>
      </c>
      <c r="D559" s="63" t="s">
        <v>128</v>
      </c>
      <c r="E559" s="63" t="s">
        <v>81</v>
      </c>
      <c r="F559" s="63" t="s">
        <v>127</v>
      </c>
      <c r="G559" s="63">
        <v>8</v>
      </c>
      <c r="H559" s="63" t="s">
        <v>131</v>
      </c>
      <c r="I559" s="63">
        <f>INDEX(Matériel!A:Z, MATCH(E559, Matériel!A:A, 0), MATCH(H559, INDEX(Matériel!A:Z, MATCH(E559, Matériel!A:A, 0), 0), 0) + 1)</f>
        <v>100</v>
      </c>
      <c r="J559" s="63">
        <f t="shared" si="54"/>
        <v>1</v>
      </c>
      <c r="K559" s="63">
        <f>VLOOKUP(H559,Manutention!A:E, 3, FALSE) * J559</f>
        <v>1</v>
      </c>
      <c r="L559" s="63" t="s">
        <v>164</v>
      </c>
      <c r="M559" s="63">
        <f>ROUNDUP(K559/VLOOKUP(L559,Camion!A:D, 3, FALSE),0)</f>
        <v>1</v>
      </c>
      <c r="N559" s="63">
        <f>INT(K559/VLOOKUP(L559,Camion!A:D, 3, FALSE))</f>
        <v>0</v>
      </c>
      <c r="O559" s="64">
        <f>ROUND(K559/VLOOKUP(L559,Camion!A:D, 3, FALSE) - N559,2)</f>
        <v>0.11</v>
      </c>
      <c r="P559" s="63" t="s">
        <v>130</v>
      </c>
    </row>
    <row r="560" spans="1:16" x14ac:dyDescent="0.25">
      <c r="A560" s="7">
        <v>25</v>
      </c>
      <c r="B560" s="5" t="s">
        <v>184</v>
      </c>
      <c r="C560" s="65"/>
      <c r="D560" s="65"/>
      <c r="E560" s="65" t="s">
        <v>187</v>
      </c>
      <c r="F560" s="65"/>
      <c r="G560" s="65"/>
      <c r="H560" s="65" t="s">
        <v>131</v>
      </c>
      <c r="I560" s="65"/>
      <c r="J560" s="65"/>
      <c r="K560" s="65">
        <f>SUMIFS(K:K, A:A, 25, B:B, "Z1 Z2", P:P, "Oui", D:D, "Production")</f>
        <v>1</v>
      </c>
      <c r="L560" s="65" t="s">
        <v>164</v>
      </c>
      <c r="M560" s="65">
        <f>ROUNDUP(K560/VLOOKUP(L560,Camion!A:D, 3, FALSE),0)</f>
        <v>1</v>
      </c>
      <c r="N560" s="65">
        <f>INT(K560/VLOOKUP(L560,Camion!A:D, 3, FALSE))</f>
        <v>0</v>
      </c>
      <c r="O560" s="66">
        <f>ROUND(K560/VLOOKUP(L560,Camion!A:D, 3, FALSE) - N560,2)</f>
        <v>0.11</v>
      </c>
      <c r="P560" s="65"/>
    </row>
    <row r="561" spans="1:16" x14ac:dyDescent="0.25">
      <c r="A561" s="7">
        <v>25</v>
      </c>
      <c r="B561" s="5" t="s">
        <v>184</v>
      </c>
      <c r="C561" s="65"/>
      <c r="D561" s="65"/>
      <c r="E561" s="65" t="s">
        <v>188</v>
      </c>
      <c r="F561" s="65"/>
      <c r="G561" s="65"/>
      <c r="H561" s="65" t="s">
        <v>131</v>
      </c>
      <c r="I561" s="65"/>
      <c r="J561" s="65"/>
      <c r="K561" s="65">
        <f>SUMIFS(K:K, A:A, 25, B:B, "Z1 Z2", P:P, "Oui", D:D, "Terminaux")</f>
        <v>21</v>
      </c>
      <c r="L561" s="65" t="s">
        <v>168</v>
      </c>
      <c r="M561" s="65">
        <f>ROUNDUP(K561/VLOOKUP(L561,Camion!A:D, 3, FALSE),0)</f>
        <v>1</v>
      </c>
      <c r="N561" s="65">
        <f>INT(K561/VLOOKUP(L561,Camion!A:D, 3, FALSE))</f>
        <v>0</v>
      </c>
      <c r="O561" s="66">
        <f>ROUND(K561/VLOOKUP(L561,Camion!A:D, 3, FALSE) - N561,2)</f>
        <v>0.62</v>
      </c>
      <c r="P561" s="65"/>
    </row>
    <row r="562" spans="1:16" x14ac:dyDescent="0.25">
      <c r="A562" s="7">
        <v>25</v>
      </c>
      <c r="B562" s="62" t="s">
        <v>185</v>
      </c>
      <c r="C562" s="63" t="s">
        <v>1</v>
      </c>
      <c r="D562" s="63" t="s">
        <v>128</v>
      </c>
      <c r="E562" s="63" t="s">
        <v>71</v>
      </c>
      <c r="F562" s="63" t="s">
        <v>138</v>
      </c>
      <c r="G562" s="63">
        <v>274</v>
      </c>
      <c r="H562" s="63" t="s">
        <v>139</v>
      </c>
      <c r="I562" s="63">
        <f>INDEX(Matériel!A:Z, MATCH(E562, Matériel!A:A, 0), MATCH(H562, INDEX(Matériel!A:Z, MATCH(E562, Matériel!A:A, 0), 0), 0) + 1)</f>
        <v>150</v>
      </c>
      <c r="J562" s="63">
        <f t="shared" ref="J562:J569" si="55">ROUNDUP(G562 / I562, 0)</f>
        <v>2</v>
      </c>
      <c r="K562" s="63">
        <f>VLOOKUP(H562,Manutention!A:E, 3, FALSE) * J562</f>
        <v>6</v>
      </c>
      <c r="L562" s="63" t="s">
        <v>164</v>
      </c>
      <c r="M562" s="63">
        <f>ROUNDUP(K562/VLOOKUP(L562,Camion!A:D, 3, FALSE),0)</f>
        <v>1</v>
      </c>
      <c r="N562" s="63">
        <f>INT(K562/VLOOKUP(L562,Camion!A:D, 3, FALSE))</f>
        <v>0</v>
      </c>
      <c r="O562" s="64">
        <f>ROUND(K562/VLOOKUP(L562,Camion!A:D, 3, FALSE) - N562,2)</f>
        <v>0.67</v>
      </c>
      <c r="P562" s="63" t="s">
        <v>130</v>
      </c>
    </row>
    <row r="563" spans="1:16" x14ac:dyDescent="0.25">
      <c r="A563" s="7">
        <v>25</v>
      </c>
      <c r="B563" s="62" t="s">
        <v>185</v>
      </c>
      <c r="C563" s="63" t="s">
        <v>1</v>
      </c>
      <c r="D563" s="63" t="s">
        <v>135</v>
      </c>
      <c r="E563" s="63" t="s">
        <v>72</v>
      </c>
      <c r="F563" s="63" t="s">
        <v>138</v>
      </c>
      <c r="G563" s="63">
        <v>839</v>
      </c>
      <c r="H563" s="63" t="s">
        <v>143</v>
      </c>
      <c r="I563" s="63">
        <f>INDEX(Matériel!A:Z, MATCH(E563, Matériel!A:A, 0), MATCH(H563, INDEX(Matériel!A:Z, MATCH(E563, Matériel!A:A, 0), 0), 0) + 1)</f>
        <v>1000</v>
      </c>
      <c r="J563" s="63">
        <f t="shared" si="55"/>
        <v>1</v>
      </c>
      <c r="K563" s="63">
        <f>VLOOKUP(H563,Manutention!A:E, 3, FALSE) * J563</f>
        <v>1</v>
      </c>
      <c r="L563" s="63" t="s">
        <v>164</v>
      </c>
      <c r="M563" s="63">
        <f>ROUNDUP(K563/VLOOKUP(L563,Camion!A:D, 3, FALSE),0)</f>
        <v>1</v>
      </c>
      <c r="N563" s="63">
        <f>INT(K563/VLOOKUP(L563,Camion!A:D, 3, FALSE))</f>
        <v>0</v>
      </c>
      <c r="O563" s="64">
        <f>ROUND(K563/VLOOKUP(L563,Camion!A:D, 3, FALSE) - N563,2)</f>
        <v>0.11</v>
      </c>
      <c r="P563" s="63" t="s">
        <v>130</v>
      </c>
    </row>
    <row r="564" spans="1:16" x14ac:dyDescent="0.25">
      <c r="A564" s="7">
        <v>25</v>
      </c>
      <c r="B564" s="62" t="s">
        <v>185</v>
      </c>
      <c r="C564" s="63" t="s">
        <v>1</v>
      </c>
      <c r="D564" s="63" t="s">
        <v>135</v>
      </c>
      <c r="E564" s="63" t="s">
        <v>75</v>
      </c>
      <c r="F564" s="63" t="s">
        <v>127</v>
      </c>
      <c r="G564" s="63">
        <v>43</v>
      </c>
      <c r="H564" s="63" t="s">
        <v>136</v>
      </c>
      <c r="I564" s="63">
        <f>INDEX(Matériel!A:Z, MATCH(E564, Matériel!A:A, 0), MATCH(H564, INDEX(Matériel!A:Z, MATCH(E564, Matériel!A:A, 0), 0), 0) + 1)</f>
        <v>60</v>
      </c>
      <c r="J564" s="63">
        <f t="shared" si="55"/>
        <v>1</v>
      </c>
      <c r="K564" s="63">
        <f>VLOOKUP(H564,Manutention!A:E, 3, FALSE) * J564</f>
        <v>1</v>
      </c>
      <c r="L564" s="63" t="s">
        <v>164</v>
      </c>
      <c r="M564" s="63">
        <f>ROUNDUP(K564/VLOOKUP(L564,Camion!A:D, 3, FALSE),0)</f>
        <v>1</v>
      </c>
      <c r="N564" s="63">
        <f>INT(K564/VLOOKUP(L564,Camion!A:D, 3, FALSE))</f>
        <v>0</v>
      </c>
      <c r="O564" s="64">
        <f>ROUND(K564/VLOOKUP(L564,Camion!A:D, 3, FALSE) - N564,2)</f>
        <v>0.11</v>
      </c>
      <c r="P564" s="63" t="s">
        <v>129</v>
      </c>
    </row>
    <row r="565" spans="1:16" x14ac:dyDescent="0.25">
      <c r="A565" s="7">
        <v>25</v>
      </c>
      <c r="B565" s="62" t="s">
        <v>185</v>
      </c>
      <c r="C565" s="63" t="s">
        <v>1</v>
      </c>
      <c r="D565" s="63" t="s">
        <v>128</v>
      </c>
      <c r="E565" s="63" t="s">
        <v>76</v>
      </c>
      <c r="F565" s="63" t="s">
        <v>127</v>
      </c>
      <c r="G565" s="63">
        <v>21</v>
      </c>
      <c r="H565" s="63" t="s">
        <v>131</v>
      </c>
      <c r="I565" s="63">
        <f>INDEX(Matériel!A:Z, MATCH(E565, Matériel!A:A, 0), MATCH(H565, INDEX(Matériel!A:Z, MATCH(E565, Matériel!A:A, 0), 0), 0) + 1)</f>
        <v>100</v>
      </c>
      <c r="J565" s="63">
        <f t="shared" si="55"/>
        <v>1</v>
      </c>
      <c r="K565" s="63">
        <f>VLOOKUP(H565,Manutention!A:E, 3, FALSE) * J565</f>
        <v>1</v>
      </c>
      <c r="L565" s="63" t="s">
        <v>164</v>
      </c>
      <c r="M565" s="63">
        <f>ROUNDUP(K565/VLOOKUP(L565,Camion!A:D, 3, FALSE),0)</f>
        <v>1</v>
      </c>
      <c r="N565" s="63">
        <f>INT(K565/VLOOKUP(L565,Camion!A:D, 3, FALSE))</f>
        <v>0</v>
      </c>
      <c r="O565" s="64">
        <f>ROUND(K565/VLOOKUP(L565,Camion!A:D, 3, FALSE) - N565,2)</f>
        <v>0.11</v>
      </c>
      <c r="P565" s="63" t="s">
        <v>129</v>
      </c>
    </row>
    <row r="566" spans="1:16" x14ac:dyDescent="0.25">
      <c r="A566" s="7">
        <v>25</v>
      </c>
      <c r="B566" s="62" t="s">
        <v>185</v>
      </c>
      <c r="C566" s="63" t="s">
        <v>1</v>
      </c>
      <c r="D566" s="63" t="s">
        <v>135</v>
      </c>
      <c r="E566" s="63" t="s">
        <v>77</v>
      </c>
      <c r="F566" s="63" t="s">
        <v>127</v>
      </c>
      <c r="G566" s="63">
        <v>179</v>
      </c>
      <c r="H566" s="63" t="s">
        <v>131</v>
      </c>
      <c r="I566" s="63">
        <f>INDEX(Matériel!A:Z, MATCH(E566, Matériel!A:A, 0), MATCH(H566, INDEX(Matériel!A:Z, MATCH(E566, Matériel!A:A, 0), 0), 0) + 1)</f>
        <v>20</v>
      </c>
      <c r="J566" s="63">
        <f t="shared" si="55"/>
        <v>9</v>
      </c>
      <c r="K566" s="63">
        <f>VLOOKUP(H566,Manutention!A:E, 3, FALSE) * J566</f>
        <v>9</v>
      </c>
      <c r="L566" s="63" t="s">
        <v>164</v>
      </c>
      <c r="M566" s="63">
        <f>ROUNDUP(K566/VLOOKUP(L566,Camion!A:D, 3, FALSE),0)</f>
        <v>1</v>
      </c>
      <c r="N566" s="63">
        <f>INT(K566/VLOOKUP(L566,Camion!A:D, 3, FALSE))</f>
        <v>1</v>
      </c>
      <c r="O566" s="64">
        <f>ROUND(K566/VLOOKUP(L566,Camion!A:D, 3, FALSE) - N566,2)</f>
        <v>0</v>
      </c>
      <c r="P566" s="63" t="s">
        <v>129</v>
      </c>
    </row>
    <row r="567" spans="1:16" x14ac:dyDescent="0.25">
      <c r="A567" s="7">
        <v>25</v>
      </c>
      <c r="B567" s="62" t="s">
        <v>185</v>
      </c>
      <c r="C567" s="63" t="s">
        <v>1</v>
      </c>
      <c r="D567" s="63" t="s">
        <v>135</v>
      </c>
      <c r="E567" s="63" t="s">
        <v>78</v>
      </c>
      <c r="F567" s="63" t="s">
        <v>127</v>
      </c>
      <c r="G567" s="63">
        <v>3</v>
      </c>
      <c r="H567" s="63" t="s">
        <v>133</v>
      </c>
      <c r="I567" s="63">
        <f>INDEX(Matériel!A:Z, MATCH(E567, Matériel!A:A, 0), MATCH(H567, INDEX(Matériel!A:Z, MATCH(E567, Matériel!A:A, 0), 0), 0) + 1)</f>
        <v>1</v>
      </c>
      <c r="J567" s="63">
        <f t="shared" si="55"/>
        <v>3</v>
      </c>
      <c r="K567" s="63">
        <f>VLOOKUP(H567,Manutention!A:E, 3, FALSE) * J567</f>
        <v>6</v>
      </c>
      <c r="L567" s="63" t="s">
        <v>164</v>
      </c>
      <c r="M567" s="63">
        <f>ROUNDUP(K567/VLOOKUP(L567,Camion!A:D, 3, FALSE),0)</f>
        <v>1</v>
      </c>
      <c r="N567" s="63">
        <f>INT(K567/VLOOKUP(L567,Camion!A:D, 3, FALSE))</f>
        <v>0</v>
      </c>
      <c r="O567" s="64">
        <f>ROUND(K567/VLOOKUP(L567,Camion!A:D, 3, FALSE) - N567,2)</f>
        <v>0.67</v>
      </c>
      <c r="P567" s="63" t="s">
        <v>129</v>
      </c>
    </row>
    <row r="568" spans="1:16" x14ac:dyDescent="0.25">
      <c r="A568" s="7">
        <v>25</v>
      </c>
      <c r="B568" s="62" t="s">
        <v>185</v>
      </c>
      <c r="C568" s="63" t="s">
        <v>1</v>
      </c>
      <c r="D568" s="63" t="s">
        <v>135</v>
      </c>
      <c r="E568" s="63" t="s">
        <v>79</v>
      </c>
      <c r="F568" s="63" t="s">
        <v>127</v>
      </c>
      <c r="G568" s="63">
        <v>2</v>
      </c>
      <c r="H568" s="63" t="s">
        <v>133</v>
      </c>
      <c r="I568" s="63">
        <f>INDEX(Matériel!A:Z, MATCH(E568, Matériel!A:A, 0), MATCH(H568, INDEX(Matériel!A:Z, MATCH(E568, Matériel!A:A, 0), 0), 0) + 1)</f>
        <v>1</v>
      </c>
      <c r="J568" s="63">
        <f t="shared" si="55"/>
        <v>2</v>
      </c>
      <c r="K568" s="63">
        <f>VLOOKUP(H568,Manutention!A:E, 3, FALSE) * J568</f>
        <v>4</v>
      </c>
      <c r="L568" s="63" t="s">
        <v>164</v>
      </c>
      <c r="M568" s="63">
        <f>ROUNDUP(K568/VLOOKUP(L568,Camion!A:D, 3, FALSE),0)</f>
        <v>1</v>
      </c>
      <c r="N568" s="63">
        <f>INT(K568/VLOOKUP(L568,Camion!A:D, 3, FALSE))</f>
        <v>0</v>
      </c>
      <c r="O568" s="64">
        <f>ROUND(K568/VLOOKUP(L568,Camion!A:D, 3, FALSE) - N568,2)</f>
        <v>0.44</v>
      </c>
      <c r="P568" s="63" t="s">
        <v>129</v>
      </c>
    </row>
    <row r="569" spans="1:16" x14ac:dyDescent="0.25">
      <c r="A569" s="7">
        <v>25</v>
      </c>
      <c r="B569" s="62" t="s">
        <v>185</v>
      </c>
      <c r="C569" s="63" t="s">
        <v>1</v>
      </c>
      <c r="D569" s="63" t="s">
        <v>128</v>
      </c>
      <c r="E569" s="63" t="s">
        <v>81</v>
      </c>
      <c r="F569" s="63" t="s">
        <v>127</v>
      </c>
      <c r="G569" s="63">
        <v>8</v>
      </c>
      <c r="H569" s="63" t="s">
        <v>131</v>
      </c>
      <c r="I569" s="63">
        <f>INDEX(Matériel!A:Z, MATCH(E569, Matériel!A:A, 0), MATCH(H569, INDEX(Matériel!A:Z, MATCH(E569, Matériel!A:A, 0), 0), 0) + 1)</f>
        <v>100</v>
      </c>
      <c r="J569" s="63">
        <f t="shared" si="55"/>
        <v>1</v>
      </c>
      <c r="K569" s="63">
        <f>VLOOKUP(H569,Manutention!A:E, 3, FALSE) * J569</f>
        <v>1</v>
      </c>
      <c r="L569" s="63" t="s">
        <v>164</v>
      </c>
      <c r="M569" s="63">
        <f>ROUNDUP(K569/VLOOKUP(L569,Camion!A:D, 3, FALSE),0)</f>
        <v>1</v>
      </c>
      <c r="N569" s="63">
        <f>INT(K569/VLOOKUP(L569,Camion!A:D, 3, FALSE))</f>
        <v>0</v>
      </c>
      <c r="O569" s="64">
        <f>ROUND(K569/VLOOKUP(L569,Camion!A:D, 3, FALSE) - N569,2)</f>
        <v>0.11</v>
      </c>
      <c r="P569" s="63" t="s">
        <v>130</v>
      </c>
    </row>
    <row r="570" spans="1:16" x14ac:dyDescent="0.25">
      <c r="A570" s="7">
        <v>25</v>
      </c>
      <c r="B570" s="5" t="s">
        <v>185</v>
      </c>
      <c r="C570" s="65"/>
      <c r="D570" s="65"/>
      <c r="E570" s="65" t="s">
        <v>187</v>
      </c>
      <c r="F570" s="65"/>
      <c r="G570" s="65"/>
      <c r="H570" s="65" t="s">
        <v>131</v>
      </c>
      <c r="I570" s="65"/>
      <c r="J570" s="65"/>
      <c r="K570" s="65">
        <f>SUMIFS(K:K, A:A, 25, B:B, "Z3 Z4", P:P, "Oui", D:D, "Production")</f>
        <v>1</v>
      </c>
      <c r="L570" s="65" t="s">
        <v>164</v>
      </c>
      <c r="M570" s="65">
        <f>ROUNDUP(K570/VLOOKUP(L570,Camion!A:D, 3, FALSE),0)</f>
        <v>1</v>
      </c>
      <c r="N570" s="65">
        <f>INT(K570/VLOOKUP(L570,Camion!A:D, 3, FALSE))</f>
        <v>0</v>
      </c>
      <c r="O570" s="66">
        <f>ROUND(K570/VLOOKUP(L570,Camion!A:D, 3, FALSE) - N570,2)</f>
        <v>0.11</v>
      </c>
      <c r="P570" s="65"/>
    </row>
    <row r="571" spans="1:16" x14ac:dyDescent="0.25">
      <c r="A571" s="7">
        <v>25</v>
      </c>
      <c r="B571" s="5" t="s">
        <v>185</v>
      </c>
      <c r="C571" s="65"/>
      <c r="D571" s="65"/>
      <c r="E571" s="65" t="s">
        <v>188</v>
      </c>
      <c r="F571" s="65"/>
      <c r="G571" s="65"/>
      <c r="H571" s="65" t="s">
        <v>131</v>
      </c>
      <c r="I571" s="65"/>
      <c r="J571" s="65"/>
      <c r="K571" s="65">
        <f>SUMIFS(K:K, A:A, 25, B:B, "Z3 Z4", P:P, "Oui", D:D, "Terminaux")</f>
        <v>20</v>
      </c>
      <c r="L571" s="65" t="s">
        <v>167</v>
      </c>
      <c r="M571" s="65">
        <f>ROUNDUP(K571/VLOOKUP(L571,Camion!A:D, 3, FALSE),0)</f>
        <v>1</v>
      </c>
      <c r="N571" s="65">
        <f>INT(K571/VLOOKUP(L571,Camion!A:D, 3, FALSE))</f>
        <v>1</v>
      </c>
      <c r="O571" s="66">
        <f>ROUND(K571/VLOOKUP(L571,Camion!A:D, 3, FALSE) - N571,2)</f>
        <v>0</v>
      </c>
      <c r="P571" s="65"/>
    </row>
    <row r="572" spans="1:16" x14ac:dyDescent="0.25">
      <c r="A572" s="7">
        <v>26</v>
      </c>
      <c r="B572" s="62" t="s">
        <v>184</v>
      </c>
      <c r="C572" s="63" t="s">
        <v>1</v>
      </c>
      <c r="D572" s="63" t="s">
        <v>128</v>
      </c>
      <c r="E572" s="63" t="s">
        <v>71</v>
      </c>
      <c r="F572" s="63" t="s">
        <v>138</v>
      </c>
      <c r="G572" s="63">
        <v>270</v>
      </c>
      <c r="H572" s="63" t="s">
        <v>139</v>
      </c>
      <c r="I572" s="63">
        <f>INDEX(Matériel!A:Z, MATCH(E572, Matériel!A:A, 0), MATCH(H572, INDEX(Matériel!A:Z, MATCH(E572, Matériel!A:A, 0), 0), 0) + 1)</f>
        <v>150</v>
      </c>
      <c r="J572" s="63">
        <f t="shared" ref="J572:J579" si="56">ROUNDUP(G572 / I572, 0)</f>
        <v>2</v>
      </c>
      <c r="K572" s="63">
        <f>VLOOKUP(H572,Manutention!A:E, 3, FALSE) * J572</f>
        <v>6</v>
      </c>
      <c r="L572" s="63" t="s">
        <v>164</v>
      </c>
      <c r="M572" s="63">
        <f>ROUNDUP(K572/VLOOKUP(L572,Camion!A:D, 3, FALSE),0)</f>
        <v>1</v>
      </c>
      <c r="N572" s="63">
        <f>INT(K572/VLOOKUP(L572,Camion!A:D, 3, FALSE))</f>
        <v>0</v>
      </c>
      <c r="O572" s="64">
        <f>ROUND(K572/VLOOKUP(L572,Camion!A:D, 3, FALSE) - N572,2)</f>
        <v>0.67</v>
      </c>
      <c r="P572" s="63" t="s">
        <v>130</v>
      </c>
    </row>
    <row r="573" spans="1:16" x14ac:dyDescent="0.25">
      <c r="A573" s="7">
        <v>26</v>
      </c>
      <c r="B573" s="62" t="s">
        <v>184</v>
      </c>
      <c r="C573" s="63" t="s">
        <v>1</v>
      </c>
      <c r="D573" s="63" t="s">
        <v>135</v>
      </c>
      <c r="E573" s="63" t="s">
        <v>72</v>
      </c>
      <c r="F573" s="63" t="s">
        <v>138</v>
      </c>
      <c r="G573" s="63">
        <v>826</v>
      </c>
      <c r="H573" s="63" t="s">
        <v>143</v>
      </c>
      <c r="I573" s="63">
        <f>INDEX(Matériel!A:Z, MATCH(E573, Matériel!A:A, 0), MATCH(H573, INDEX(Matériel!A:Z, MATCH(E573, Matériel!A:A, 0), 0), 0) + 1)</f>
        <v>1000</v>
      </c>
      <c r="J573" s="63">
        <f t="shared" si="56"/>
        <v>1</v>
      </c>
      <c r="K573" s="63">
        <f>VLOOKUP(H573,Manutention!A:E, 3, FALSE) * J573</f>
        <v>1</v>
      </c>
      <c r="L573" s="63" t="s">
        <v>164</v>
      </c>
      <c r="M573" s="63">
        <f>ROUNDUP(K573/VLOOKUP(L573,Camion!A:D, 3, FALSE),0)</f>
        <v>1</v>
      </c>
      <c r="N573" s="63">
        <f>INT(K573/VLOOKUP(L573,Camion!A:D, 3, FALSE))</f>
        <v>0</v>
      </c>
      <c r="O573" s="64">
        <f>ROUND(K573/VLOOKUP(L573,Camion!A:D, 3, FALSE) - N573,2)</f>
        <v>0.11</v>
      </c>
      <c r="P573" s="63" t="s">
        <v>130</v>
      </c>
    </row>
    <row r="574" spans="1:16" x14ac:dyDescent="0.25">
      <c r="A574" s="7">
        <v>26</v>
      </c>
      <c r="B574" s="62" t="s">
        <v>184</v>
      </c>
      <c r="C574" s="63" t="s">
        <v>1</v>
      </c>
      <c r="D574" s="63" t="s">
        <v>135</v>
      </c>
      <c r="E574" s="63" t="s">
        <v>75</v>
      </c>
      <c r="F574" s="63" t="s">
        <v>127</v>
      </c>
      <c r="G574" s="63">
        <v>42</v>
      </c>
      <c r="H574" s="63" t="s">
        <v>136</v>
      </c>
      <c r="I574" s="63">
        <f>INDEX(Matériel!A:Z, MATCH(E574, Matériel!A:A, 0), MATCH(H574, INDEX(Matériel!A:Z, MATCH(E574, Matériel!A:A, 0), 0), 0) + 1)</f>
        <v>60</v>
      </c>
      <c r="J574" s="63">
        <f t="shared" si="56"/>
        <v>1</v>
      </c>
      <c r="K574" s="63">
        <f>VLOOKUP(H574,Manutention!A:E, 3, FALSE) * J574</f>
        <v>1</v>
      </c>
      <c r="L574" s="63" t="s">
        <v>164</v>
      </c>
      <c r="M574" s="63">
        <f>ROUNDUP(K574/VLOOKUP(L574,Camion!A:D, 3, FALSE),0)</f>
        <v>1</v>
      </c>
      <c r="N574" s="63">
        <f>INT(K574/VLOOKUP(L574,Camion!A:D, 3, FALSE))</f>
        <v>0</v>
      </c>
      <c r="O574" s="64">
        <f>ROUND(K574/VLOOKUP(L574,Camion!A:D, 3, FALSE) - N574,2)</f>
        <v>0.11</v>
      </c>
      <c r="P574" s="63" t="s">
        <v>129</v>
      </c>
    </row>
    <row r="575" spans="1:16" x14ac:dyDescent="0.25">
      <c r="A575" s="7">
        <v>26</v>
      </c>
      <c r="B575" s="62" t="s">
        <v>184</v>
      </c>
      <c r="C575" s="63" t="s">
        <v>1</v>
      </c>
      <c r="D575" s="63" t="s">
        <v>128</v>
      </c>
      <c r="E575" s="63" t="s">
        <v>76</v>
      </c>
      <c r="F575" s="63" t="s">
        <v>127</v>
      </c>
      <c r="G575" s="63">
        <v>21</v>
      </c>
      <c r="H575" s="63" t="s">
        <v>131</v>
      </c>
      <c r="I575" s="63">
        <f>INDEX(Matériel!A:Z, MATCH(E575, Matériel!A:A, 0), MATCH(H575, INDEX(Matériel!A:Z, MATCH(E575, Matériel!A:A, 0), 0), 0) + 1)</f>
        <v>100</v>
      </c>
      <c r="J575" s="63">
        <f t="shared" si="56"/>
        <v>1</v>
      </c>
      <c r="K575" s="63">
        <f>VLOOKUP(H575,Manutention!A:E, 3, FALSE) * J575</f>
        <v>1</v>
      </c>
      <c r="L575" s="63" t="s">
        <v>164</v>
      </c>
      <c r="M575" s="63">
        <f>ROUNDUP(K575/VLOOKUP(L575,Camion!A:D, 3, FALSE),0)</f>
        <v>1</v>
      </c>
      <c r="N575" s="63">
        <f>INT(K575/VLOOKUP(L575,Camion!A:D, 3, FALSE))</f>
        <v>0</v>
      </c>
      <c r="O575" s="64">
        <f>ROUND(K575/VLOOKUP(L575,Camion!A:D, 3, FALSE) - N575,2)</f>
        <v>0.11</v>
      </c>
      <c r="P575" s="63" t="s">
        <v>129</v>
      </c>
    </row>
    <row r="576" spans="1:16" x14ac:dyDescent="0.25">
      <c r="A576" s="7">
        <v>26</v>
      </c>
      <c r="B576" s="62" t="s">
        <v>184</v>
      </c>
      <c r="C576" s="63" t="s">
        <v>1</v>
      </c>
      <c r="D576" s="63" t="s">
        <v>135</v>
      </c>
      <c r="E576" s="63" t="s">
        <v>77</v>
      </c>
      <c r="F576" s="63" t="s">
        <v>127</v>
      </c>
      <c r="G576" s="63">
        <v>177</v>
      </c>
      <c r="H576" s="63" t="s">
        <v>131</v>
      </c>
      <c r="I576" s="63">
        <f>INDEX(Matériel!A:Z, MATCH(E576, Matériel!A:A, 0), MATCH(H576, INDEX(Matériel!A:Z, MATCH(E576, Matériel!A:A, 0), 0), 0) + 1)</f>
        <v>20</v>
      </c>
      <c r="J576" s="63">
        <f t="shared" si="56"/>
        <v>9</v>
      </c>
      <c r="K576" s="63">
        <f>VLOOKUP(H576,Manutention!A:E, 3, FALSE) * J576</f>
        <v>9</v>
      </c>
      <c r="L576" s="63" t="s">
        <v>164</v>
      </c>
      <c r="M576" s="63">
        <f>ROUNDUP(K576/VLOOKUP(L576,Camion!A:D, 3, FALSE),0)</f>
        <v>1</v>
      </c>
      <c r="N576" s="63">
        <f>INT(K576/VLOOKUP(L576,Camion!A:D, 3, FALSE))</f>
        <v>1</v>
      </c>
      <c r="O576" s="64">
        <f>ROUND(K576/VLOOKUP(L576,Camion!A:D, 3, FALSE) - N576,2)</f>
        <v>0</v>
      </c>
      <c r="P576" s="63" t="s">
        <v>129</v>
      </c>
    </row>
    <row r="577" spans="1:16" x14ac:dyDescent="0.25">
      <c r="A577" s="7">
        <v>26</v>
      </c>
      <c r="B577" s="62" t="s">
        <v>184</v>
      </c>
      <c r="C577" s="63" t="s">
        <v>1</v>
      </c>
      <c r="D577" s="63" t="s">
        <v>135</v>
      </c>
      <c r="E577" s="63" t="s">
        <v>78</v>
      </c>
      <c r="F577" s="63" t="s">
        <v>127</v>
      </c>
      <c r="G577" s="63">
        <v>3</v>
      </c>
      <c r="H577" s="63" t="s">
        <v>133</v>
      </c>
      <c r="I577" s="63">
        <f>INDEX(Matériel!A:Z, MATCH(E577, Matériel!A:A, 0), MATCH(H577, INDEX(Matériel!A:Z, MATCH(E577, Matériel!A:A, 0), 0), 0) + 1)</f>
        <v>1</v>
      </c>
      <c r="J577" s="63">
        <f t="shared" si="56"/>
        <v>3</v>
      </c>
      <c r="K577" s="63">
        <f>VLOOKUP(H577,Manutention!A:E, 3, FALSE) * J577</f>
        <v>6</v>
      </c>
      <c r="L577" s="63" t="s">
        <v>164</v>
      </c>
      <c r="M577" s="63">
        <f>ROUNDUP(K577/VLOOKUP(L577,Camion!A:D, 3, FALSE),0)</f>
        <v>1</v>
      </c>
      <c r="N577" s="63">
        <f>INT(K577/VLOOKUP(L577,Camion!A:D, 3, FALSE))</f>
        <v>0</v>
      </c>
      <c r="O577" s="64">
        <f>ROUND(K577/VLOOKUP(L577,Camion!A:D, 3, FALSE) - N577,2)</f>
        <v>0.67</v>
      </c>
      <c r="P577" s="63" t="s">
        <v>129</v>
      </c>
    </row>
    <row r="578" spans="1:16" x14ac:dyDescent="0.25">
      <c r="A578" s="7">
        <v>26</v>
      </c>
      <c r="B578" s="62" t="s">
        <v>184</v>
      </c>
      <c r="C578" s="63" t="s">
        <v>1</v>
      </c>
      <c r="D578" s="63" t="s">
        <v>135</v>
      </c>
      <c r="E578" s="63" t="s">
        <v>79</v>
      </c>
      <c r="F578" s="63" t="s">
        <v>127</v>
      </c>
      <c r="G578" s="63">
        <v>2</v>
      </c>
      <c r="H578" s="63" t="s">
        <v>133</v>
      </c>
      <c r="I578" s="63">
        <f>INDEX(Matériel!A:Z, MATCH(E578, Matériel!A:A, 0), MATCH(H578, INDEX(Matériel!A:Z, MATCH(E578, Matériel!A:A, 0), 0), 0) + 1)</f>
        <v>1</v>
      </c>
      <c r="J578" s="63">
        <f t="shared" si="56"/>
        <v>2</v>
      </c>
      <c r="K578" s="63">
        <f>VLOOKUP(H578,Manutention!A:E, 3, FALSE) * J578</f>
        <v>4</v>
      </c>
      <c r="L578" s="63" t="s">
        <v>164</v>
      </c>
      <c r="M578" s="63">
        <f>ROUNDUP(K578/VLOOKUP(L578,Camion!A:D, 3, FALSE),0)</f>
        <v>1</v>
      </c>
      <c r="N578" s="63">
        <f>INT(K578/VLOOKUP(L578,Camion!A:D, 3, FALSE))</f>
        <v>0</v>
      </c>
      <c r="O578" s="64">
        <f>ROUND(K578/VLOOKUP(L578,Camion!A:D, 3, FALSE) - N578,2)</f>
        <v>0.44</v>
      </c>
      <c r="P578" s="63" t="s">
        <v>129</v>
      </c>
    </row>
    <row r="579" spans="1:16" x14ac:dyDescent="0.25">
      <c r="A579" s="7">
        <v>26</v>
      </c>
      <c r="B579" s="62" t="s">
        <v>184</v>
      </c>
      <c r="C579" s="63" t="s">
        <v>1</v>
      </c>
      <c r="D579" s="63" t="s">
        <v>128</v>
      </c>
      <c r="E579" s="63" t="s">
        <v>81</v>
      </c>
      <c r="F579" s="63" t="s">
        <v>127</v>
      </c>
      <c r="G579" s="63">
        <v>8</v>
      </c>
      <c r="H579" s="63" t="s">
        <v>131</v>
      </c>
      <c r="I579" s="63">
        <f>INDEX(Matériel!A:Z, MATCH(E579, Matériel!A:A, 0), MATCH(H579, INDEX(Matériel!A:Z, MATCH(E579, Matériel!A:A, 0), 0), 0) + 1)</f>
        <v>100</v>
      </c>
      <c r="J579" s="63">
        <f t="shared" si="56"/>
        <v>1</v>
      </c>
      <c r="K579" s="63">
        <f>VLOOKUP(H579,Manutention!A:E, 3, FALSE) * J579</f>
        <v>1</v>
      </c>
      <c r="L579" s="63" t="s">
        <v>164</v>
      </c>
      <c r="M579" s="63">
        <f>ROUNDUP(K579/VLOOKUP(L579,Camion!A:D, 3, FALSE),0)</f>
        <v>1</v>
      </c>
      <c r="N579" s="63">
        <f>INT(K579/VLOOKUP(L579,Camion!A:D, 3, FALSE))</f>
        <v>0</v>
      </c>
      <c r="O579" s="64">
        <f>ROUND(K579/VLOOKUP(L579,Camion!A:D, 3, FALSE) - N579,2)</f>
        <v>0.11</v>
      </c>
      <c r="P579" s="63" t="s">
        <v>130</v>
      </c>
    </row>
    <row r="580" spans="1:16" x14ac:dyDescent="0.25">
      <c r="A580" s="7">
        <v>26</v>
      </c>
      <c r="B580" s="5" t="s">
        <v>184</v>
      </c>
      <c r="C580" s="65"/>
      <c r="D580" s="65"/>
      <c r="E580" s="65" t="s">
        <v>187</v>
      </c>
      <c r="F580" s="65"/>
      <c r="G580" s="65"/>
      <c r="H580" s="65" t="s">
        <v>131</v>
      </c>
      <c r="I580" s="65"/>
      <c r="J580" s="65"/>
      <c r="K580" s="65">
        <f>SUMIFS(K:K, A:A, 26, B:B, "Z1 Z2", P:P, "Oui", D:D, "Production")</f>
        <v>1</v>
      </c>
      <c r="L580" s="65" t="s">
        <v>164</v>
      </c>
      <c r="M580" s="65">
        <f>ROUNDUP(K580/VLOOKUP(L580,Camion!A:D, 3, FALSE),0)</f>
        <v>1</v>
      </c>
      <c r="N580" s="65">
        <f>INT(K580/VLOOKUP(L580,Camion!A:D, 3, FALSE))</f>
        <v>0</v>
      </c>
      <c r="O580" s="66">
        <f>ROUND(K580/VLOOKUP(L580,Camion!A:D, 3, FALSE) - N580,2)</f>
        <v>0.11</v>
      </c>
      <c r="P580" s="65"/>
    </row>
    <row r="581" spans="1:16" x14ac:dyDescent="0.25">
      <c r="A581" s="7">
        <v>26</v>
      </c>
      <c r="B581" s="5" t="s">
        <v>184</v>
      </c>
      <c r="C581" s="65"/>
      <c r="D581" s="65"/>
      <c r="E581" s="65" t="s">
        <v>188</v>
      </c>
      <c r="F581" s="65"/>
      <c r="G581" s="65"/>
      <c r="H581" s="65" t="s">
        <v>131</v>
      </c>
      <c r="I581" s="65"/>
      <c r="J581" s="65"/>
      <c r="K581" s="65">
        <f>SUMIFS(K:K, A:A, 26, B:B, "Z1 Z2", P:P, "Oui", D:D, "Terminaux")</f>
        <v>20</v>
      </c>
      <c r="L581" s="65" t="s">
        <v>167</v>
      </c>
      <c r="M581" s="65">
        <f>ROUNDUP(K581/VLOOKUP(L581,Camion!A:D, 3, FALSE),0)</f>
        <v>1</v>
      </c>
      <c r="N581" s="65">
        <f>INT(K581/VLOOKUP(L581,Camion!A:D, 3, FALSE))</f>
        <v>1</v>
      </c>
      <c r="O581" s="66">
        <f>ROUND(K581/VLOOKUP(L581,Camion!A:D, 3, FALSE) - N581,2)</f>
        <v>0</v>
      </c>
      <c r="P581" s="65"/>
    </row>
    <row r="582" spans="1:16" x14ac:dyDescent="0.25">
      <c r="A582" s="7">
        <v>26</v>
      </c>
      <c r="B582" s="62" t="s">
        <v>185</v>
      </c>
      <c r="C582" s="63" t="s">
        <v>1</v>
      </c>
      <c r="D582" s="63" t="s">
        <v>128</v>
      </c>
      <c r="E582" s="63" t="s">
        <v>71</v>
      </c>
      <c r="F582" s="63" t="s">
        <v>138</v>
      </c>
      <c r="G582" s="63">
        <v>266</v>
      </c>
      <c r="H582" s="63" t="s">
        <v>139</v>
      </c>
      <c r="I582" s="63">
        <f>INDEX(Matériel!A:Z, MATCH(E582, Matériel!A:A, 0), MATCH(H582, INDEX(Matériel!A:Z, MATCH(E582, Matériel!A:A, 0), 0), 0) + 1)</f>
        <v>150</v>
      </c>
      <c r="J582" s="63">
        <f t="shared" ref="J582:J589" si="57">ROUNDUP(G582 / I582, 0)</f>
        <v>2</v>
      </c>
      <c r="K582" s="63">
        <f>VLOOKUP(H582,Manutention!A:E, 3, FALSE) * J582</f>
        <v>6</v>
      </c>
      <c r="L582" s="63" t="s">
        <v>164</v>
      </c>
      <c r="M582" s="63">
        <f>ROUNDUP(K582/VLOOKUP(L582,Camion!A:D, 3, FALSE),0)</f>
        <v>1</v>
      </c>
      <c r="N582" s="63">
        <f>INT(K582/VLOOKUP(L582,Camion!A:D, 3, FALSE))</f>
        <v>0</v>
      </c>
      <c r="O582" s="64">
        <f>ROUND(K582/VLOOKUP(L582,Camion!A:D, 3, FALSE) - N582,2)</f>
        <v>0.67</v>
      </c>
      <c r="P582" s="63" t="s">
        <v>130</v>
      </c>
    </row>
    <row r="583" spans="1:16" x14ac:dyDescent="0.25">
      <c r="A583" s="7">
        <v>26</v>
      </c>
      <c r="B583" s="62" t="s">
        <v>185</v>
      </c>
      <c r="C583" s="63" t="s">
        <v>1</v>
      </c>
      <c r="D583" s="63" t="s">
        <v>135</v>
      </c>
      <c r="E583" s="63" t="s">
        <v>72</v>
      </c>
      <c r="F583" s="63" t="s">
        <v>138</v>
      </c>
      <c r="G583" s="63">
        <v>814</v>
      </c>
      <c r="H583" s="63" t="s">
        <v>143</v>
      </c>
      <c r="I583" s="63">
        <f>INDEX(Matériel!A:Z, MATCH(E583, Matériel!A:A, 0), MATCH(H583, INDEX(Matériel!A:Z, MATCH(E583, Matériel!A:A, 0), 0), 0) + 1)</f>
        <v>1000</v>
      </c>
      <c r="J583" s="63">
        <f t="shared" si="57"/>
        <v>1</v>
      </c>
      <c r="K583" s="63">
        <f>VLOOKUP(H583,Manutention!A:E, 3, FALSE) * J583</f>
        <v>1</v>
      </c>
      <c r="L583" s="63" t="s">
        <v>164</v>
      </c>
      <c r="M583" s="63">
        <f>ROUNDUP(K583/VLOOKUP(L583,Camion!A:D, 3, FALSE),0)</f>
        <v>1</v>
      </c>
      <c r="N583" s="63">
        <f>INT(K583/VLOOKUP(L583,Camion!A:D, 3, FALSE))</f>
        <v>0</v>
      </c>
      <c r="O583" s="64">
        <f>ROUND(K583/VLOOKUP(L583,Camion!A:D, 3, FALSE) - N583,2)</f>
        <v>0.11</v>
      </c>
      <c r="P583" s="63" t="s">
        <v>130</v>
      </c>
    </row>
    <row r="584" spans="1:16" x14ac:dyDescent="0.25">
      <c r="A584" s="7">
        <v>26</v>
      </c>
      <c r="B584" s="62" t="s">
        <v>185</v>
      </c>
      <c r="C584" s="63" t="s">
        <v>1</v>
      </c>
      <c r="D584" s="63" t="s">
        <v>135</v>
      </c>
      <c r="E584" s="63" t="s">
        <v>75</v>
      </c>
      <c r="F584" s="63" t="s">
        <v>127</v>
      </c>
      <c r="G584" s="63">
        <v>41</v>
      </c>
      <c r="H584" s="63" t="s">
        <v>136</v>
      </c>
      <c r="I584" s="63">
        <f>INDEX(Matériel!A:Z, MATCH(E584, Matériel!A:A, 0), MATCH(H584, INDEX(Matériel!A:Z, MATCH(E584, Matériel!A:A, 0), 0), 0) + 1)</f>
        <v>60</v>
      </c>
      <c r="J584" s="63">
        <f t="shared" si="57"/>
        <v>1</v>
      </c>
      <c r="K584" s="63">
        <f>VLOOKUP(H584,Manutention!A:E, 3, FALSE) * J584</f>
        <v>1</v>
      </c>
      <c r="L584" s="63" t="s">
        <v>164</v>
      </c>
      <c r="M584" s="63">
        <f>ROUNDUP(K584/VLOOKUP(L584,Camion!A:D, 3, FALSE),0)</f>
        <v>1</v>
      </c>
      <c r="N584" s="63">
        <f>INT(K584/VLOOKUP(L584,Camion!A:D, 3, FALSE))</f>
        <v>0</v>
      </c>
      <c r="O584" s="64">
        <f>ROUND(K584/VLOOKUP(L584,Camion!A:D, 3, FALSE) - N584,2)</f>
        <v>0.11</v>
      </c>
      <c r="P584" s="63" t="s">
        <v>129</v>
      </c>
    </row>
    <row r="585" spans="1:16" x14ac:dyDescent="0.25">
      <c r="A585" s="7">
        <v>26</v>
      </c>
      <c r="B585" s="62" t="s">
        <v>185</v>
      </c>
      <c r="C585" s="63" t="s">
        <v>1</v>
      </c>
      <c r="D585" s="63" t="s">
        <v>128</v>
      </c>
      <c r="E585" s="63" t="s">
        <v>76</v>
      </c>
      <c r="F585" s="63" t="s">
        <v>127</v>
      </c>
      <c r="G585" s="63">
        <v>20</v>
      </c>
      <c r="H585" s="63" t="s">
        <v>131</v>
      </c>
      <c r="I585" s="63">
        <f>INDEX(Matériel!A:Z, MATCH(E585, Matériel!A:A, 0), MATCH(H585, INDEX(Matériel!A:Z, MATCH(E585, Matériel!A:A, 0), 0), 0) + 1)</f>
        <v>100</v>
      </c>
      <c r="J585" s="63">
        <f t="shared" si="57"/>
        <v>1</v>
      </c>
      <c r="K585" s="63">
        <f>VLOOKUP(H585,Manutention!A:E, 3, FALSE) * J585</f>
        <v>1</v>
      </c>
      <c r="L585" s="63" t="s">
        <v>164</v>
      </c>
      <c r="M585" s="63">
        <f>ROUNDUP(K585/VLOOKUP(L585,Camion!A:D, 3, FALSE),0)</f>
        <v>1</v>
      </c>
      <c r="N585" s="63">
        <f>INT(K585/VLOOKUP(L585,Camion!A:D, 3, FALSE))</f>
        <v>0</v>
      </c>
      <c r="O585" s="64">
        <f>ROUND(K585/VLOOKUP(L585,Camion!A:D, 3, FALSE) - N585,2)</f>
        <v>0.11</v>
      </c>
      <c r="P585" s="63" t="s">
        <v>129</v>
      </c>
    </row>
    <row r="586" spans="1:16" x14ac:dyDescent="0.25">
      <c r="A586" s="7">
        <v>26</v>
      </c>
      <c r="B586" s="62" t="s">
        <v>185</v>
      </c>
      <c r="C586" s="63" t="s">
        <v>1</v>
      </c>
      <c r="D586" s="63" t="s">
        <v>135</v>
      </c>
      <c r="E586" s="63" t="s">
        <v>77</v>
      </c>
      <c r="F586" s="63" t="s">
        <v>127</v>
      </c>
      <c r="G586" s="63">
        <v>174</v>
      </c>
      <c r="H586" s="63" t="s">
        <v>131</v>
      </c>
      <c r="I586" s="63">
        <f>INDEX(Matériel!A:Z, MATCH(E586, Matériel!A:A, 0), MATCH(H586, INDEX(Matériel!A:Z, MATCH(E586, Matériel!A:A, 0), 0), 0) + 1)</f>
        <v>20</v>
      </c>
      <c r="J586" s="63">
        <f t="shared" si="57"/>
        <v>9</v>
      </c>
      <c r="K586" s="63">
        <f>VLOOKUP(H586,Manutention!A:E, 3, FALSE) * J586</f>
        <v>9</v>
      </c>
      <c r="L586" s="63" t="s">
        <v>164</v>
      </c>
      <c r="M586" s="63">
        <f>ROUNDUP(K586/VLOOKUP(L586,Camion!A:D, 3, FALSE),0)</f>
        <v>1</v>
      </c>
      <c r="N586" s="63">
        <f>INT(K586/VLOOKUP(L586,Camion!A:D, 3, FALSE))</f>
        <v>1</v>
      </c>
      <c r="O586" s="64">
        <f>ROUND(K586/VLOOKUP(L586,Camion!A:D, 3, FALSE) - N586,2)</f>
        <v>0</v>
      </c>
      <c r="P586" s="63" t="s">
        <v>129</v>
      </c>
    </row>
    <row r="587" spans="1:16" x14ac:dyDescent="0.25">
      <c r="A587" s="7">
        <v>26</v>
      </c>
      <c r="B587" s="62" t="s">
        <v>185</v>
      </c>
      <c r="C587" s="63" t="s">
        <v>1</v>
      </c>
      <c r="D587" s="63" t="s">
        <v>135</v>
      </c>
      <c r="E587" s="63" t="s">
        <v>78</v>
      </c>
      <c r="F587" s="63" t="s">
        <v>127</v>
      </c>
      <c r="G587" s="63">
        <v>3</v>
      </c>
      <c r="H587" s="63" t="s">
        <v>133</v>
      </c>
      <c r="I587" s="63">
        <f>INDEX(Matériel!A:Z, MATCH(E587, Matériel!A:A, 0), MATCH(H587, INDEX(Matériel!A:Z, MATCH(E587, Matériel!A:A, 0), 0), 0) + 1)</f>
        <v>1</v>
      </c>
      <c r="J587" s="63">
        <f t="shared" si="57"/>
        <v>3</v>
      </c>
      <c r="K587" s="63">
        <f>VLOOKUP(H587,Manutention!A:E, 3, FALSE) * J587</f>
        <v>6</v>
      </c>
      <c r="L587" s="63" t="s">
        <v>164</v>
      </c>
      <c r="M587" s="63">
        <f>ROUNDUP(K587/VLOOKUP(L587,Camion!A:D, 3, FALSE),0)</f>
        <v>1</v>
      </c>
      <c r="N587" s="63">
        <f>INT(K587/VLOOKUP(L587,Camion!A:D, 3, FALSE))</f>
        <v>0</v>
      </c>
      <c r="O587" s="64">
        <f>ROUND(K587/VLOOKUP(L587,Camion!A:D, 3, FALSE) - N587,2)</f>
        <v>0.67</v>
      </c>
      <c r="P587" s="63" t="s">
        <v>129</v>
      </c>
    </row>
    <row r="588" spans="1:16" x14ac:dyDescent="0.25">
      <c r="A588" s="7">
        <v>26</v>
      </c>
      <c r="B588" s="62" t="s">
        <v>185</v>
      </c>
      <c r="C588" s="63" t="s">
        <v>1</v>
      </c>
      <c r="D588" s="63" t="s">
        <v>135</v>
      </c>
      <c r="E588" s="63" t="s">
        <v>79</v>
      </c>
      <c r="F588" s="63" t="s">
        <v>127</v>
      </c>
      <c r="G588" s="63">
        <v>2</v>
      </c>
      <c r="H588" s="63" t="s">
        <v>133</v>
      </c>
      <c r="I588" s="63">
        <f>INDEX(Matériel!A:Z, MATCH(E588, Matériel!A:A, 0), MATCH(H588, INDEX(Matériel!A:Z, MATCH(E588, Matériel!A:A, 0), 0), 0) + 1)</f>
        <v>1</v>
      </c>
      <c r="J588" s="63">
        <f t="shared" si="57"/>
        <v>2</v>
      </c>
      <c r="K588" s="63">
        <f>VLOOKUP(H588,Manutention!A:E, 3, FALSE) * J588</f>
        <v>4</v>
      </c>
      <c r="L588" s="63" t="s">
        <v>164</v>
      </c>
      <c r="M588" s="63">
        <f>ROUNDUP(K588/VLOOKUP(L588,Camion!A:D, 3, FALSE),0)</f>
        <v>1</v>
      </c>
      <c r="N588" s="63">
        <f>INT(K588/VLOOKUP(L588,Camion!A:D, 3, FALSE))</f>
        <v>0</v>
      </c>
      <c r="O588" s="64">
        <f>ROUND(K588/VLOOKUP(L588,Camion!A:D, 3, FALSE) - N588,2)</f>
        <v>0.44</v>
      </c>
      <c r="P588" s="63" t="s">
        <v>129</v>
      </c>
    </row>
    <row r="589" spans="1:16" x14ac:dyDescent="0.25">
      <c r="A589" s="7">
        <v>26</v>
      </c>
      <c r="B589" s="62" t="s">
        <v>185</v>
      </c>
      <c r="C589" s="63" t="s">
        <v>1</v>
      </c>
      <c r="D589" s="63" t="s">
        <v>128</v>
      </c>
      <c r="E589" s="63" t="s">
        <v>81</v>
      </c>
      <c r="F589" s="63" t="s">
        <v>127</v>
      </c>
      <c r="G589" s="63">
        <v>7</v>
      </c>
      <c r="H589" s="63" t="s">
        <v>131</v>
      </c>
      <c r="I589" s="63">
        <f>INDEX(Matériel!A:Z, MATCH(E589, Matériel!A:A, 0), MATCH(H589, INDEX(Matériel!A:Z, MATCH(E589, Matériel!A:A, 0), 0), 0) + 1)</f>
        <v>100</v>
      </c>
      <c r="J589" s="63">
        <f t="shared" si="57"/>
        <v>1</v>
      </c>
      <c r="K589" s="63">
        <f>VLOOKUP(H589,Manutention!A:E, 3, FALSE) * J589</f>
        <v>1</v>
      </c>
      <c r="L589" s="63" t="s">
        <v>164</v>
      </c>
      <c r="M589" s="63">
        <f>ROUNDUP(K589/VLOOKUP(L589,Camion!A:D, 3, FALSE),0)</f>
        <v>1</v>
      </c>
      <c r="N589" s="63">
        <f>INT(K589/VLOOKUP(L589,Camion!A:D, 3, FALSE))</f>
        <v>0</v>
      </c>
      <c r="O589" s="64">
        <f>ROUND(K589/VLOOKUP(L589,Camion!A:D, 3, FALSE) - N589,2)</f>
        <v>0.11</v>
      </c>
      <c r="P589" s="63" t="s">
        <v>130</v>
      </c>
    </row>
    <row r="590" spans="1:16" x14ac:dyDescent="0.25">
      <c r="A590" s="7">
        <v>26</v>
      </c>
      <c r="B590" s="5" t="s">
        <v>185</v>
      </c>
      <c r="C590" s="65"/>
      <c r="D590" s="65"/>
      <c r="E590" s="65" t="s">
        <v>187</v>
      </c>
      <c r="F590" s="65"/>
      <c r="G590" s="65"/>
      <c r="H590" s="65" t="s">
        <v>131</v>
      </c>
      <c r="I590" s="65"/>
      <c r="J590" s="65"/>
      <c r="K590" s="65">
        <f>SUMIFS(K:K, A:A, 26, B:B, "Z3 Z4", P:P, "Oui", D:D, "Production")</f>
        <v>1</v>
      </c>
      <c r="L590" s="65" t="s">
        <v>164</v>
      </c>
      <c r="M590" s="65">
        <f>ROUNDUP(K590/VLOOKUP(L590,Camion!A:D, 3, FALSE),0)</f>
        <v>1</v>
      </c>
      <c r="N590" s="65">
        <f>INT(K590/VLOOKUP(L590,Camion!A:D, 3, FALSE))</f>
        <v>0</v>
      </c>
      <c r="O590" s="66">
        <f>ROUND(K590/VLOOKUP(L590,Camion!A:D, 3, FALSE) - N590,2)</f>
        <v>0.11</v>
      </c>
      <c r="P590" s="65"/>
    </row>
    <row r="591" spans="1:16" x14ac:dyDescent="0.25">
      <c r="A591" s="7">
        <v>26</v>
      </c>
      <c r="B591" s="5" t="s">
        <v>185</v>
      </c>
      <c r="C591" s="65"/>
      <c r="D591" s="65"/>
      <c r="E591" s="65" t="s">
        <v>188</v>
      </c>
      <c r="F591" s="65"/>
      <c r="G591" s="65"/>
      <c r="H591" s="65" t="s">
        <v>131</v>
      </c>
      <c r="I591" s="65"/>
      <c r="J591" s="65"/>
      <c r="K591" s="65">
        <f>SUMIFS(K:K, A:A, 26, B:B, "Z3 Z4", P:P, "Oui", D:D, "Terminaux")</f>
        <v>20</v>
      </c>
      <c r="L591" s="65" t="s">
        <v>167</v>
      </c>
      <c r="M591" s="65">
        <f>ROUNDUP(K591/VLOOKUP(L591,Camion!A:D, 3, FALSE),0)</f>
        <v>1</v>
      </c>
      <c r="N591" s="65">
        <f>INT(K591/VLOOKUP(L591,Camion!A:D, 3, FALSE))</f>
        <v>1</v>
      </c>
      <c r="O591" s="66">
        <f>ROUND(K591/VLOOKUP(L591,Camion!A:D, 3, FALSE) - N591,2)</f>
        <v>0</v>
      </c>
      <c r="P591" s="65"/>
    </row>
    <row r="592" spans="1:16" x14ac:dyDescent="0.25">
      <c r="A592" s="7">
        <v>27</v>
      </c>
      <c r="B592" s="62" t="s">
        <v>184</v>
      </c>
      <c r="C592" s="63" t="s">
        <v>1</v>
      </c>
      <c r="D592" s="63" t="s">
        <v>128</v>
      </c>
      <c r="E592" s="63" t="s">
        <v>71</v>
      </c>
      <c r="F592" s="63" t="s">
        <v>138</v>
      </c>
      <c r="G592" s="63">
        <v>262</v>
      </c>
      <c r="H592" s="63" t="s">
        <v>139</v>
      </c>
      <c r="I592" s="63">
        <f>INDEX(Matériel!A:Z, MATCH(E592, Matériel!A:A, 0), MATCH(H592, INDEX(Matériel!A:Z, MATCH(E592, Matériel!A:A, 0), 0), 0) + 1)</f>
        <v>150</v>
      </c>
      <c r="J592" s="63">
        <f t="shared" ref="J592:J599" si="58">ROUNDUP(G592 / I592, 0)</f>
        <v>2</v>
      </c>
      <c r="K592" s="63">
        <f>VLOOKUP(H592,Manutention!A:E, 3, FALSE) * J592</f>
        <v>6</v>
      </c>
      <c r="L592" s="63" t="s">
        <v>164</v>
      </c>
      <c r="M592" s="63">
        <f>ROUNDUP(K592/VLOOKUP(L592,Camion!A:D, 3, FALSE),0)</f>
        <v>1</v>
      </c>
      <c r="N592" s="63">
        <f>INT(K592/VLOOKUP(L592,Camion!A:D, 3, FALSE))</f>
        <v>0</v>
      </c>
      <c r="O592" s="64">
        <f>ROUND(K592/VLOOKUP(L592,Camion!A:D, 3, FALSE) - N592,2)</f>
        <v>0.67</v>
      </c>
      <c r="P592" s="63" t="s">
        <v>130</v>
      </c>
    </row>
    <row r="593" spans="1:16" x14ac:dyDescent="0.25">
      <c r="A593" s="7">
        <v>27</v>
      </c>
      <c r="B593" s="62" t="s">
        <v>184</v>
      </c>
      <c r="C593" s="63" t="s">
        <v>1</v>
      </c>
      <c r="D593" s="63" t="s">
        <v>135</v>
      </c>
      <c r="E593" s="63" t="s">
        <v>72</v>
      </c>
      <c r="F593" s="63" t="s">
        <v>138</v>
      </c>
      <c r="G593" s="63">
        <v>802</v>
      </c>
      <c r="H593" s="63" t="s">
        <v>143</v>
      </c>
      <c r="I593" s="63">
        <f>INDEX(Matériel!A:Z, MATCH(E593, Matériel!A:A, 0), MATCH(H593, INDEX(Matériel!A:Z, MATCH(E593, Matériel!A:A, 0), 0), 0) + 1)</f>
        <v>1000</v>
      </c>
      <c r="J593" s="63">
        <f t="shared" si="58"/>
        <v>1</v>
      </c>
      <c r="K593" s="63">
        <f>VLOOKUP(H593,Manutention!A:E, 3, FALSE) * J593</f>
        <v>1</v>
      </c>
      <c r="L593" s="63" t="s">
        <v>164</v>
      </c>
      <c r="M593" s="63">
        <f>ROUNDUP(K593/VLOOKUP(L593,Camion!A:D, 3, FALSE),0)</f>
        <v>1</v>
      </c>
      <c r="N593" s="63">
        <f>INT(K593/VLOOKUP(L593,Camion!A:D, 3, FALSE))</f>
        <v>0</v>
      </c>
      <c r="O593" s="64">
        <f>ROUND(K593/VLOOKUP(L593,Camion!A:D, 3, FALSE) - N593,2)</f>
        <v>0.11</v>
      </c>
      <c r="P593" s="63" t="s">
        <v>130</v>
      </c>
    </row>
    <row r="594" spans="1:16" x14ac:dyDescent="0.25">
      <c r="A594" s="7">
        <v>27</v>
      </c>
      <c r="B594" s="62" t="s">
        <v>184</v>
      </c>
      <c r="C594" s="63" t="s">
        <v>1</v>
      </c>
      <c r="D594" s="63" t="s">
        <v>135</v>
      </c>
      <c r="E594" s="63" t="s">
        <v>75</v>
      </c>
      <c r="F594" s="63" t="s">
        <v>127</v>
      </c>
      <c r="G594" s="63">
        <v>41</v>
      </c>
      <c r="H594" s="63" t="s">
        <v>136</v>
      </c>
      <c r="I594" s="63">
        <f>INDEX(Matériel!A:Z, MATCH(E594, Matériel!A:A, 0), MATCH(H594, INDEX(Matériel!A:Z, MATCH(E594, Matériel!A:A, 0), 0), 0) + 1)</f>
        <v>60</v>
      </c>
      <c r="J594" s="63">
        <f t="shared" si="58"/>
        <v>1</v>
      </c>
      <c r="K594" s="63">
        <f>VLOOKUP(H594,Manutention!A:E, 3, FALSE) * J594</f>
        <v>1</v>
      </c>
      <c r="L594" s="63" t="s">
        <v>164</v>
      </c>
      <c r="M594" s="63">
        <f>ROUNDUP(K594/VLOOKUP(L594,Camion!A:D, 3, FALSE),0)</f>
        <v>1</v>
      </c>
      <c r="N594" s="63">
        <f>INT(K594/VLOOKUP(L594,Camion!A:D, 3, FALSE))</f>
        <v>0</v>
      </c>
      <c r="O594" s="64">
        <f>ROUND(K594/VLOOKUP(L594,Camion!A:D, 3, FALSE) - N594,2)</f>
        <v>0.11</v>
      </c>
      <c r="P594" s="63" t="s">
        <v>129</v>
      </c>
    </row>
    <row r="595" spans="1:16" x14ac:dyDescent="0.25">
      <c r="A595" s="7">
        <v>27</v>
      </c>
      <c r="B595" s="62" t="s">
        <v>184</v>
      </c>
      <c r="C595" s="63" t="s">
        <v>1</v>
      </c>
      <c r="D595" s="63" t="s">
        <v>128</v>
      </c>
      <c r="E595" s="63" t="s">
        <v>76</v>
      </c>
      <c r="F595" s="63" t="s">
        <v>127</v>
      </c>
      <c r="G595" s="63">
        <v>20</v>
      </c>
      <c r="H595" s="63" t="s">
        <v>131</v>
      </c>
      <c r="I595" s="63">
        <f>INDEX(Matériel!A:Z, MATCH(E595, Matériel!A:A, 0), MATCH(H595, INDEX(Matériel!A:Z, MATCH(E595, Matériel!A:A, 0), 0), 0) + 1)</f>
        <v>100</v>
      </c>
      <c r="J595" s="63">
        <f t="shared" si="58"/>
        <v>1</v>
      </c>
      <c r="K595" s="63">
        <f>VLOOKUP(H595,Manutention!A:E, 3, FALSE) * J595</f>
        <v>1</v>
      </c>
      <c r="L595" s="63" t="s">
        <v>164</v>
      </c>
      <c r="M595" s="63">
        <f>ROUNDUP(K595/VLOOKUP(L595,Camion!A:D, 3, FALSE),0)</f>
        <v>1</v>
      </c>
      <c r="N595" s="63">
        <f>INT(K595/VLOOKUP(L595,Camion!A:D, 3, FALSE))</f>
        <v>0</v>
      </c>
      <c r="O595" s="64">
        <f>ROUND(K595/VLOOKUP(L595,Camion!A:D, 3, FALSE) - N595,2)</f>
        <v>0.11</v>
      </c>
      <c r="P595" s="63" t="s">
        <v>129</v>
      </c>
    </row>
    <row r="596" spans="1:16" x14ac:dyDescent="0.25">
      <c r="A596" s="7">
        <v>27</v>
      </c>
      <c r="B596" s="62" t="s">
        <v>184</v>
      </c>
      <c r="C596" s="63" t="s">
        <v>1</v>
      </c>
      <c r="D596" s="63" t="s">
        <v>135</v>
      </c>
      <c r="E596" s="63" t="s">
        <v>77</v>
      </c>
      <c r="F596" s="63" t="s">
        <v>127</v>
      </c>
      <c r="G596" s="63">
        <v>171</v>
      </c>
      <c r="H596" s="63" t="s">
        <v>131</v>
      </c>
      <c r="I596" s="63">
        <f>INDEX(Matériel!A:Z, MATCH(E596, Matériel!A:A, 0), MATCH(H596, INDEX(Matériel!A:Z, MATCH(E596, Matériel!A:A, 0), 0), 0) + 1)</f>
        <v>20</v>
      </c>
      <c r="J596" s="63">
        <f t="shared" si="58"/>
        <v>9</v>
      </c>
      <c r="K596" s="63">
        <f>VLOOKUP(H596,Manutention!A:E, 3, FALSE) * J596</f>
        <v>9</v>
      </c>
      <c r="L596" s="63" t="s">
        <v>164</v>
      </c>
      <c r="M596" s="63">
        <f>ROUNDUP(K596/VLOOKUP(L596,Camion!A:D, 3, FALSE),0)</f>
        <v>1</v>
      </c>
      <c r="N596" s="63">
        <f>INT(K596/VLOOKUP(L596,Camion!A:D, 3, FALSE))</f>
        <v>1</v>
      </c>
      <c r="O596" s="64">
        <f>ROUND(K596/VLOOKUP(L596,Camion!A:D, 3, FALSE) - N596,2)</f>
        <v>0</v>
      </c>
      <c r="P596" s="63" t="s">
        <v>129</v>
      </c>
    </row>
    <row r="597" spans="1:16" x14ac:dyDescent="0.25">
      <c r="A597" s="7">
        <v>27</v>
      </c>
      <c r="B597" s="62" t="s">
        <v>184</v>
      </c>
      <c r="C597" s="63" t="s">
        <v>1</v>
      </c>
      <c r="D597" s="63" t="s">
        <v>135</v>
      </c>
      <c r="E597" s="63" t="s">
        <v>78</v>
      </c>
      <c r="F597" s="63" t="s">
        <v>127</v>
      </c>
      <c r="G597" s="63">
        <v>3</v>
      </c>
      <c r="H597" s="63" t="s">
        <v>133</v>
      </c>
      <c r="I597" s="63">
        <f>INDEX(Matériel!A:Z, MATCH(E597, Matériel!A:A, 0), MATCH(H597, INDEX(Matériel!A:Z, MATCH(E597, Matériel!A:A, 0), 0), 0) + 1)</f>
        <v>1</v>
      </c>
      <c r="J597" s="63">
        <f t="shared" si="58"/>
        <v>3</v>
      </c>
      <c r="K597" s="63">
        <f>VLOOKUP(H597,Manutention!A:E, 3, FALSE) * J597</f>
        <v>6</v>
      </c>
      <c r="L597" s="63" t="s">
        <v>164</v>
      </c>
      <c r="M597" s="63">
        <f>ROUNDUP(K597/VLOOKUP(L597,Camion!A:D, 3, FALSE),0)</f>
        <v>1</v>
      </c>
      <c r="N597" s="63">
        <f>INT(K597/VLOOKUP(L597,Camion!A:D, 3, FALSE))</f>
        <v>0</v>
      </c>
      <c r="O597" s="64">
        <f>ROUND(K597/VLOOKUP(L597,Camion!A:D, 3, FALSE) - N597,2)</f>
        <v>0.67</v>
      </c>
      <c r="P597" s="63" t="s">
        <v>129</v>
      </c>
    </row>
    <row r="598" spans="1:16" x14ac:dyDescent="0.25">
      <c r="A598" s="7">
        <v>27</v>
      </c>
      <c r="B598" s="62" t="s">
        <v>184</v>
      </c>
      <c r="C598" s="63" t="s">
        <v>1</v>
      </c>
      <c r="D598" s="63" t="s">
        <v>135</v>
      </c>
      <c r="E598" s="63" t="s">
        <v>79</v>
      </c>
      <c r="F598" s="63" t="s">
        <v>127</v>
      </c>
      <c r="G598" s="63">
        <v>2</v>
      </c>
      <c r="H598" s="63" t="s">
        <v>133</v>
      </c>
      <c r="I598" s="63">
        <f>INDEX(Matériel!A:Z, MATCH(E598, Matériel!A:A, 0), MATCH(H598, INDEX(Matériel!A:Z, MATCH(E598, Matériel!A:A, 0), 0), 0) + 1)</f>
        <v>1</v>
      </c>
      <c r="J598" s="63">
        <f t="shared" si="58"/>
        <v>2</v>
      </c>
      <c r="K598" s="63">
        <f>VLOOKUP(H598,Manutention!A:E, 3, FALSE) * J598</f>
        <v>4</v>
      </c>
      <c r="L598" s="63" t="s">
        <v>164</v>
      </c>
      <c r="M598" s="63">
        <f>ROUNDUP(K598/VLOOKUP(L598,Camion!A:D, 3, FALSE),0)</f>
        <v>1</v>
      </c>
      <c r="N598" s="63">
        <f>INT(K598/VLOOKUP(L598,Camion!A:D, 3, FALSE))</f>
        <v>0</v>
      </c>
      <c r="O598" s="64">
        <f>ROUND(K598/VLOOKUP(L598,Camion!A:D, 3, FALSE) - N598,2)</f>
        <v>0.44</v>
      </c>
      <c r="P598" s="63" t="s">
        <v>129</v>
      </c>
    </row>
    <row r="599" spans="1:16" x14ac:dyDescent="0.25">
      <c r="A599" s="7">
        <v>27</v>
      </c>
      <c r="B599" s="62" t="s">
        <v>184</v>
      </c>
      <c r="C599" s="63" t="s">
        <v>1</v>
      </c>
      <c r="D599" s="63" t="s">
        <v>128</v>
      </c>
      <c r="E599" s="63" t="s">
        <v>81</v>
      </c>
      <c r="F599" s="63" t="s">
        <v>127</v>
      </c>
      <c r="G599" s="63">
        <v>7</v>
      </c>
      <c r="H599" s="63" t="s">
        <v>131</v>
      </c>
      <c r="I599" s="63">
        <f>INDEX(Matériel!A:Z, MATCH(E599, Matériel!A:A, 0), MATCH(H599, INDEX(Matériel!A:Z, MATCH(E599, Matériel!A:A, 0), 0), 0) + 1)</f>
        <v>100</v>
      </c>
      <c r="J599" s="63">
        <f t="shared" si="58"/>
        <v>1</v>
      </c>
      <c r="K599" s="63">
        <f>VLOOKUP(H599,Manutention!A:E, 3, FALSE) * J599</f>
        <v>1</v>
      </c>
      <c r="L599" s="63" t="s">
        <v>164</v>
      </c>
      <c r="M599" s="63">
        <f>ROUNDUP(K599/VLOOKUP(L599,Camion!A:D, 3, FALSE),0)</f>
        <v>1</v>
      </c>
      <c r="N599" s="63">
        <f>INT(K599/VLOOKUP(L599,Camion!A:D, 3, FALSE))</f>
        <v>0</v>
      </c>
      <c r="O599" s="64">
        <f>ROUND(K599/VLOOKUP(L599,Camion!A:D, 3, FALSE) - N599,2)</f>
        <v>0.11</v>
      </c>
      <c r="P599" s="63" t="s">
        <v>130</v>
      </c>
    </row>
    <row r="600" spans="1:16" x14ac:dyDescent="0.25">
      <c r="A600" s="7">
        <v>27</v>
      </c>
      <c r="B600" s="5" t="s">
        <v>184</v>
      </c>
      <c r="C600" s="65"/>
      <c r="D600" s="65"/>
      <c r="E600" s="65" t="s">
        <v>187</v>
      </c>
      <c r="F600" s="65"/>
      <c r="G600" s="65"/>
      <c r="H600" s="65" t="s">
        <v>131</v>
      </c>
      <c r="I600" s="65"/>
      <c r="J600" s="65"/>
      <c r="K600" s="65">
        <f>SUMIFS(K:K, A:A, 27, B:B, "Z1 Z2", P:P, "Oui", D:D, "Production")</f>
        <v>1</v>
      </c>
      <c r="L600" s="65" t="s">
        <v>164</v>
      </c>
      <c r="M600" s="65">
        <f>ROUNDUP(K600/VLOOKUP(L600,Camion!A:D, 3, FALSE),0)</f>
        <v>1</v>
      </c>
      <c r="N600" s="65">
        <f>INT(K600/VLOOKUP(L600,Camion!A:D, 3, FALSE))</f>
        <v>0</v>
      </c>
      <c r="O600" s="66">
        <f>ROUND(K600/VLOOKUP(L600,Camion!A:D, 3, FALSE) - N600,2)</f>
        <v>0.11</v>
      </c>
      <c r="P600" s="65"/>
    </row>
    <row r="601" spans="1:16" x14ac:dyDescent="0.25">
      <c r="A601" s="7">
        <v>27</v>
      </c>
      <c r="B601" s="5" t="s">
        <v>184</v>
      </c>
      <c r="C601" s="65"/>
      <c r="D601" s="65"/>
      <c r="E601" s="65" t="s">
        <v>188</v>
      </c>
      <c r="F601" s="65"/>
      <c r="G601" s="65"/>
      <c r="H601" s="65" t="s">
        <v>131</v>
      </c>
      <c r="I601" s="65"/>
      <c r="J601" s="65"/>
      <c r="K601" s="65">
        <f>SUMIFS(K:K, A:A, 27, B:B, "Z1 Z2", P:P, "Oui", D:D, "Terminaux")</f>
        <v>20</v>
      </c>
      <c r="L601" s="65" t="s">
        <v>167</v>
      </c>
      <c r="M601" s="65">
        <f>ROUNDUP(K601/VLOOKUP(L601,Camion!A:D, 3, FALSE),0)</f>
        <v>1</v>
      </c>
      <c r="N601" s="65">
        <f>INT(K601/VLOOKUP(L601,Camion!A:D, 3, FALSE))</f>
        <v>1</v>
      </c>
      <c r="O601" s="66">
        <f>ROUND(K601/VLOOKUP(L601,Camion!A:D, 3, FALSE) - N601,2)</f>
        <v>0</v>
      </c>
      <c r="P601" s="65"/>
    </row>
    <row r="602" spans="1:16" x14ac:dyDescent="0.25">
      <c r="A602" s="7">
        <v>27</v>
      </c>
      <c r="B602" s="62" t="s">
        <v>185</v>
      </c>
      <c r="C602" s="63" t="s">
        <v>1</v>
      </c>
      <c r="D602" s="63" t="s">
        <v>128</v>
      </c>
      <c r="E602" s="63" t="s">
        <v>71</v>
      </c>
      <c r="F602" s="63" t="s">
        <v>138</v>
      </c>
      <c r="G602" s="63">
        <v>258</v>
      </c>
      <c r="H602" s="63" t="s">
        <v>139</v>
      </c>
      <c r="I602" s="63">
        <f>INDEX(Matériel!A:Z, MATCH(E602, Matériel!A:A, 0), MATCH(H602, INDEX(Matériel!A:Z, MATCH(E602, Matériel!A:A, 0), 0), 0) + 1)</f>
        <v>150</v>
      </c>
      <c r="J602" s="63">
        <f t="shared" ref="J602:J609" si="59">ROUNDUP(G602 / I602, 0)</f>
        <v>2</v>
      </c>
      <c r="K602" s="63">
        <f>VLOOKUP(H602,Manutention!A:E, 3, FALSE) * J602</f>
        <v>6</v>
      </c>
      <c r="L602" s="63" t="s">
        <v>164</v>
      </c>
      <c r="M602" s="63">
        <f>ROUNDUP(K602/VLOOKUP(L602,Camion!A:D, 3, FALSE),0)</f>
        <v>1</v>
      </c>
      <c r="N602" s="63">
        <f>INT(K602/VLOOKUP(L602,Camion!A:D, 3, FALSE))</f>
        <v>0</v>
      </c>
      <c r="O602" s="64">
        <f>ROUND(K602/VLOOKUP(L602,Camion!A:D, 3, FALSE) - N602,2)</f>
        <v>0.67</v>
      </c>
      <c r="P602" s="63" t="s">
        <v>130</v>
      </c>
    </row>
    <row r="603" spans="1:16" x14ac:dyDescent="0.25">
      <c r="A603" s="7">
        <v>27</v>
      </c>
      <c r="B603" s="62" t="s">
        <v>185</v>
      </c>
      <c r="C603" s="63" t="s">
        <v>1</v>
      </c>
      <c r="D603" s="63" t="s">
        <v>135</v>
      </c>
      <c r="E603" s="63" t="s">
        <v>72</v>
      </c>
      <c r="F603" s="63" t="s">
        <v>138</v>
      </c>
      <c r="G603" s="63">
        <v>790</v>
      </c>
      <c r="H603" s="63" t="s">
        <v>143</v>
      </c>
      <c r="I603" s="63">
        <f>INDEX(Matériel!A:Z, MATCH(E603, Matériel!A:A, 0), MATCH(H603, INDEX(Matériel!A:Z, MATCH(E603, Matériel!A:A, 0), 0), 0) + 1)</f>
        <v>1000</v>
      </c>
      <c r="J603" s="63">
        <f t="shared" si="59"/>
        <v>1</v>
      </c>
      <c r="K603" s="63">
        <f>VLOOKUP(H603,Manutention!A:E, 3, FALSE) * J603</f>
        <v>1</v>
      </c>
      <c r="L603" s="63" t="s">
        <v>164</v>
      </c>
      <c r="M603" s="63">
        <f>ROUNDUP(K603/VLOOKUP(L603,Camion!A:D, 3, FALSE),0)</f>
        <v>1</v>
      </c>
      <c r="N603" s="63">
        <f>INT(K603/VLOOKUP(L603,Camion!A:D, 3, FALSE))</f>
        <v>0</v>
      </c>
      <c r="O603" s="64">
        <f>ROUND(K603/VLOOKUP(L603,Camion!A:D, 3, FALSE) - N603,2)</f>
        <v>0.11</v>
      </c>
      <c r="P603" s="63" t="s">
        <v>130</v>
      </c>
    </row>
    <row r="604" spans="1:16" x14ac:dyDescent="0.25">
      <c r="A604" s="7">
        <v>27</v>
      </c>
      <c r="B604" s="62" t="s">
        <v>185</v>
      </c>
      <c r="C604" s="63" t="s">
        <v>1</v>
      </c>
      <c r="D604" s="63" t="s">
        <v>135</v>
      </c>
      <c r="E604" s="63" t="s">
        <v>75</v>
      </c>
      <c r="F604" s="63" t="s">
        <v>127</v>
      </c>
      <c r="G604" s="63">
        <v>40</v>
      </c>
      <c r="H604" s="63" t="s">
        <v>136</v>
      </c>
      <c r="I604" s="63">
        <f>INDEX(Matériel!A:Z, MATCH(E604, Matériel!A:A, 0), MATCH(H604, INDEX(Matériel!A:Z, MATCH(E604, Matériel!A:A, 0), 0), 0) + 1)</f>
        <v>60</v>
      </c>
      <c r="J604" s="63">
        <f t="shared" si="59"/>
        <v>1</v>
      </c>
      <c r="K604" s="63">
        <f>VLOOKUP(H604,Manutention!A:E, 3, FALSE) * J604</f>
        <v>1</v>
      </c>
      <c r="L604" s="63" t="s">
        <v>164</v>
      </c>
      <c r="M604" s="63">
        <f>ROUNDUP(K604/VLOOKUP(L604,Camion!A:D, 3, FALSE),0)</f>
        <v>1</v>
      </c>
      <c r="N604" s="63">
        <f>INT(K604/VLOOKUP(L604,Camion!A:D, 3, FALSE))</f>
        <v>0</v>
      </c>
      <c r="O604" s="64">
        <f>ROUND(K604/VLOOKUP(L604,Camion!A:D, 3, FALSE) - N604,2)</f>
        <v>0.11</v>
      </c>
      <c r="P604" s="63" t="s">
        <v>129</v>
      </c>
    </row>
    <row r="605" spans="1:16" x14ac:dyDescent="0.25">
      <c r="A605" s="7">
        <v>27</v>
      </c>
      <c r="B605" s="62" t="s">
        <v>185</v>
      </c>
      <c r="C605" s="63" t="s">
        <v>1</v>
      </c>
      <c r="D605" s="63" t="s">
        <v>128</v>
      </c>
      <c r="E605" s="63" t="s">
        <v>76</v>
      </c>
      <c r="F605" s="63" t="s">
        <v>127</v>
      </c>
      <c r="G605" s="63">
        <v>20</v>
      </c>
      <c r="H605" s="63" t="s">
        <v>131</v>
      </c>
      <c r="I605" s="63">
        <f>INDEX(Matériel!A:Z, MATCH(E605, Matériel!A:A, 0), MATCH(H605, INDEX(Matériel!A:Z, MATCH(E605, Matériel!A:A, 0), 0), 0) + 1)</f>
        <v>100</v>
      </c>
      <c r="J605" s="63">
        <f t="shared" si="59"/>
        <v>1</v>
      </c>
      <c r="K605" s="63">
        <f>VLOOKUP(H605,Manutention!A:E, 3, FALSE) * J605</f>
        <v>1</v>
      </c>
      <c r="L605" s="63" t="s">
        <v>164</v>
      </c>
      <c r="M605" s="63">
        <f>ROUNDUP(K605/VLOOKUP(L605,Camion!A:D, 3, FALSE),0)</f>
        <v>1</v>
      </c>
      <c r="N605" s="63">
        <f>INT(K605/VLOOKUP(L605,Camion!A:D, 3, FALSE))</f>
        <v>0</v>
      </c>
      <c r="O605" s="64">
        <f>ROUND(K605/VLOOKUP(L605,Camion!A:D, 3, FALSE) - N605,2)</f>
        <v>0.11</v>
      </c>
      <c r="P605" s="63" t="s">
        <v>129</v>
      </c>
    </row>
    <row r="606" spans="1:16" x14ac:dyDescent="0.25">
      <c r="A606" s="7">
        <v>27</v>
      </c>
      <c r="B606" s="62" t="s">
        <v>185</v>
      </c>
      <c r="C606" s="63" t="s">
        <v>1</v>
      </c>
      <c r="D606" s="63" t="s">
        <v>135</v>
      </c>
      <c r="E606" s="63" t="s">
        <v>77</v>
      </c>
      <c r="F606" s="63" t="s">
        <v>127</v>
      </c>
      <c r="G606" s="63">
        <v>169</v>
      </c>
      <c r="H606" s="63" t="s">
        <v>131</v>
      </c>
      <c r="I606" s="63">
        <f>INDEX(Matériel!A:Z, MATCH(E606, Matériel!A:A, 0), MATCH(H606, INDEX(Matériel!A:Z, MATCH(E606, Matériel!A:A, 0), 0), 0) + 1)</f>
        <v>20</v>
      </c>
      <c r="J606" s="63">
        <f t="shared" si="59"/>
        <v>9</v>
      </c>
      <c r="K606" s="63">
        <f>VLOOKUP(H606,Manutention!A:E, 3, FALSE) * J606</f>
        <v>9</v>
      </c>
      <c r="L606" s="63" t="s">
        <v>164</v>
      </c>
      <c r="M606" s="63">
        <f>ROUNDUP(K606/VLOOKUP(L606,Camion!A:D, 3, FALSE),0)</f>
        <v>1</v>
      </c>
      <c r="N606" s="63">
        <f>INT(K606/VLOOKUP(L606,Camion!A:D, 3, FALSE))</f>
        <v>1</v>
      </c>
      <c r="O606" s="64">
        <f>ROUND(K606/VLOOKUP(L606,Camion!A:D, 3, FALSE) - N606,2)</f>
        <v>0</v>
      </c>
      <c r="P606" s="63" t="s">
        <v>129</v>
      </c>
    </row>
    <row r="607" spans="1:16" x14ac:dyDescent="0.25">
      <c r="A607" s="7">
        <v>27</v>
      </c>
      <c r="B607" s="62" t="s">
        <v>185</v>
      </c>
      <c r="C607" s="63" t="s">
        <v>1</v>
      </c>
      <c r="D607" s="63" t="s">
        <v>135</v>
      </c>
      <c r="E607" s="63" t="s">
        <v>78</v>
      </c>
      <c r="F607" s="63" t="s">
        <v>127</v>
      </c>
      <c r="G607" s="63">
        <v>3</v>
      </c>
      <c r="H607" s="63" t="s">
        <v>133</v>
      </c>
      <c r="I607" s="63">
        <f>INDEX(Matériel!A:Z, MATCH(E607, Matériel!A:A, 0), MATCH(H607, INDEX(Matériel!A:Z, MATCH(E607, Matériel!A:A, 0), 0), 0) + 1)</f>
        <v>1</v>
      </c>
      <c r="J607" s="63">
        <f t="shared" si="59"/>
        <v>3</v>
      </c>
      <c r="K607" s="63">
        <f>VLOOKUP(H607,Manutention!A:E, 3, FALSE) * J607</f>
        <v>6</v>
      </c>
      <c r="L607" s="63" t="s">
        <v>164</v>
      </c>
      <c r="M607" s="63">
        <f>ROUNDUP(K607/VLOOKUP(L607,Camion!A:D, 3, FALSE),0)</f>
        <v>1</v>
      </c>
      <c r="N607" s="63">
        <f>INT(K607/VLOOKUP(L607,Camion!A:D, 3, FALSE))</f>
        <v>0</v>
      </c>
      <c r="O607" s="64">
        <f>ROUND(K607/VLOOKUP(L607,Camion!A:D, 3, FALSE) - N607,2)</f>
        <v>0.67</v>
      </c>
      <c r="P607" s="63" t="s">
        <v>129</v>
      </c>
    </row>
    <row r="608" spans="1:16" x14ac:dyDescent="0.25">
      <c r="A608" s="7">
        <v>27</v>
      </c>
      <c r="B608" s="62" t="s">
        <v>185</v>
      </c>
      <c r="C608" s="63" t="s">
        <v>1</v>
      </c>
      <c r="D608" s="63" t="s">
        <v>135</v>
      </c>
      <c r="E608" s="63" t="s">
        <v>79</v>
      </c>
      <c r="F608" s="63" t="s">
        <v>127</v>
      </c>
      <c r="G608" s="63">
        <v>2</v>
      </c>
      <c r="H608" s="63" t="s">
        <v>133</v>
      </c>
      <c r="I608" s="63">
        <f>INDEX(Matériel!A:Z, MATCH(E608, Matériel!A:A, 0), MATCH(H608, INDEX(Matériel!A:Z, MATCH(E608, Matériel!A:A, 0), 0), 0) + 1)</f>
        <v>1</v>
      </c>
      <c r="J608" s="63">
        <f t="shared" si="59"/>
        <v>2</v>
      </c>
      <c r="K608" s="63">
        <f>VLOOKUP(H608,Manutention!A:E, 3, FALSE) * J608</f>
        <v>4</v>
      </c>
      <c r="L608" s="63" t="s">
        <v>164</v>
      </c>
      <c r="M608" s="63">
        <f>ROUNDUP(K608/VLOOKUP(L608,Camion!A:D, 3, FALSE),0)</f>
        <v>1</v>
      </c>
      <c r="N608" s="63">
        <f>INT(K608/VLOOKUP(L608,Camion!A:D, 3, FALSE))</f>
        <v>0</v>
      </c>
      <c r="O608" s="64">
        <f>ROUND(K608/VLOOKUP(L608,Camion!A:D, 3, FALSE) - N608,2)</f>
        <v>0.44</v>
      </c>
      <c r="P608" s="63" t="s">
        <v>129</v>
      </c>
    </row>
    <row r="609" spans="1:16" x14ac:dyDescent="0.25">
      <c r="A609" s="7">
        <v>27</v>
      </c>
      <c r="B609" s="62" t="s">
        <v>185</v>
      </c>
      <c r="C609" s="63" t="s">
        <v>1</v>
      </c>
      <c r="D609" s="63" t="s">
        <v>128</v>
      </c>
      <c r="E609" s="63" t="s">
        <v>81</v>
      </c>
      <c r="F609" s="63" t="s">
        <v>127</v>
      </c>
      <c r="G609" s="63">
        <v>7</v>
      </c>
      <c r="H609" s="63" t="s">
        <v>131</v>
      </c>
      <c r="I609" s="63">
        <f>INDEX(Matériel!A:Z, MATCH(E609, Matériel!A:A, 0), MATCH(H609, INDEX(Matériel!A:Z, MATCH(E609, Matériel!A:A, 0), 0), 0) + 1)</f>
        <v>100</v>
      </c>
      <c r="J609" s="63">
        <f t="shared" si="59"/>
        <v>1</v>
      </c>
      <c r="K609" s="63">
        <f>VLOOKUP(H609,Manutention!A:E, 3, FALSE) * J609</f>
        <v>1</v>
      </c>
      <c r="L609" s="63" t="s">
        <v>164</v>
      </c>
      <c r="M609" s="63">
        <f>ROUNDUP(K609/VLOOKUP(L609,Camion!A:D, 3, FALSE),0)</f>
        <v>1</v>
      </c>
      <c r="N609" s="63">
        <f>INT(K609/VLOOKUP(L609,Camion!A:D, 3, FALSE))</f>
        <v>0</v>
      </c>
      <c r="O609" s="64">
        <f>ROUND(K609/VLOOKUP(L609,Camion!A:D, 3, FALSE) - N609,2)</f>
        <v>0.11</v>
      </c>
      <c r="P609" s="63" t="s">
        <v>130</v>
      </c>
    </row>
    <row r="610" spans="1:16" x14ac:dyDescent="0.25">
      <c r="A610" s="7">
        <v>27</v>
      </c>
      <c r="B610" s="5" t="s">
        <v>185</v>
      </c>
      <c r="C610" s="65"/>
      <c r="D610" s="65"/>
      <c r="E610" s="65" t="s">
        <v>187</v>
      </c>
      <c r="F610" s="65"/>
      <c r="G610" s="65"/>
      <c r="H610" s="65" t="s">
        <v>131</v>
      </c>
      <c r="I610" s="65"/>
      <c r="J610" s="65"/>
      <c r="K610" s="65">
        <f>SUMIFS(K:K, A:A, 27, B:B, "Z3 Z4", P:P, "Oui", D:D, "Production")</f>
        <v>1</v>
      </c>
      <c r="L610" s="65" t="s">
        <v>164</v>
      </c>
      <c r="M610" s="65">
        <f>ROUNDUP(K610/VLOOKUP(L610,Camion!A:D, 3, FALSE),0)</f>
        <v>1</v>
      </c>
      <c r="N610" s="65">
        <f>INT(K610/VLOOKUP(L610,Camion!A:D, 3, FALSE))</f>
        <v>0</v>
      </c>
      <c r="O610" s="66">
        <f>ROUND(K610/VLOOKUP(L610,Camion!A:D, 3, FALSE) - N610,2)</f>
        <v>0.11</v>
      </c>
      <c r="P610" s="65"/>
    </row>
    <row r="611" spans="1:16" x14ac:dyDescent="0.25">
      <c r="A611" s="7">
        <v>27</v>
      </c>
      <c r="B611" s="5" t="s">
        <v>185</v>
      </c>
      <c r="C611" s="65"/>
      <c r="D611" s="65"/>
      <c r="E611" s="65" t="s">
        <v>188</v>
      </c>
      <c r="F611" s="65"/>
      <c r="G611" s="65"/>
      <c r="H611" s="65" t="s">
        <v>131</v>
      </c>
      <c r="I611" s="65"/>
      <c r="J611" s="65"/>
      <c r="K611" s="65">
        <f>SUMIFS(K:K, A:A, 27, B:B, "Z3 Z4", P:P, "Oui", D:D, "Terminaux")</f>
        <v>20</v>
      </c>
      <c r="L611" s="65" t="s">
        <v>167</v>
      </c>
      <c r="M611" s="65">
        <f>ROUNDUP(K611/VLOOKUP(L611,Camion!A:D, 3, FALSE),0)</f>
        <v>1</v>
      </c>
      <c r="N611" s="65">
        <f>INT(K611/VLOOKUP(L611,Camion!A:D, 3, FALSE))</f>
        <v>1</v>
      </c>
      <c r="O611" s="66">
        <f>ROUND(K611/VLOOKUP(L611,Camion!A:D, 3, FALSE) - N611,2)</f>
        <v>0</v>
      </c>
      <c r="P611" s="65"/>
    </row>
    <row r="612" spans="1:16" x14ac:dyDescent="0.25">
      <c r="A612" s="7">
        <v>28</v>
      </c>
      <c r="B612" s="62" t="s">
        <v>184</v>
      </c>
      <c r="C612" s="63" t="s">
        <v>1</v>
      </c>
      <c r="D612" s="63" t="s">
        <v>128</v>
      </c>
      <c r="E612" s="63" t="s">
        <v>71</v>
      </c>
      <c r="F612" s="63" t="s">
        <v>138</v>
      </c>
      <c r="G612" s="63">
        <v>254</v>
      </c>
      <c r="H612" s="63" t="s">
        <v>139</v>
      </c>
      <c r="I612" s="63">
        <f>INDEX(Matériel!A:Z, MATCH(E612, Matériel!A:A, 0), MATCH(H612, INDEX(Matériel!A:Z, MATCH(E612, Matériel!A:A, 0), 0), 0) + 1)</f>
        <v>150</v>
      </c>
      <c r="J612" s="63">
        <f t="shared" ref="J612:J619" si="60">ROUNDUP(G612 / I612, 0)</f>
        <v>2</v>
      </c>
      <c r="K612" s="63">
        <f>VLOOKUP(H612,Manutention!A:E, 3, FALSE) * J612</f>
        <v>6</v>
      </c>
      <c r="L612" s="63" t="s">
        <v>164</v>
      </c>
      <c r="M612" s="63">
        <f>ROUNDUP(K612/VLOOKUP(L612,Camion!A:D, 3, FALSE),0)</f>
        <v>1</v>
      </c>
      <c r="N612" s="63">
        <f>INT(K612/VLOOKUP(L612,Camion!A:D, 3, FALSE))</f>
        <v>0</v>
      </c>
      <c r="O612" s="64">
        <f>ROUND(K612/VLOOKUP(L612,Camion!A:D, 3, FALSE) - N612,2)</f>
        <v>0.67</v>
      </c>
      <c r="P612" s="63" t="s">
        <v>130</v>
      </c>
    </row>
    <row r="613" spans="1:16" x14ac:dyDescent="0.25">
      <c r="A613" s="7">
        <v>28</v>
      </c>
      <c r="B613" s="62" t="s">
        <v>184</v>
      </c>
      <c r="C613" s="63" t="s">
        <v>1</v>
      </c>
      <c r="D613" s="63" t="s">
        <v>135</v>
      </c>
      <c r="E613" s="63" t="s">
        <v>72</v>
      </c>
      <c r="F613" s="63" t="s">
        <v>138</v>
      </c>
      <c r="G613" s="63">
        <v>778</v>
      </c>
      <c r="H613" s="63" t="s">
        <v>143</v>
      </c>
      <c r="I613" s="63">
        <f>INDEX(Matériel!A:Z, MATCH(E613, Matériel!A:A, 0), MATCH(H613, INDEX(Matériel!A:Z, MATCH(E613, Matériel!A:A, 0), 0), 0) + 1)</f>
        <v>1000</v>
      </c>
      <c r="J613" s="63">
        <f t="shared" si="60"/>
        <v>1</v>
      </c>
      <c r="K613" s="63">
        <f>VLOOKUP(H613,Manutention!A:E, 3, FALSE) * J613</f>
        <v>1</v>
      </c>
      <c r="L613" s="63" t="s">
        <v>164</v>
      </c>
      <c r="M613" s="63">
        <f>ROUNDUP(K613/VLOOKUP(L613,Camion!A:D, 3, FALSE),0)</f>
        <v>1</v>
      </c>
      <c r="N613" s="63">
        <f>INT(K613/VLOOKUP(L613,Camion!A:D, 3, FALSE))</f>
        <v>0</v>
      </c>
      <c r="O613" s="64">
        <f>ROUND(K613/VLOOKUP(L613,Camion!A:D, 3, FALSE) - N613,2)</f>
        <v>0.11</v>
      </c>
      <c r="P613" s="63" t="s">
        <v>130</v>
      </c>
    </row>
    <row r="614" spans="1:16" x14ac:dyDescent="0.25">
      <c r="A614" s="7">
        <v>28</v>
      </c>
      <c r="B614" s="62" t="s">
        <v>184</v>
      </c>
      <c r="C614" s="63" t="s">
        <v>1</v>
      </c>
      <c r="D614" s="63" t="s">
        <v>135</v>
      </c>
      <c r="E614" s="63" t="s">
        <v>75</v>
      </c>
      <c r="F614" s="63" t="s">
        <v>127</v>
      </c>
      <c r="G614" s="63">
        <v>40</v>
      </c>
      <c r="H614" s="63" t="s">
        <v>136</v>
      </c>
      <c r="I614" s="63">
        <f>INDEX(Matériel!A:Z, MATCH(E614, Matériel!A:A, 0), MATCH(H614, INDEX(Matériel!A:Z, MATCH(E614, Matériel!A:A, 0), 0), 0) + 1)</f>
        <v>60</v>
      </c>
      <c r="J614" s="63">
        <f t="shared" si="60"/>
        <v>1</v>
      </c>
      <c r="K614" s="63">
        <f>VLOOKUP(H614,Manutention!A:E, 3, FALSE) * J614</f>
        <v>1</v>
      </c>
      <c r="L614" s="63" t="s">
        <v>164</v>
      </c>
      <c r="M614" s="63">
        <f>ROUNDUP(K614/VLOOKUP(L614,Camion!A:D, 3, FALSE),0)</f>
        <v>1</v>
      </c>
      <c r="N614" s="63">
        <f>INT(K614/VLOOKUP(L614,Camion!A:D, 3, FALSE))</f>
        <v>0</v>
      </c>
      <c r="O614" s="64">
        <f>ROUND(K614/VLOOKUP(L614,Camion!A:D, 3, FALSE) - N614,2)</f>
        <v>0.11</v>
      </c>
      <c r="P614" s="63" t="s">
        <v>129</v>
      </c>
    </row>
    <row r="615" spans="1:16" x14ac:dyDescent="0.25">
      <c r="A615" s="7">
        <v>28</v>
      </c>
      <c r="B615" s="62" t="s">
        <v>184</v>
      </c>
      <c r="C615" s="63" t="s">
        <v>1</v>
      </c>
      <c r="D615" s="63" t="s">
        <v>128</v>
      </c>
      <c r="E615" s="63" t="s">
        <v>76</v>
      </c>
      <c r="F615" s="63" t="s">
        <v>127</v>
      </c>
      <c r="G615" s="63">
        <v>20</v>
      </c>
      <c r="H615" s="63" t="s">
        <v>131</v>
      </c>
      <c r="I615" s="63">
        <f>INDEX(Matériel!A:Z, MATCH(E615, Matériel!A:A, 0), MATCH(H615, INDEX(Matériel!A:Z, MATCH(E615, Matériel!A:A, 0), 0), 0) + 1)</f>
        <v>100</v>
      </c>
      <c r="J615" s="63">
        <f t="shared" si="60"/>
        <v>1</v>
      </c>
      <c r="K615" s="63">
        <f>VLOOKUP(H615,Manutention!A:E, 3, FALSE) * J615</f>
        <v>1</v>
      </c>
      <c r="L615" s="63" t="s">
        <v>164</v>
      </c>
      <c r="M615" s="63">
        <f>ROUNDUP(K615/VLOOKUP(L615,Camion!A:D, 3, FALSE),0)</f>
        <v>1</v>
      </c>
      <c r="N615" s="63">
        <f>INT(K615/VLOOKUP(L615,Camion!A:D, 3, FALSE))</f>
        <v>0</v>
      </c>
      <c r="O615" s="64">
        <f>ROUND(K615/VLOOKUP(L615,Camion!A:D, 3, FALSE) - N615,2)</f>
        <v>0.11</v>
      </c>
      <c r="P615" s="63" t="s">
        <v>129</v>
      </c>
    </row>
    <row r="616" spans="1:16" x14ac:dyDescent="0.25">
      <c r="A616" s="7">
        <v>28</v>
      </c>
      <c r="B616" s="62" t="s">
        <v>184</v>
      </c>
      <c r="C616" s="63" t="s">
        <v>1</v>
      </c>
      <c r="D616" s="63" t="s">
        <v>135</v>
      </c>
      <c r="E616" s="63" t="s">
        <v>77</v>
      </c>
      <c r="F616" s="63" t="s">
        <v>127</v>
      </c>
      <c r="G616" s="63">
        <v>166</v>
      </c>
      <c r="H616" s="63" t="s">
        <v>131</v>
      </c>
      <c r="I616" s="63">
        <f>INDEX(Matériel!A:Z, MATCH(E616, Matériel!A:A, 0), MATCH(H616, INDEX(Matériel!A:Z, MATCH(E616, Matériel!A:A, 0), 0), 0) + 1)</f>
        <v>20</v>
      </c>
      <c r="J616" s="63">
        <f t="shared" si="60"/>
        <v>9</v>
      </c>
      <c r="K616" s="63">
        <f>VLOOKUP(H616,Manutention!A:E, 3, FALSE) * J616</f>
        <v>9</v>
      </c>
      <c r="L616" s="63" t="s">
        <v>164</v>
      </c>
      <c r="M616" s="63">
        <f>ROUNDUP(K616/VLOOKUP(L616,Camion!A:D, 3, FALSE),0)</f>
        <v>1</v>
      </c>
      <c r="N616" s="63">
        <f>INT(K616/VLOOKUP(L616,Camion!A:D, 3, FALSE))</f>
        <v>1</v>
      </c>
      <c r="O616" s="64">
        <f>ROUND(K616/VLOOKUP(L616,Camion!A:D, 3, FALSE) - N616,2)</f>
        <v>0</v>
      </c>
      <c r="P616" s="63" t="s">
        <v>129</v>
      </c>
    </row>
    <row r="617" spans="1:16" x14ac:dyDescent="0.25">
      <c r="A617" s="7">
        <v>28</v>
      </c>
      <c r="B617" s="62" t="s">
        <v>184</v>
      </c>
      <c r="C617" s="63" t="s">
        <v>1</v>
      </c>
      <c r="D617" s="63" t="s">
        <v>135</v>
      </c>
      <c r="E617" s="63" t="s">
        <v>78</v>
      </c>
      <c r="F617" s="63" t="s">
        <v>127</v>
      </c>
      <c r="G617" s="63">
        <v>3</v>
      </c>
      <c r="H617" s="63" t="s">
        <v>133</v>
      </c>
      <c r="I617" s="63">
        <f>INDEX(Matériel!A:Z, MATCH(E617, Matériel!A:A, 0), MATCH(H617, INDEX(Matériel!A:Z, MATCH(E617, Matériel!A:A, 0), 0), 0) + 1)</f>
        <v>1</v>
      </c>
      <c r="J617" s="63">
        <f t="shared" si="60"/>
        <v>3</v>
      </c>
      <c r="K617" s="63">
        <f>VLOOKUP(H617,Manutention!A:E, 3, FALSE) * J617</f>
        <v>6</v>
      </c>
      <c r="L617" s="63" t="s">
        <v>164</v>
      </c>
      <c r="M617" s="63">
        <f>ROUNDUP(K617/VLOOKUP(L617,Camion!A:D, 3, FALSE),0)</f>
        <v>1</v>
      </c>
      <c r="N617" s="63">
        <f>INT(K617/VLOOKUP(L617,Camion!A:D, 3, FALSE))</f>
        <v>0</v>
      </c>
      <c r="O617" s="64">
        <f>ROUND(K617/VLOOKUP(L617,Camion!A:D, 3, FALSE) - N617,2)</f>
        <v>0.67</v>
      </c>
      <c r="P617" s="63" t="s">
        <v>129</v>
      </c>
    </row>
    <row r="618" spans="1:16" x14ac:dyDescent="0.25">
      <c r="A618" s="7">
        <v>28</v>
      </c>
      <c r="B618" s="62" t="s">
        <v>184</v>
      </c>
      <c r="C618" s="63" t="s">
        <v>1</v>
      </c>
      <c r="D618" s="63" t="s">
        <v>135</v>
      </c>
      <c r="E618" s="63" t="s">
        <v>79</v>
      </c>
      <c r="F618" s="63" t="s">
        <v>127</v>
      </c>
      <c r="G618" s="63">
        <v>2</v>
      </c>
      <c r="H618" s="63" t="s">
        <v>133</v>
      </c>
      <c r="I618" s="63">
        <f>INDEX(Matériel!A:Z, MATCH(E618, Matériel!A:A, 0), MATCH(H618, INDEX(Matériel!A:Z, MATCH(E618, Matériel!A:A, 0), 0), 0) + 1)</f>
        <v>1</v>
      </c>
      <c r="J618" s="63">
        <f t="shared" si="60"/>
        <v>2</v>
      </c>
      <c r="K618" s="63">
        <f>VLOOKUP(H618,Manutention!A:E, 3, FALSE) * J618</f>
        <v>4</v>
      </c>
      <c r="L618" s="63" t="s">
        <v>164</v>
      </c>
      <c r="M618" s="63">
        <f>ROUNDUP(K618/VLOOKUP(L618,Camion!A:D, 3, FALSE),0)</f>
        <v>1</v>
      </c>
      <c r="N618" s="63">
        <f>INT(K618/VLOOKUP(L618,Camion!A:D, 3, FALSE))</f>
        <v>0</v>
      </c>
      <c r="O618" s="64">
        <f>ROUND(K618/VLOOKUP(L618,Camion!A:D, 3, FALSE) - N618,2)</f>
        <v>0.44</v>
      </c>
      <c r="P618" s="63" t="s">
        <v>129</v>
      </c>
    </row>
    <row r="619" spans="1:16" x14ac:dyDescent="0.25">
      <c r="A619" s="7">
        <v>28</v>
      </c>
      <c r="B619" s="62" t="s">
        <v>184</v>
      </c>
      <c r="C619" s="63" t="s">
        <v>1</v>
      </c>
      <c r="D619" s="63" t="s">
        <v>128</v>
      </c>
      <c r="E619" s="63" t="s">
        <v>81</v>
      </c>
      <c r="F619" s="63" t="s">
        <v>127</v>
      </c>
      <c r="G619" s="63">
        <v>7</v>
      </c>
      <c r="H619" s="63" t="s">
        <v>131</v>
      </c>
      <c r="I619" s="63">
        <f>INDEX(Matériel!A:Z, MATCH(E619, Matériel!A:A, 0), MATCH(H619, INDEX(Matériel!A:Z, MATCH(E619, Matériel!A:A, 0), 0), 0) + 1)</f>
        <v>100</v>
      </c>
      <c r="J619" s="63">
        <f t="shared" si="60"/>
        <v>1</v>
      </c>
      <c r="K619" s="63">
        <f>VLOOKUP(H619,Manutention!A:E, 3, FALSE) * J619</f>
        <v>1</v>
      </c>
      <c r="L619" s="63" t="s">
        <v>164</v>
      </c>
      <c r="M619" s="63">
        <f>ROUNDUP(K619/VLOOKUP(L619,Camion!A:D, 3, FALSE),0)</f>
        <v>1</v>
      </c>
      <c r="N619" s="63">
        <f>INT(K619/VLOOKUP(L619,Camion!A:D, 3, FALSE))</f>
        <v>0</v>
      </c>
      <c r="O619" s="64">
        <f>ROUND(K619/VLOOKUP(L619,Camion!A:D, 3, FALSE) - N619,2)</f>
        <v>0.11</v>
      </c>
      <c r="P619" s="63" t="s">
        <v>130</v>
      </c>
    </row>
    <row r="620" spans="1:16" x14ac:dyDescent="0.25">
      <c r="A620" s="7">
        <v>28</v>
      </c>
      <c r="B620" s="5" t="s">
        <v>184</v>
      </c>
      <c r="C620" s="65"/>
      <c r="D620" s="65"/>
      <c r="E620" s="65" t="s">
        <v>187</v>
      </c>
      <c r="F620" s="65"/>
      <c r="G620" s="65"/>
      <c r="H620" s="65" t="s">
        <v>131</v>
      </c>
      <c r="I620" s="65"/>
      <c r="J620" s="65"/>
      <c r="K620" s="65">
        <f>SUMIFS(K:K, A:A, 28, B:B, "Z1 Z2", P:P, "Oui", D:D, "Production")</f>
        <v>1</v>
      </c>
      <c r="L620" s="65" t="s">
        <v>164</v>
      </c>
      <c r="M620" s="65">
        <f>ROUNDUP(K620/VLOOKUP(L620,Camion!A:D, 3, FALSE),0)</f>
        <v>1</v>
      </c>
      <c r="N620" s="65">
        <f>INT(K620/VLOOKUP(L620,Camion!A:D, 3, FALSE))</f>
        <v>0</v>
      </c>
      <c r="O620" s="66">
        <f>ROUND(K620/VLOOKUP(L620,Camion!A:D, 3, FALSE) - N620,2)</f>
        <v>0.11</v>
      </c>
      <c r="P620" s="65"/>
    </row>
    <row r="621" spans="1:16" x14ac:dyDescent="0.25">
      <c r="A621" s="7">
        <v>28</v>
      </c>
      <c r="B621" s="5" t="s">
        <v>184</v>
      </c>
      <c r="C621" s="65"/>
      <c r="D621" s="65"/>
      <c r="E621" s="65" t="s">
        <v>188</v>
      </c>
      <c r="F621" s="65"/>
      <c r="G621" s="65"/>
      <c r="H621" s="65" t="s">
        <v>131</v>
      </c>
      <c r="I621" s="65"/>
      <c r="J621" s="65"/>
      <c r="K621" s="65">
        <f>SUMIFS(K:K, A:A, 28, B:B, "Z1 Z2", P:P, "Oui", D:D, "Terminaux")</f>
        <v>20</v>
      </c>
      <c r="L621" s="65" t="s">
        <v>167</v>
      </c>
      <c r="M621" s="65">
        <f>ROUNDUP(K621/VLOOKUP(L621,Camion!A:D, 3, FALSE),0)</f>
        <v>1</v>
      </c>
      <c r="N621" s="65">
        <f>INT(K621/VLOOKUP(L621,Camion!A:D, 3, FALSE))</f>
        <v>1</v>
      </c>
      <c r="O621" s="66">
        <f>ROUND(K621/VLOOKUP(L621,Camion!A:D, 3, FALSE) - N621,2)</f>
        <v>0</v>
      </c>
      <c r="P621" s="65"/>
    </row>
    <row r="622" spans="1:16" x14ac:dyDescent="0.25">
      <c r="A622" s="7">
        <v>28</v>
      </c>
      <c r="B622" s="62" t="s">
        <v>185</v>
      </c>
      <c r="C622" s="63" t="s">
        <v>1</v>
      </c>
      <c r="D622" s="63" t="s">
        <v>128</v>
      </c>
      <c r="E622" s="63" t="s">
        <v>71</v>
      </c>
      <c r="F622" s="63" t="s">
        <v>138</v>
      </c>
      <c r="G622" s="63">
        <v>250</v>
      </c>
      <c r="H622" s="63" t="s">
        <v>139</v>
      </c>
      <c r="I622" s="63">
        <f>INDEX(Matériel!A:Z, MATCH(E622, Matériel!A:A, 0), MATCH(H622, INDEX(Matériel!A:Z, MATCH(E622, Matériel!A:A, 0), 0), 0) + 1)</f>
        <v>150</v>
      </c>
      <c r="J622" s="63">
        <f t="shared" ref="J622:J629" si="61">ROUNDUP(G622 / I622, 0)</f>
        <v>2</v>
      </c>
      <c r="K622" s="63">
        <f>VLOOKUP(H622,Manutention!A:E, 3, FALSE) * J622</f>
        <v>6</v>
      </c>
      <c r="L622" s="63" t="s">
        <v>164</v>
      </c>
      <c r="M622" s="63">
        <f>ROUNDUP(K622/VLOOKUP(L622,Camion!A:D, 3, FALSE),0)</f>
        <v>1</v>
      </c>
      <c r="N622" s="63">
        <f>INT(K622/VLOOKUP(L622,Camion!A:D, 3, FALSE))</f>
        <v>0</v>
      </c>
      <c r="O622" s="64">
        <f>ROUND(K622/VLOOKUP(L622,Camion!A:D, 3, FALSE) - N622,2)</f>
        <v>0.67</v>
      </c>
      <c r="P622" s="63" t="s">
        <v>130</v>
      </c>
    </row>
    <row r="623" spans="1:16" x14ac:dyDescent="0.25">
      <c r="A623" s="7">
        <v>28</v>
      </c>
      <c r="B623" s="62" t="s">
        <v>185</v>
      </c>
      <c r="C623" s="63" t="s">
        <v>1</v>
      </c>
      <c r="D623" s="63" t="s">
        <v>135</v>
      </c>
      <c r="E623" s="63" t="s">
        <v>72</v>
      </c>
      <c r="F623" s="63" t="s">
        <v>138</v>
      </c>
      <c r="G623" s="63">
        <v>766</v>
      </c>
      <c r="H623" s="63" t="s">
        <v>143</v>
      </c>
      <c r="I623" s="63">
        <f>INDEX(Matériel!A:Z, MATCH(E623, Matériel!A:A, 0), MATCH(H623, INDEX(Matériel!A:Z, MATCH(E623, Matériel!A:A, 0), 0), 0) + 1)</f>
        <v>1000</v>
      </c>
      <c r="J623" s="63">
        <f t="shared" si="61"/>
        <v>1</v>
      </c>
      <c r="K623" s="63">
        <f>VLOOKUP(H623,Manutention!A:E, 3, FALSE) * J623</f>
        <v>1</v>
      </c>
      <c r="L623" s="63" t="s">
        <v>164</v>
      </c>
      <c r="M623" s="63">
        <f>ROUNDUP(K623/VLOOKUP(L623,Camion!A:D, 3, FALSE),0)</f>
        <v>1</v>
      </c>
      <c r="N623" s="63">
        <f>INT(K623/VLOOKUP(L623,Camion!A:D, 3, FALSE))</f>
        <v>0</v>
      </c>
      <c r="O623" s="64">
        <f>ROUND(K623/VLOOKUP(L623,Camion!A:D, 3, FALSE) - N623,2)</f>
        <v>0.11</v>
      </c>
      <c r="P623" s="63" t="s">
        <v>130</v>
      </c>
    </row>
    <row r="624" spans="1:16" x14ac:dyDescent="0.25">
      <c r="A624" s="7">
        <v>28</v>
      </c>
      <c r="B624" s="62" t="s">
        <v>185</v>
      </c>
      <c r="C624" s="63" t="s">
        <v>1</v>
      </c>
      <c r="D624" s="63" t="s">
        <v>135</v>
      </c>
      <c r="E624" s="63" t="s">
        <v>75</v>
      </c>
      <c r="F624" s="63" t="s">
        <v>127</v>
      </c>
      <c r="G624" s="63">
        <v>39</v>
      </c>
      <c r="H624" s="63" t="s">
        <v>136</v>
      </c>
      <c r="I624" s="63">
        <f>INDEX(Matériel!A:Z, MATCH(E624, Matériel!A:A, 0), MATCH(H624, INDEX(Matériel!A:Z, MATCH(E624, Matériel!A:A, 0), 0), 0) + 1)</f>
        <v>60</v>
      </c>
      <c r="J624" s="63">
        <f t="shared" si="61"/>
        <v>1</v>
      </c>
      <c r="K624" s="63">
        <f>VLOOKUP(H624,Manutention!A:E, 3, FALSE) * J624</f>
        <v>1</v>
      </c>
      <c r="L624" s="63" t="s">
        <v>164</v>
      </c>
      <c r="M624" s="63">
        <f>ROUNDUP(K624/VLOOKUP(L624,Camion!A:D, 3, FALSE),0)</f>
        <v>1</v>
      </c>
      <c r="N624" s="63">
        <f>INT(K624/VLOOKUP(L624,Camion!A:D, 3, FALSE))</f>
        <v>0</v>
      </c>
      <c r="O624" s="64">
        <f>ROUND(K624/VLOOKUP(L624,Camion!A:D, 3, FALSE) - N624,2)</f>
        <v>0.11</v>
      </c>
      <c r="P624" s="63" t="s">
        <v>129</v>
      </c>
    </row>
    <row r="625" spans="1:16" x14ac:dyDescent="0.25">
      <c r="A625" s="7">
        <v>28</v>
      </c>
      <c r="B625" s="62" t="s">
        <v>185</v>
      </c>
      <c r="C625" s="63" t="s">
        <v>1</v>
      </c>
      <c r="D625" s="63" t="s">
        <v>128</v>
      </c>
      <c r="E625" s="63" t="s">
        <v>76</v>
      </c>
      <c r="F625" s="63" t="s">
        <v>127</v>
      </c>
      <c r="G625" s="63">
        <v>19</v>
      </c>
      <c r="H625" s="63" t="s">
        <v>131</v>
      </c>
      <c r="I625" s="63">
        <f>INDEX(Matériel!A:Z, MATCH(E625, Matériel!A:A, 0), MATCH(H625, INDEX(Matériel!A:Z, MATCH(E625, Matériel!A:A, 0), 0), 0) + 1)</f>
        <v>100</v>
      </c>
      <c r="J625" s="63">
        <f t="shared" si="61"/>
        <v>1</v>
      </c>
      <c r="K625" s="63">
        <f>VLOOKUP(H625,Manutention!A:E, 3, FALSE) * J625</f>
        <v>1</v>
      </c>
      <c r="L625" s="63" t="s">
        <v>164</v>
      </c>
      <c r="M625" s="63">
        <f>ROUNDUP(K625/VLOOKUP(L625,Camion!A:D, 3, FALSE),0)</f>
        <v>1</v>
      </c>
      <c r="N625" s="63">
        <f>INT(K625/VLOOKUP(L625,Camion!A:D, 3, FALSE))</f>
        <v>0</v>
      </c>
      <c r="O625" s="64">
        <f>ROUND(K625/VLOOKUP(L625,Camion!A:D, 3, FALSE) - N625,2)</f>
        <v>0.11</v>
      </c>
      <c r="P625" s="63" t="s">
        <v>129</v>
      </c>
    </row>
    <row r="626" spans="1:16" x14ac:dyDescent="0.25">
      <c r="A626" s="7">
        <v>28</v>
      </c>
      <c r="B626" s="62" t="s">
        <v>185</v>
      </c>
      <c r="C626" s="63" t="s">
        <v>1</v>
      </c>
      <c r="D626" s="63" t="s">
        <v>135</v>
      </c>
      <c r="E626" s="63" t="s">
        <v>77</v>
      </c>
      <c r="F626" s="63" t="s">
        <v>127</v>
      </c>
      <c r="G626" s="63">
        <v>164</v>
      </c>
      <c r="H626" s="63" t="s">
        <v>131</v>
      </c>
      <c r="I626" s="63">
        <f>INDEX(Matériel!A:Z, MATCH(E626, Matériel!A:A, 0), MATCH(H626, INDEX(Matériel!A:Z, MATCH(E626, Matériel!A:A, 0), 0), 0) + 1)</f>
        <v>20</v>
      </c>
      <c r="J626" s="63">
        <f t="shared" si="61"/>
        <v>9</v>
      </c>
      <c r="K626" s="63">
        <f>VLOOKUP(H626,Manutention!A:E, 3, FALSE) * J626</f>
        <v>9</v>
      </c>
      <c r="L626" s="63" t="s">
        <v>164</v>
      </c>
      <c r="M626" s="63">
        <f>ROUNDUP(K626/VLOOKUP(L626,Camion!A:D, 3, FALSE),0)</f>
        <v>1</v>
      </c>
      <c r="N626" s="63">
        <f>INT(K626/VLOOKUP(L626,Camion!A:D, 3, FALSE))</f>
        <v>1</v>
      </c>
      <c r="O626" s="64">
        <f>ROUND(K626/VLOOKUP(L626,Camion!A:D, 3, FALSE) - N626,2)</f>
        <v>0</v>
      </c>
      <c r="P626" s="63" t="s">
        <v>129</v>
      </c>
    </row>
    <row r="627" spans="1:16" x14ac:dyDescent="0.25">
      <c r="A627" s="7">
        <v>28</v>
      </c>
      <c r="B627" s="62" t="s">
        <v>185</v>
      </c>
      <c r="C627" s="63" t="s">
        <v>1</v>
      </c>
      <c r="D627" s="63" t="s">
        <v>135</v>
      </c>
      <c r="E627" s="63" t="s">
        <v>78</v>
      </c>
      <c r="F627" s="63" t="s">
        <v>127</v>
      </c>
      <c r="G627" s="63">
        <v>3</v>
      </c>
      <c r="H627" s="63" t="s">
        <v>133</v>
      </c>
      <c r="I627" s="63">
        <f>INDEX(Matériel!A:Z, MATCH(E627, Matériel!A:A, 0), MATCH(H627, INDEX(Matériel!A:Z, MATCH(E627, Matériel!A:A, 0), 0), 0) + 1)</f>
        <v>1</v>
      </c>
      <c r="J627" s="63">
        <f t="shared" si="61"/>
        <v>3</v>
      </c>
      <c r="K627" s="63">
        <f>VLOOKUP(H627,Manutention!A:E, 3, FALSE) * J627</f>
        <v>6</v>
      </c>
      <c r="L627" s="63" t="s">
        <v>164</v>
      </c>
      <c r="M627" s="63">
        <f>ROUNDUP(K627/VLOOKUP(L627,Camion!A:D, 3, FALSE),0)</f>
        <v>1</v>
      </c>
      <c r="N627" s="63">
        <f>INT(K627/VLOOKUP(L627,Camion!A:D, 3, FALSE))</f>
        <v>0</v>
      </c>
      <c r="O627" s="64">
        <f>ROUND(K627/VLOOKUP(L627,Camion!A:D, 3, FALSE) - N627,2)</f>
        <v>0.67</v>
      </c>
      <c r="P627" s="63" t="s">
        <v>129</v>
      </c>
    </row>
    <row r="628" spans="1:16" x14ac:dyDescent="0.25">
      <c r="A628" s="7">
        <v>28</v>
      </c>
      <c r="B628" s="62" t="s">
        <v>185</v>
      </c>
      <c r="C628" s="63" t="s">
        <v>1</v>
      </c>
      <c r="D628" s="63" t="s">
        <v>135</v>
      </c>
      <c r="E628" s="63" t="s">
        <v>79</v>
      </c>
      <c r="F628" s="63" t="s">
        <v>127</v>
      </c>
      <c r="G628" s="63">
        <v>2</v>
      </c>
      <c r="H628" s="63" t="s">
        <v>133</v>
      </c>
      <c r="I628" s="63">
        <f>INDEX(Matériel!A:Z, MATCH(E628, Matériel!A:A, 0), MATCH(H628, INDEX(Matériel!A:Z, MATCH(E628, Matériel!A:A, 0), 0), 0) + 1)</f>
        <v>1</v>
      </c>
      <c r="J628" s="63">
        <f t="shared" si="61"/>
        <v>2</v>
      </c>
      <c r="K628" s="63">
        <f>VLOOKUP(H628,Manutention!A:E, 3, FALSE) * J628</f>
        <v>4</v>
      </c>
      <c r="L628" s="63" t="s">
        <v>164</v>
      </c>
      <c r="M628" s="63">
        <f>ROUNDUP(K628/VLOOKUP(L628,Camion!A:D, 3, FALSE),0)</f>
        <v>1</v>
      </c>
      <c r="N628" s="63">
        <f>INT(K628/VLOOKUP(L628,Camion!A:D, 3, FALSE))</f>
        <v>0</v>
      </c>
      <c r="O628" s="64">
        <f>ROUND(K628/VLOOKUP(L628,Camion!A:D, 3, FALSE) - N628,2)</f>
        <v>0.44</v>
      </c>
      <c r="P628" s="63" t="s">
        <v>129</v>
      </c>
    </row>
    <row r="629" spans="1:16" x14ac:dyDescent="0.25">
      <c r="A629" s="7">
        <v>28</v>
      </c>
      <c r="B629" s="62" t="s">
        <v>185</v>
      </c>
      <c r="C629" s="63" t="s">
        <v>1</v>
      </c>
      <c r="D629" s="63" t="s">
        <v>128</v>
      </c>
      <c r="E629" s="63" t="s">
        <v>81</v>
      </c>
      <c r="F629" s="63" t="s">
        <v>127</v>
      </c>
      <c r="G629" s="63">
        <v>7</v>
      </c>
      <c r="H629" s="63" t="s">
        <v>131</v>
      </c>
      <c r="I629" s="63">
        <f>INDEX(Matériel!A:Z, MATCH(E629, Matériel!A:A, 0), MATCH(H629, INDEX(Matériel!A:Z, MATCH(E629, Matériel!A:A, 0), 0), 0) + 1)</f>
        <v>100</v>
      </c>
      <c r="J629" s="63">
        <f t="shared" si="61"/>
        <v>1</v>
      </c>
      <c r="K629" s="63">
        <f>VLOOKUP(H629,Manutention!A:E, 3, FALSE) * J629</f>
        <v>1</v>
      </c>
      <c r="L629" s="63" t="s">
        <v>164</v>
      </c>
      <c r="M629" s="63">
        <f>ROUNDUP(K629/VLOOKUP(L629,Camion!A:D, 3, FALSE),0)</f>
        <v>1</v>
      </c>
      <c r="N629" s="63">
        <f>INT(K629/VLOOKUP(L629,Camion!A:D, 3, FALSE))</f>
        <v>0</v>
      </c>
      <c r="O629" s="64">
        <f>ROUND(K629/VLOOKUP(L629,Camion!A:D, 3, FALSE) - N629,2)</f>
        <v>0.11</v>
      </c>
      <c r="P629" s="63" t="s">
        <v>130</v>
      </c>
    </row>
    <row r="630" spans="1:16" x14ac:dyDescent="0.25">
      <c r="A630" s="7">
        <v>28</v>
      </c>
      <c r="B630" s="5" t="s">
        <v>185</v>
      </c>
      <c r="C630" s="65"/>
      <c r="D630" s="65"/>
      <c r="E630" s="65" t="s">
        <v>187</v>
      </c>
      <c r="F630" s="65"/>
      <c r="G630" s="65"/>
      <c r="H630" s="65" t="s">
        <v>131</v>
      </c>
      <c r="I630" s="65"/>
      <c r="J630" s="65"/>
      <c r="K630" s="65">
        <f>SUMIFS(K:K, A:A, 28, B:B, "Z3 Z4", P:P, "Oui", D:D, "Production")</f>
        <v>1</v>
      </c>
      <c r="L630" s="65" t="s">
        <v>164</v>
      </c>
      <c r="M630" s="65">
        <f>ROUNDUP(K630/VLOOKUP(L630,Camion!A:D, 3, FALSE),0)</f>
        <v>1</v>
      </c>
      <c r="N630" s="65">
        <f>INT(K630/VLOOKUP(L630,Camion!A:D, 3, FALSE))</f>
        <v>0</v>
      </c>
      <c r="O630" s="66">
        <f>ROUND(K630/VLOOKUP(L630,Camion!A:D, 3, FALSE) - N630,2)</f>
        <v>0.11</v>
      </c>
      <c r="P630" s="65"/>
    </row>
    <row r="631" spans="1:16" x14ac:dyDescent="0.25">
      <c r="A631" s="7">
        <v>28</v>
      </c>
      <c r="B631" s="5" t="s">
        <v>185</v>
      </c>
      <c r="C631" s="65"/>
      <c r="D631" s="65"/>
      <c r="E631" s="65" t="s">
        <v>188</v>
      </c>
      <c r="F631" s="65"/>
      <c r="G631" s="65"/>
      <c r="H631" s="65" t="s">
        <v>131</v>
      </c>
      <c r="I631" s="65"/>
      <c r="J631" s="65"/>
      <c r="K631" s="65">
        <f>SUMIFS(K:K, A:A, 28, B:B, "Z3 Z4", P:P, "Oui", D:D, "Terminaux")</f>
        <v>20</v>
      </c>
      <c r="L631" s="65" t="s">
        <v>167</v>
      </c>
      <c r="M631" s="65">
        <f>ROUNDUP(K631/VLOOKUP(L631,Camion!A:D, 3, FALSE),0)</f>
        <v>1</v>
      </c>
      <c r="N631" s="65">
        <f>INT(K631/VLOOKUP(L631,Camion!A:D, 3, FALSE))</f>
        <v>1</v>
      </c>
      <c r="O631" s="66">
        <f>ROUND(K631/VLOOKUP(L631,Camion!A:D, 3, FALSE) - N631,2)</f>
        <v>0</v>
      </c>
      <c r="P631" s="65"/>
    </row>
    <row r="632" spans="1:16" x14ac:dyDescent="0.25">
      <c r="A632" s="7">
        <v>29</v>
      </c>
      <c r="B632" s="62" t="s">
        <v>184</v>
      </c>
      <c r="C632" s="63" t="s">
        <v>1</v>
      </c>
      <c r="D632" s="63" t="s">
        <v>128</v>
      </c>
      <c r="E632" s="63" t="s">
        <v>71</v>
      </c>
      <c r="F632" s="63" t="s">
        <v>138</v>
      </c>
      <c r="G632" s="63">
        <v>246</v>
      </c>
      <c r="H632" s="63" t="s">
        <v>139</v>
      </c>
      <c r="I632" s="63">
        <f>INDEX(Matériel!A:Z, MATCH(E632, Matériel!A:A, 0), MATCH(H632, INDEX(Matériel!A:Z, MATCH(E632, Matériel!A:A, 0), 0), 0) + 1)</f>
        <v>150</v>
      </c>
      <c r="J632" s="63">
        <f t="shared" ref="J632:J639" si="62">ROUNDUP(G632 / I632, 0)</f>
        <v>2</v>
      </c>
      <c r="K632" s="63">
        <f>VLOOKUP(H632,Manutention!A:E, 3, FALSE) * J632</f>
        <v>6</v>
      </c>
      <c r="L632" s="63" t="s">
        <v>164</v>
      </c>
      <c r="M632" s="63">
        <f>ROUNDUP(K632/VLOOKUP(L632,Camion!A:D, 3, FALSE),0)</f>
        <v>1</v>
      </c>
      <c r="N632" s="63">
        <f>INT(K632/VLOOKUP(L632,Camion!A:D, 3, FALSE))</f>
        <v>0</v>
      </c>
      <c r="O632" s="64">
        <f>ROUND(K632/VLOOKUP(L632,Camion!A:D, 3, FALSE) - N632,2)</f>
        <v>0.67</v>
      </c>
      <c r="P632" s="63" t="s">
        <v>130</v>
      </c>
    </row>
    <row r="633" spans="1:16" x14ac:dyDescent="0.25">
      <c r="A633" s="7">
        <v>29</v>
      </c>
      <c r="B633" s="62" t="s">
        <v>184</v>
      </c>
      <c r="C633" s="63" t="s">
        <v>1</v>
      </c>
      <c r="D633" s="63" t="s">
        <v>135</v>
      </c>
      <c r="E633" s="63" t="s">
        <v>72</v>
      </c>
      <c r="F633" s="63" t="s">
        <v>138</v>
      </c>
      <c r="G633" s="63">
        <v>755</v>
      </c>
      <c r="H633" s="63" t="s">
        <v>143</v>
      </c>
      <c r="I633" s="63">
        <f>INDEX(Matériel!A:Z, MATCH(E633, Matériel!A:A, 0), MATCH(H633, INDEX(Matériel!A:Z, MATCH(E633, Matériel!A:A, 0), 0), 0) + 1)</f>
        <v>1000</v>
      </c>
      <c r="J633" s="63">
        <f t="shared" si="62"/>
        <v>1</v>
      </c>
      <c r="K633" s="63">
        <f>VLOOKUP(H633,Manutention!A:E, 3, FALSE) * J633</f>
        <v>1</v>
      </c>
      <c r="L633" s="63" t="s">
        <v>164</v>
      </c>
      <c r="M633" s="63">
        <f>ROUNDUP(K633/VLOOKUP(L633,Camion!A:D, 3, FALSE),0)</f>
        <v>1</v>
      </c>
      <c r="N633" s="63">
        <f>INT(K633/VLOOKUP(L633,Camion!A:D, 3, FALSE))</f>
        <v>0</v>
      </c>
      <c r="O633" s="64">
        <f>ROUND(K633/VLOOKUP(L633,Camion!A:D, 3, FALSE) - N633,2)</f>
        <v>0.11</v>
      </c>
      <c r="P633" s="63" t="s">
        <v>130</v>
      </c>
    </row>
    <row r="634" spans="1:16" x14ac:dyDescent="0.25">
      <c r="A634" s="7">
        <v>29</v>
      </c>
      <c r="B634" s="62" t="s">
        <v>184</v>
      </c>
      <c r="C634" s="63" t="s">
        <v>1</v>
      </c>
      <c r="D634" s="63" t="s">
        <v>135</v>
      </c>
      <c r="E634" s="63" t="s">
        <v>75</v>
      </c>
      <c r="F634" s="63" t="s">
        <v>127</v>
      </c>
      <c r="G634" s="63">
        <v>38</v>
      </c>
      <c r="H634" s="63" t="s">
        <v>136</v>
      </c>
      <c r="I634" s="63">
        <f>INDEX(Matériel!A:Z, MATCH(E634, Matériel!A:A, 0), MATCH(H634, INDEX(Matériel!A:Z, MATCH(E634, Matériel!A:A, 0), 0), 0) + 1)</f>
        <v>60</v>
      </c>
      <c r="J634" s="63">
        <f t="shared" si="62"/>
        <v>1</v>
      </c>
      <c r="K634" s="63">
        <f>VLOOKUP(H634,Manutention!A:E, 3, FALSE) * J634</f>
        <v>1</v>
      </c>
      <c r="L634" s="63" t="s">
        <v>164</v>
      </c>
      <c r="M634" s="63">
        <f>ROUNDUP(K634/VLOOKUP(L634,Camion!A:D, 3, FALSE),0)</f>
        <v>1</v>
      </c>
      <c r="N634" s="63">
        <f>INT(K634/VLOOKUP(L634,Camion!A:D, 3, FALSE))</f>
        <v>0</v>
      </c>
      <c r="O634" s="64">
        <f>ROUND(K634/VLOOKUP(L634,Camion!A:D, 3, FALSE) - N634,2)</f>
        <v>0.11</v>
      </c>
      <c r="P634" s="63" t="s">
        <v>129</v>
      </c>
    </row>
    <row r="635" spans="1:16" x14ac:dyDescent="0.25">
      <c r="A635" s="7">
        <v>29</v>
      </c>
      <c r="B635" s="62" t="s">
        <v>184</v>
      </c>
      <c r="C635" s="63" t="s">
        <v>1</v>
      </c>
      <c r="D635" s="63" t="s">
        <v>128</v>
      </c>
      <c r="E635" s="63" t="s">
        <v>76</v>
      </c>
      <c r="F635" s="63" t="s">
        <v>127</v>
      </c>
      <c r="G635" s="63">
        <v>19</v>
      </c>
      <c r="H635" s="63" t="s">
        <v>131</v>
      </c>
      <c r="I635" s="63">
        <f>INDEX(Matériel!A:Z, MATCH(E635, Matériel!A:A, 0), MATCH(H635, INDEX(Matériel!A:Z, MATCH(E635, Matériel!A:A, 0), 0), 0) + 1)</f>
        <v>100</v>
      </c>
      <c r="J635" s="63">
        <f t="shared" si="62"/>
        <v>1</v>
      </c>
      <c r="K635" s="63">
        <f>VLOOKUP(H635,Manutention!A:E, 3, FALSE) * J635</f>
        <v>1</v>
      </c>
      <c r="L635" s="63" t="s">
        <v>164</v>
      </c>
      <c r="M635" s="63">
        <f>ROUNDUP(K635/VLOOKUP(L635,Camion!A:D, 3, FALSE),0)</f>
        <v>1</v>
      </c>
      <c r="N635" s="63">
        <f>INT(K635/VLOOKUP(L635,Camion!A:D, 3, FALSE))</f>
        <v>0</v>
      </c>
      <c r="O635" s="64">
        <f>ROUND(K635/VLOOKUP(L635,Camion!A:D, 3, FALSE) - N635,2)</f>
        <v>0.11</v>
      </c>
      <c r="P635" s="63" t="s">
        <v>129</v>
      </c>
    </row>
    <row r="636" spans="1:16" x14ac:dyDescent="0.25">
      <c r="A636" s="7">
        <v>29</v>
      </c>
      <c r="B636" s="62" t="s">
        <v>184</v>
      </c>
      <c r="C636" s="63" t="s">
        <v>1</v>
      </c>
      <c r="D636" s="63" t="s">
        <v>135</v>
      </c>
      <c r="E636" s="63" t="s">
        <v>77</v>
      </c>
      <c r="F636" s="63" t="s">
        <v>127</v>
      </c>
      <c r="G636" s="63">
        <v>161</v>
      </c>
      <c r="H636" s="63" t="s">
        <v>131</v>
      </c>
      <c r="I636" s="63">
        <f>INDEX(Matériel!A:Z, MATCH(E636, Matériel!A:A, 0), MATCH(H636, INDEX(Matériel!A:Z, MATCH(E636, Matériel!A:A, 0), 0), 0) + 1)</f>
        <v>20</v>
      </c>
      <c r="J636" s="63">
        <f t="shared" si="62"/>
        <v>9</v>
      </c>
      <c r="K636" s="63">
        <f>VLOOKUP(H636,Manutention!A:E, 3, FALSE) * J636</f>
        <v>9</v>
      </c>
      <c r="L636" s="63" t="s">
        <v>164</v>
      </c>
      <c r="M636" s="63">
        <f>ROUNDUP(K636/VLOOKUP(L636,Camion!A:D, 3, FALSE),0)</f>
        <v>1</v>
      </c>
      <c r="N636" s="63">
        <f>INT(K636/VLOOKUP(L636,Camion!A:D, 3, FALSE))</f>
        <v>1</v>
      </c>
      <c r="O636" s="64">
        <f>ROUND(K636/VLOOKUP(L636,Camion!A:D, 3, FALSE) - N636,2)</f>
        <v>0</v>
      </c>
      <c r="P636" s="63" t="s">
        <v>129</v>
      </c>
    </row>
    <row r="637" spans="1:16" x14ac:dyDescent="0.25">
      <c r="A637" s="7">
        <v>29</v>
      </c>
      <c r="B637" s="62" t="s">
        <v>184</v>
      </c>
      <c r="C637" s="63" t="s">
        <v>1</v>
      </c>
      <c r="D637" s="63" t="s">
        <v>135</v>
      </c>
      <c r="E637" s="63" t="s">
        <v>78</v>
      </c>
      <c r="F637" s="63" t="s">
        <v>127</v>
      </c>
      <c r="G637" s="63">
        <v>3</v>
      </c>
      <c r="H637" s="63" t="s">
        <v>133</v>
      </c>
      <c r="I637" s="63">
        <f>INDEX(Matériel!A:Z, MATCH(E637, Matériel!A:A, 0), MATCH(H637, INDEX(Matériel!A:Z, MATCH(E637, Matériel!A:A, 0), 0), 0) + 1)</f>
        <v>1</v>
      </c>
      <c r="J637" s="63">
        <f t="shared" si="62"/>
        <v>3</v>
      </c>
      <c r="K637" s="63">
        <f>VLOOKUP(H637,Manutention!A:E, 3, FALSE) * J637</f>
        <v>6</v>
      </c>
      <c r="L637" s="63" t="s">
        <v>164</v>
      </c>
      <c r="M637" s="63">
        <f>ROUNDUP(K637/VLOOKUP(L637,Camion!A:D, 3, FALSE),0)</f>
        <v>1</v>
      </c>
      <c r="N637" s="63">
        <f>INT(K637/VLOOKUP(L637,Camion!A:D, 3, FALSE))</f>
        <v>0</v>
      </c>
      <c r="O637" s="64">
        <f>ROUND(K637/VLOOKUP(L637,Camion!A:D, 3, FALSE) - N637,2)</f>
        <v>0.67</v>
      </c>
      <c r="P637" s="63" t="s">
        <v>129</v>
      </c>
    </row>
    <row r="638" spans="1:16" x14ac:dyDescent="0.25">
      <c r="A638" s="7">
        <v>29</v>
      </c>
      <c r="B638" s="62" t="s">
        <v>184</v>
      </c>
      <c r="C638" s="63" t="s">
        <v>1</v>
      </c>
      <c r="D638" s="63" t="s">
        <v>135</v>
      </c>
      <c r="E638" s="63" t="s">
        <v>79</v>
      </c>
      <c r="F638" s="63" t="s">
        <v>127</v>
      </c>
      <c r="G638" s="63">
        <v>2</v>
      </c>
      <c r="H638" s="63" t="s">
        <v>133</v>
      </c>
      <c r="I638" s="63">
        <f>INDEX(Matériel!A:Z, MATCH(E638, Matériel!A:A, 0), MATCH(H638, INDEX(Matériel!A:Z, MATCH(E638, Matériel!A:A, 0), 0), 0) + 1)</f>
        <v>1</v>
      </c>
      <c r="J638" s="63">
        <f t="shared" si="62"/>
        <v>2</v>
      </c>
      <c r="K638" s="63">
        <f>VLOOKUP(H638,Manutention!A:E, 3, FALSE) * J638</f>
        <v>4</v>
      </c>
      <c r="L638" s="63" t="s">
        <v>164</v>
      </c>
      <c r="M638" s="63">
        <f>ROUNDUP(K638/VLOOKUP(L638,Camion!A:D, 3, FALSE),0)</f>
        <v>1</v>
      </c>
      <c r="N638" s="63">
        <f>INT(K638/VLOOKUP(L638,Camion!A:D, 3, FALSE))</f>
        <v>0</v>
      </c>
      <c r="O638" s="64">
        <f>ROUND(K638/VLOOKUP(L638,Camion!A:D, 3, FALSE) - N638,2)</f>
        <v>0.44</v>
      </c>
      <c r="P638" s="63" t="s">
        <v>129</v>
      </c>
    </row>
    <row r="639" spans="1:16" x14ac:dyDescent="0.25">
      <c r="A639" s="7">
        <v>29</v>
      </c>
      <c r="B639" s="62" t="s">
        <v>184</v>
      </c>
      <c r="C639" s="63" t="s">
        <v>1</v>
      </c>
      <c r="D639" s="63" t="s">
        <v>128</v>
      </c>
      <c r="E639" s="63" t="s">
        <v>81</v>
      </c>
      <c r="F639" s="63" t="s">
        <v>127</v>
      </c>
      <c r="G639" s="63">
        <v>7</v>
      </c>
      <c r="H639" s="63" t="s">
        <v>131</v>
      </c>
      <c r="I639" s="63">
        <f>INDEX(Matériel!A:Z, MATCH(E639, Matériel!A:A, 0), MATCH(H639, INDEX(Matériel!A:Z, MATCH(E639, Matériel!A:A, 0), 0), 0) + 1)</f>
        <v>100</v>
      </c>
      <c r="J639" s="63">
        <f t="shared" si="62"/>
        <v>1</v>
      </c>
      <c r="K639" s="63">
        <f>VLOOKUP(H639,Manutention!A:E, 3, FALSE) * J639</f>
        <v>1</v>
      </c>
      <c r="L639" s="63" t="s">
        <v>164</v>
      </c>
      <c r="M639" s="63">
        <f>ROUNDUP(K639/VLOOKUP(L639,Camion!A:D, 3, FALSE),0)</f>
        <v>1</v>
      </c>
      <c r="N639" s="63">
        <f>INT(K639/VLOOKUP(L639,Camion!A:D, 3, FALSE))</f>
        <v>0</v>
      </c>
      <c r="O639" s="64">
        <f>ROUND(K639/VLOOKUP(L639,Camion!A:D, 3, FALSE) - N639,2)</f>
        <v>0.11</v>
      </c>
      <c r="P639" s="63" t="s">
        <v>130</v>
      </c>
    </row>
    <row r="640" spans="1:16" x14ac:dyDescent="0.25">
      <c r="A640" s="7">
        <v>29</v>
      </c>
      <c r="B640" s="5" t="s">
        <v>184</v>
      </c>
      <c r="C640" s="65"/>
      <c r="D640" s="65"/>
      <c r="E640" s="65" t="s">
        <v>187</v>
      </c>
      <c r="F640" s="65"/>
      <c r="G640" s="65"/>
      <c r="H640" s="65" t="s">
        <v>131</v>
      </c>
      <c r="I640" s="65"/>
      <c r="J640" s="65"/>
      <c r="K640" s="65">
        <f>SUMIFS(K:K, A:A, 29, B:B, "Z1 Z2", P:P, "Oui", D:D, "Production")</f>
        <v>1</v>
      </c>
      <c r="L640" s="65" t="s">
        <v>164</v>
      </c>
      <c r="M640" s="65">
        <f>ROUNDUP(K640/VLOOKUP(L640,Camion!A:D, 3, FALSE),0)</f>
        <v>1</v>
      </c>
      <c r="N640" s="65">
        <f>INT(K640/VLOOKUP(L640,Camion!A:D, 3, FALSE))</f>
        <v>0</v>
      </c>
      <c r="O640" s="66">
        <f>ROUND(K640/VLOOKUP(L640,Camion!A:D, 3, FALSE) - N640,2)</f>
        <v>0.11</v>
      </c>
      <c r="P640" s="65"/>
    </row>
    <row r="641" spans="1:16" x14ac:dyDescent="0.25">
      <c r="A641" s="7">
        <v>29</v>
      </c>
      <c r="B641" s="5" t="s">
        <v>184</v>
      </c>
      <c r="C641" s="65"/>
      <c r="D641" s="65"/>
      <c r="E641" s="65" t="s">
        <v>188</v>
      </c>
      <c r="F641" s="65"/>
      <c r="G641" s="65"/>
      <c r="H641" s="65" t="s">
        <v>131</v>
      </c>
      <c r="I641" s="65"/>
      <c r="J641" s="65"/>
      <c r="K641" s="65">
        <f>SUMIFS(K:K, A:A, 29, B:B, "Z1 Z2", P:P, "Oui", D:D, "Terminaux")</f>
        <v>20</v>
      </c>
      <c r="L641" s="65" t="s">
        <v>167</v>
      </c>
      <c r="M641" s="65">
        <f>ROUNDUP(K641/VLOOKUP(L641,Camion!A:D, 3, FALSE),0)</f>
        <v>1</v>
      </c>
      <c r="N641" s="65">
        <f>INT(K641/VLOOKUP(L641,Camion!A:D, 3, FALSE))</f>
        <v>1</v>
      </c>
      <c r="O641" s="66">
        <f>ROUND(K641/VLOOKUP(L641,Camion!A:D, 3, FALSE) - N641,2)</f>
        <v>0</v>
      </c>
      <c r="P641" s="65"/>
    </row>
    <row r="642" spans="1:16" x14ac:dyDescent="0.25">
      <c r="A642" s="7">
        <v>29</v>
      </c>
      <c r="B642" s="62" t="s">
        <v>185</v>
      </c>
      <c r="C642" s="63" t="s">
        <v>1</v>
      </c>
      <c r="D642" s="63" t="s">
        <v>128</v>
      </c>
      <c r="E642" s="63" t="s">
        <v>71</v>
      </c>
      <c r="F642" s="63" t="s">
        <v>138</v>
      </c>
      <c r="G642" s="63">
        <v>243</v>
      </c>
      <c r="H642" s="63" t="s">
        <v>139</v>
      </c>
      <c r="I642" s="63">
        <f>INDEX(Matériel!A:Z, MATCH(E642, Matériel!A:A, 0), MATCH(H642, INDEX(Matériel!A:Z, MATCH(E642, Matériel!A:A, 0), 0), 0) + 1)</f>
        <v>150</v>
      </c>
      <c r="J642" s="63">
        <f t="shared" ref="J642:J649" si="63">ROUNDUP(G642 / I642, 0)</f>
        <v>2</v>
      </c>
      <c r="K642" s="63">
        <f>VLOOKUP(H642,Manutention!A:E, 3, FALSE) * J642</f>
        <v>6</v>
      </c>
      <c r="L642" s="63" t="s">
        <v>164</v>
      </c>
      <c r="M642" s="63">
        <f>ROUNDUP(K642/VLOOKUP(L642,Camion!A:D, 3, FALSE),0)</f>
        <v>1</v>
      </c>
      <c r="N642" s="63">
        <f>INT(K642/VLOOKUP(L642,Camion!A:D, 3, FALSE))</f>
        <v>0</v>
      </c>
      <c r="O642" s="64">
        <f>ROUND(K642/VLOOKUP(L642,Camion!A:D, 3, FALSE) - N642,2)</f>
        <v>0.67</v>
      </c>
      <c r="P642" s="63" t="s">
        <v>130</v>
      </c>
    </row>
    <row r="643" spans="1:16" x14ac:dyDescent="0.25">
      <c r="A643" s="7">
        <v>29</v>
      </c>
      <c r="B643" s="62" t="s">
        <v>185</v>
      </c>
      <c r="C643" s="63" t="s">
        <v>1</v>
      </c>
      <c r="D643" s="63" t="s">
        <v>135</v>
      </c>
      <c r="E643" s="63" t="s">
        <v>72</v>
      </c>
      <c r="F643" s="63" t="s">
        <v>138</v>
      </c>
      <c r="G643" s="63">
        <v>743</v>
      </c>
      <c r="H643" s="63" t="s">
        <v>143</v>
      </c>
      <c r="I643" s="63">
        <f>INDEX(Matériel!A:Z, MATCH(E643, Matériel!A:A, 0), MATCH(H643, INDEX(Matériel!A:Z, MATCH(E643, Matériel!A:A, 0), 0), 0) + 1)</f>
        <v>1000</v>
      </c>
      <c r="J643" s="63">
        <f t="shared" si="63"/>
        <v>1</v>
      </c>
      <c r="K643" s="63">
        <f>VLOOKUP(H643,Manutention!A:E, 3, FALSE) * J643</f>
        <v>1</v>
      </c>
      <c r="L643" s="63" t="s">
        <v>164</v>
      </c>
      <c r="M643" s="63">
        <f>ROUNDUP(K643/VLOOKUP(L643,Camion!A:D, 3, FALSE),0)</f>
        <v>1</v>
      </c>
      <c r="N643" s="63">
        <f>INT(K643/VLOOKUP(L643,Camion!A:D, 3, FALSE))</f>
        <v>0</v>
      </c>
      <c r="O643" s="64">
        <f>ROUND(K643/VLOOKUP(L643,Camion!A:D, 3, FALSE) - N643,2)</f>
        <v>0.11</v>
      </c>
      <c r="P643" s="63" t="s">
        <v>130</v>
      </c>
    </row>
    <row r="644" spans="1:16" x14ac:dyDescent="0.25">
      <c r="A644" s="7">
        <v>29</v>
      </c>
      <c r="B644" s="62" t="s">
        <v>185</v>
      </c>
      <c r="C644" s="63" t="s">
        <v>1</v>
      </c>
      <c r="D644" s="63" t="s">
        <v>135</v>
      </c>
      <c r="E644" s="63" t="s">
        <v>75</v>
      </c>
      <c r="F644" s="63" t="s">
        <v>127</v>
      </c>
      <c r="G644" s="63">
        <v>38</v>
      </c>
      <c r="H644" s="63" t="s">
        <v>136</v>
      </c>
      <c r="I644" s="63">
        <f>INDEX(Matériel!A:Z, MATCH(E644, Matériel!A:A, 0), MATCH(H644, INDEX(Matériel!A:Z, MATCH(E644, Matériel!A:A, 0), 0), 0) + 1)</f>
        <v>60</v>
      </c>
      <c r="J644" s="63">
        <f t="shared" si="63"/>
        <v>1</v>
      </c>
      <c r="K644" s="63">
        <f>VLOOKUP(H644,Manutention!A:E, 3, FALSE) * J644</f>
        <v>1</v>
      </c>
      <c r="L644" s="63" t="s">
        <v>164</v>
      </c>
      <c r="M644" s="63">
        <f>ROUNDUP(K644/VLOOKUP(L644,Camion!A:D, 3, FALSE),0)</f>
        <v>1</v>
      </c>
      <c r="N644" s="63">
        <f>INT(K644/VLOOKUP(L644,Camion!A:D, 3, FALSE))</f>
        <v>0</v>
      </c>
      <c r="O644" s="64">
        <f>ROUND(K644/VLOOKUP(L644,Camion!A:D, 3, FALSE) - N644,2)</f>
        <v>0.11</v>
      </c>
      <c r="P644" s="63" t="s">
        <v>129</v>
      </c>
    </row>
    <row r="645" spans="1:16" x14ac:dyDescent="0.25">
      <c r="A645" s="7">
        <v>29</v>
      </c>
      <c r="B645" s="62" t="s">
        <v>185</v>
      </c>
      <c r="C645" s="63" t="s">
        <v>1</v>
      </c>
      <c r="D645" s="63" t="s">
        <v>128</v>
      </c>
      <c r="E645" s="63" t="s">
        <v>76</v>
      </c>
      <c r="F645" s="63" t="s">
        <v>127</v>
      </c>
      <c r="G645" s="63">
        <v>19</v>
      </c>
      <c r="H645" s="63" t="s">
        <v>131</v>
      </c>
      <c r="I645" s="63">
        <f>INDEX(Matériel!A:Z, MATCH(E645, Matériel!A:A, 0), MATCH(H645, INDEX(Matériel!A:Z, MATCH(E645, Matériel!A:A, 0), 0), 0) + 1)</f>
        <v>100</v>
      </c>
      <c r="J645" s="63">
        <f t="shared" si="63"/>
        <v>1</v>
      </c>
      <c r="K645" s="63">
        <f>VLOOKUP(H645,Manutention!A:E, 3, FALSE) * J645</f>
        <v>1</v>
      </c>
      <c r="L645" s="63" t="s">
        <v>164</v>
      </c>
      <c r="M645" s="63">
        <f>ROUNDUP(K645/VLOOKUP(L645,Camion!A:D, 3, FALSE),0)</f>
        <v>1</v>
      </c>
      <c r="N645" s="63">
        <f>INT(K645/VLOOKUP(L645,Camion!A:D, 3, FALSE))</f>
        <v>0</v>
      </c>
      <c r="O645" s="64">
        <f>ROUND(K645/VLOOKUP(L645,Camion!A:D, 3, FALSE) - N645,2)</f>
        <v>0.11</v>
      </c>
      <c r="P645" s="63" t="s">
        <v>129</v>
      </c>
    </row>
    <row r="646" spans="1:16" x14ac:dyDescent="0.25">
      <c r="A646" s="7">
        <v>29</v>
      </c>
      <c r="B646" s="62" t="s">
        <v>185</v>
      </c>
      <c r="C646" s="63" t="s">
        <v>1</v>
      </c>
      <c r="D646" s="63" t="s">
        <v>135</v>
      </c>
      <c r="E646" s="63" t="s">
        <v>77</v>
      </c>
      <c r="F646" s="63" t="s">
        <v>127</v>
      </c>
      <c r="G646" s="63">
        <v>159</v>
      </c>
      <c r="H646" s="63" t="s">
        <v>131</v>
      </c>
      <c r="I646" s="63">
        <f>INDEX(Matériel!A:Z, MATCH(E646, Matériel!A:A, 0), MATCH(H646, INDEX(Matériel!A:Z, MATCH(E646, Matériel!A:A, 0), 0), 0) + 1)</f>
        <v>20</v>
      </c>
      <c r="J646" s="63">
        <f t="shared" si="63"/>
        <v>8</v>
      </c>
      <c r="K646" s="63">
        <f>VLOOKUP(H646,Manutention!A:E, 3, FALSE) * J646</f>
        <v>8</v>
      </c>
      <c r="L646" s="63" t="s">
        <v>164</v>
      </c>
      <c r="M646" s="63">
        <f>ROUNDUP(K646/VLOOKUP(L646,Camion!A:D, 3, FALSE),0)</f>
        <v>1</v>
      </c>
      <c r="N646" s="63">
        <f>INT(K646/VLOOKUP(L646,Camion!A:D, 3, FALSE))</f>
        <v>0</v>
      </c>
      <c r="O646" s="64">
        <f>ROUND(K646/VLOOKUP(L646,Camion!A:D, 3, FALSE) - N646,2)</f>
        <v>0.89</v>
      </c>
      <c r="P646" s="63" t="s">
        <v>129</v>
      </c>
    </row>
    <row r="647" spans="1:16" x14ac:dyDescent="0.25">
      <c r="A647" s="7">
        <v>29</v>
      </c>
      <c r="B647" s="62" t="s">
        <v>185</v>
      </c>
      <c r="C647" s="63" t="s">
        <v>1</v>
      </c>
      <c r="D647" s="63" t="s">
        <v>135</v>
      </c>
      <c r="E647" s="63" t="s">
        <v>78</v>
      </c>
      <c r="F647" s="63" t="s">
        <v>127</v>
      </c>
      <c r="G647" s="63">
        <v>3</v>
      </c>
      <c r="H647" s="63" t="s">
        <v>133</v>
      </c>
      <c r="I647" s="63">
        <f>INDEX(Matériel!A:Z, MATCH(E647, Matériel!A:A, 0), MATCH(H647, INDEX(Matériel!A:Z, MATCH(E647, Matériel!A:A, 0), 0), 0) + 1)</f>
        <v>1</v>
      </c>
      <c r="J647" s="63">
        <f t="shared" si="63"/>
        <v>3</v>
      </c>
      <c r="K647" s="63">
        <f>VLOOKUP(H647,Manutention!A:E, 3, FALSE) * J647</f>
        <v>6</v>
      </c>
      <c r="L647" s="63" t="s">
        <v>164</v>
      </c>
      <c r="M647" s="63">
        <f>ROUNDUP(K647/VLOOKUP(L647,Camion!A:D, 3, FALSE),0)</f>
        <v>1</v>
      </c>
      <c r="N647" s="63">
        <f>INT(K647/VLOOKUP(L647,Camion!A:D, 3, FALSE))</f>
        <v>0</v>
      </c>
      <c r="O647" s="64">
        <f>ROUND(K647/VLOOKUP(L647,Camion!A:D, 3, FALSE) - N647,2)</f>
        <v>0.67</v>
      </c>
      <c r="P647" s="63" t="s">
        <v>129</v>
      </c>
    </row>
    <row r="648" spans="1:16" x14ac:dyDescent="0.25">
      <c r="A648" s="7">
        <v>29</v>
      </c>
      <c r="B648" s="62" t="s">
        <v>185</v>
      </c>
      <c r="C648" s="63" t="s">
        <v>1</v>
      </c>
      <c r="D648" s="63" t="s">
        <v>135</v>
      </c>
      <c r="E648" s="63" t="s">
        <v>79</v>
      </c>
      <c r="F648" s="63" t="s">
        <v>127</v>
      </c>
      <c r="G648" s="63">
        <v>2</v>
      </c>
      <c r="H648" s="63" t="s">
        <v>133</v>
      </c>
      <c r="I648" s="63">
        <f>INDEX(Matériel!A:Z, MATCH(E648, Matériel!A:A, 0), MATCH(H648, INDEX(Matériel!A:Z, MATCH(E648, Matériel!A:A, 0), 0), 0) + 1)</f>
        <v>1</v>
      </c>
      <c r="J648" s="63">
        <f t="shared" si="63"/>
        <v>2</v>
      </c>
      <c r="K648" s="63">
        <f>VLOOKUP(H648,Manutention!A:E, 3, FALSE) * J648</f>
        <v>4</v>
      </c>
      <c r="L648" s="63" t="s">
        <v>164</v>
      </c>
      <c r="M648" s="63">
        <f>ROUNDUP(K648/VLOOKUP(L648,Camion!A:D, 3, FALSE),0)</f>
        <v>1</v>
      </c>
      <c r="N648" s="63">
        <f>INT(K648/VLOOKUP(L648,Camion!A:D, 3, FALSE))</f>
        <v>0</v>
      </c>
      <c r="O648" s="64">
        <f>ROUND(K648/VLOOKUP(L648,Camion!A:D, 3, FALSE) - N648,2)</f>
        <v>0.44</v>
      </c>
      <c r="P648" s="63" t="s">
        <v>129</v>
      </c>
    </row>
    <row r="649" spans="1:16" x14ac:dyDescent="0.25">
      <c r="A649" s="7">
        <v>29</v>
      </c>
      <c r="B649" s="62" t="s">
        <v>185</v>
      </c>
      <c r="C649" s="63" t="s">
        <v>1</v>
      </c>
      <c r="D649" s="63" t="s">
        <v>128</v>
      </c>
      <c r="E649" s="63" t="s">
        <v>81</v>
      </c>
      <c r="F649" s="63" t="s">
        <v>127</v>
      </c>
      <c r="G649" s="63">
        <v>7</v>
      </c>
      <c r="H649" s="63" t="s">
        <v>131</v>
      </c>
      <c r="I649" s="63">
        <f>INDEX(Matériel!A:Z, MATCH(E649, Matériel!A:A, 0), MATCH(H649, INDEX(Matériel!A:Z, MATCH(E649, Matériel!A:A, 0), 0), 0) + 1)</f>
        <v>100</v>
      </c>
      <c r="J649" s="63">
        <f t="shared" si="63"/>
        <v>1</v>
      </c>
      <c r="K649" s="63">
        <f>VLOOKUP(H649,Manutention!A:E, 3, FALSE) * J649</f>
        <v>1</v>
      </c>
      <c r="L649" s="63" t="s">
        <v>164</v>
      </c>
      <c r="M649" s="63">
        <f>ROUNDUP(K649/VLOOKUP(L649,Camion!A:D, 3, FALSE),0)</f>
        <v>1</v>
      </c>
      <c r="N649" s="63">
        <f>INT(K649/VLOOKUP(L649,Camion!A:D, 3, FALSE))</f>
        <v>0</v>
      </c>
      <c r="O649" s="64">
        <f>ROUND(K649/VLOOKUP(L649,Camion!A:D, 3, FALSE) - N649,2)</f>
        <v>0.11</v>
      </c>
      <c r="P649" s="63" t="s">
        <v>130</v>
      </c>
    </row>
    <row r="650" spans="1:16" x14ac:dyDescent="0.25">
      <c r="A650" s="7">
        <v>29</v>
      </c>
      <c r="B650" s="5" t="s">
        <v>185</v>
      </c>
      <c r="C650" s="65"/>
      <c r="D650" s="65"/>
      <c r="E650" s="65" t="s">
        <v>187</v>
      </c>
      <c r="F650" s="65"/>
      <c r="G650" s="65"/>
      <c r="H650" s="65" t="s">
        <v>131</v>
      </c>
      <c r="I650" s="65"/>
      <c r="J650" s="65"/>
      <c r="K650" s="65">
        <f>SUMIFS(K:K, A:A, 29, B:B, "Z3 Z4", P:P, "Oui", D:D, "Production")</f>
        <v>1</v>
      </c>
      <c r="L650" s="65" t="s">
        <v>164</v>
      </c>
      <c r="M650" s="65">
        <f>ROUNDUP(K650/VLOOKUP(L650,Camion!A:D, 3, FALSE),0)</f>
        <v>1</v>
      </c>
      <c r="N650" s="65">
        <f>INT(K650/VLOOKUP(L650,Camion!A:D, 3, FALSE))</f>
        <v>0</v>
      </c>
      <c r="O650" s="66">
        <f>ROUND(K650/VLOOKUP(L650,Camion!A:D, 3, FALSE) - N650,2)</f>
        <v>0.11</v>
      </c>
      <c r="P650" s="65"/>
    </row>
    <row r="651" spans="1:16" x14ac:dyDescent="0.25">
      <c r="A651" s="7">
        <v>29</v>
      </c>
      <c r="B651" s="5" t="s">
        <v>185</v>
      </c>
      <c r="C651" s="65"/>
      <c r="D651" s="65"/>
      <c r="E651" s="65" t="s">
        <v>188</v>
      </c>
      <c r="F651" s="65"/>
      <c r="G651" s="65"/>
      <c r="H651" s="65" t="s">
        <v>131</v>
      </c>
      <c r="I651" s="65"/>
      <c r="J651" s="65"/>
      <c r="K651" s="65">
        <f>SUMIFS(K:K, A:A, 29, B:B, "Z3 Z4", P:P, "Oui", D:D, "Terminaux")</f>
        <v>19</v>
      </c>
      <c r="L651" s="65" t="s">
        <v>167</v>
      </c>
      <c r="M651" s="65">
        <f>ROUNDUP(K651/VLOOKUP(L651,Camion!A:D, 3, FALSE),0)</f>
        <v>1</v>
      </c>
      <c r="N651" s="65">
        <f>INT(K651/VLOOKUP(L651,Camion!A:D, 3, FALSE))</f>
        <v>0</v>
      </c>
      <c r="O651" s="66">
        <f>ROUND(K651/VLOOKUP(L651,Camion!A:D, 3, FALSE) - N651,2)</f>
        <v>0.95</v>
      </c>
      <c r="P651" s="65"/>
    </row>
    <row r="652" spans="1:16" x14ac:dyDescent="0.25">
      <c r="A652" s="7">
        <v>30</v>
      </c>
      <c r="B652" s="62" t="s">
        <v>184</v>
      </c>
      <c r="C652" s="63" t="s">
        <v>1</v>
      </c>
      <c r="D652" s="63" t="s">
        <v>128</v>
      </c>
      <c r="E652" s="63" t="s">
        <v>71</v>
      </c>
      <c r="F652" s="63" t="s">
        <v>138</v>
      </c>
      <c r="G652" s="63">
        <v>239</v>
      </c>
      <c r="H652" s="63" t="s">
        <v>139</v>
      </c>
      <c r="I652" s="63">
        <f>INDEX(Matériel!A:Z, MATCH(E652, Matériel!A:A, 0), MATCH(H652, INDEX(Matériel!A:Z, MATCH(E652, Matériel!A:A, 0), 0), 0) + 1)</f>
        <v>150</v>
      </c>
      <c r="J652" s="63">
        <f t="shared" ref="J652:J659" si="64">ROUNDUP(G652 / I652, 0)</f>
        <v>2</v>
      </c>
      <c r="K652" s="63">
        <f>VLOOKUP(H652,Manutention!A:E, 3, FALSE) * J652</f>
        <v>6</v>
      </c>
      <c r="L652" s="63" t="s">
        <v>164</v>
      </c>
      <c r="M652" s="63">
        <f>ROUNDUP(K652/VLOOKUP(L652,Camion!A:D, 3, FALSE),0)</f>
        <v>1</v>
      </c>
      <c r="N652" s="63">
        <f>INT(K652/VLOOKUP(L652,Camion!A:D, 3, FALSE))</f>
        <v>0</v>
      </c>
      <c r="O652" s="64">
        <f>ROUND(K652/VLOOKUP(L652,Camion!A:D, 3, FALSE) - N652,2)</f>
        <v>0.67</v>
      </c>
      <c r="P652" s="63" t="s">
        <v>130</v>
      </c>
    </row>
    <row r="653" spans="1:16" x14ac:dyDescent="0.25">
      <c r="A653" s="7">
        <v>30</v>
      </c>
      <c r="B653" s="62" t="s">
        <v>184</v>
      </c>
      <c r="C653" s="63" t="s">
        <v>1</v>
      </c>
      <c r="D653" s="63" t="s">
        <v>135</v>
      </c>
      <c r="E653" s="63" t="s">
        <v>72</v>
      </c>
      <c r="F653" s="63" t="s">
        <v>138</v>
      </c>
      <c r="G653" s="63">
        <v>732</v>
      </c>
      <c r="H653" s="63" t="s">
        <v>143</v>
      </c>
      <c r="I653" s="63">
        <f>INDEX(Matériel!A:Z, MATCH(E653, Matériel!A:A, 0), MATCH(H653, INDEX(Matériel!A:Z, MATCH(E653, Matériel!A:A, 0), 0), 0) + 1)</f>
        <v>1000</v>
      </c>
      <c r="J653" s="63">
        <f t="shared" si="64"/>
        <v>1</v>
      </c>
      <c r="K653" s="63">
        <f>VLOOKUP(H653,Manutention!A:E, 3, FALSE) * J653</f>
        <v>1</v>
      </c>
      <c r="L653" s="63" t="s">
        <v>164</v>
      </c>
      <c r="M653" s="63">
        <f>ROUNDUP(K653/VLOOKUP(L653,Camion!A:D, 3, FALSE),0)</f>
        <v>1</v>
      </c>
      <c r="N653" s="63">
        <f>INT(K653/VLOOKUP(L653,Camion!A:D, 3, FALSE))</f>
        <v>0</v>
      </c>
      <c r="O653" s="64">
        <f>ROUND(K653/VLOOKUP(L653,Camion!A:D, 3, FALSE) - N653,2)</f>
        <v>0.11</v>
      </c>
      <c r="P653" s="63" t="s">
        <v>130</v>
      </c>
    </row>
    <row r="654" spans="1:16" x14ac:dyDescent="0.25">
      <c r="A654" s="7">
        <v>30</v>
      </c>
      <c r="B654" s="62" t="s">
        <v>184</v>
      </c>
      <c r="C654" s="63" t="s">
        <v>1</v>
      </c>
      <c r="D654" s="63" t="s">
        <v>135</v>
      </c>
      <c r="E654" s="63" t="s">
        <v>75</v>
      </c>
      <c r="F654" s="63" t="s">
        <v>127</v>
      </c>
      <c r="G654" s="63">
        <v>37</v>
      </c>
      <c r="H654" s="63" t="s">
        <v>136</v>
      </c>
      <c r="I654" s="63">
        <f>INDEX(Matériel!A:Z, MATCH(E654, Matériel!A:A, 0), MATCH(H654, INDEX(Matériel!A:Z, MATCH(E654, Matériel!A:A, 0), 0), 0) + 1)</f>
        <v>60</v>
      </c>
      <c r="J654" s="63">
        <f t="shared" si="64"/>
        <v>1</v>
      </c>
      <c r="K654" s="63">
        <f>VLOOKUP(H654,Manutention!A:E, 3, FALSE) * J654</f>
        <v>1</v>
      </c>
      <c r="L654" s="63" t="s">
        <v>164</v>
      </c>
      <c r="M654" s="63">
        <f>ROUNDUP(K654/VLOOKUP(L654,Camion!A:D, 3, FALSE),0)</f>
        <v>1</v>
      </c>
      <c r="N654" s="63">
        <f>INT(K654/VLOOKUP(L654,Camion!A:D, 3, FALSE))</f>
        <v>0</v>
      </c>
      <c r="O654" s="64">
        <f>ROUND(K654/VLOOKUP(L654,Camion!A:D, 3, FALSE) - N654,2)</f>
        <v>0.11</v>
      </c>
      <c r="P654" s="63" t="s">
        <v>129</v>
      </c>
    </row>
    <row r="655" spans="1:16" x14ac:dyDescent="0.25">
      <c r="A655" s="7">
        <v>30</v>
      </c>
      <c r="B655" s="62" t="s">
        <v>184</v>
      </c>
      <c r="C655" s="63" t="s">
        <v>1</v>
      </c>
      <c r="D655" s="63" t="s">
        <v>128</v>
      </c>
      <c r="E655" s="63" t="s">
        <v>76</v>
      </c>
      <c r="F655" s="63" t="s">
        <v>127</v>
      </c>
      <c r="G655" s="63">
        <v>18</v>
      </c>
      <c r="H655" s="63" t="s">
        <v>131</v>
      </c>
      <c r="I655" s="63">
        <f>INDEX(Matériel!A:Z, MATCH(E655, Matériel!A:A, 0), MATCH(H655, INDEX(Matériel!A:Z, MATCH(E655, Matériel!A:A, 0), 0), 0) + 1)</f>
        <v>100</v>
      </c>
      <c r="J655" s="63">
        <f t="shared" si="64"/>
        <v>1</v>
      </c>
      <c r="K655" s="63">
        <f>VLOOKUP(H655,Manutention!A:E, 3, FALSE) * J655</f>
        <v>1</v>
      </c>
      <c r="L655" s="63" t="s">
        <v>164</v>
      </c>
      <c r="M655" s="63">
        <f>ROUNDUP(K655/VLOOKUP(L655,Camion!A:D, 3, FALSE),0)</f>
        <v>1</v>
      </c>
      <c r="N655" s="63">
        <f>INT(K655/VLOOKUP(L655,Camion!A:D, 3, FALSE))</f>
        <v>0</v>
      </c>
      <c r="O655" s="64">
        <f>ROUND(K655/VLOOKUP(L655,Camion!A:D, 3, FALSE) - N655,2)</f>
        <v>0.11</v>
      </c>
      <c r="P655" s="63" t="s">
        <v>129</v>
      </c>
    </row>
    <row r="656" spans="1:16" x14ac:dyDescent="0.25">
      <c r="A656" s="7">
        <v>30</v>
      </c>
      <c r="B656" s="62" t="s">
        <v>184</v>
      </c>
      <c r="C656" s="63" t="s">
        <v>1</v>
      </c>
      <c r="D656" s="63" t="s">
        <v>135</v>
      </c>
      <c r="E656" s="63" t="s">
        <v>77</v>
      </c>
      <c r="F656" s="63" t="s">
        <v>127</v>
      </c>
      <c r="G656" s="63">
        <v>156</v>
      </c>
      <c r="H656" s="63" t="s">
        <v>131</v>
      </c>
      <c r="I656" s="63">
        <f>INDEX(Matériel!A:Z, MATCH(E656, Matériel!A:A, 0), MATCH(H656, INDEX(Matériel!A:Z, MATCH(E656, Matériel!A:A, 0), 0), 0) + 1)</f>
        <v>20</v>
      </c>
      <c r="J656" s="63">
        <f t="shared" si="64"/>
        <v>8</v>
      </c>
      <c r="K656" s="63">
        <f>VLOOKUP(H656,Manutention!A:E, 3, FALSE) * J656</f>
        <v>8</v>
      </c>
      <c r="L656" s="63" t="s">
        <v>164</v>
      </c>
      <c r="M656" s="63">
        <f>ROUNDUP(K656/VLOOKUP(L656,Camion!A:D, 3, FALSE),0)</f>
        <v>1</v>
      </c>
      <c r="N656" s="63">
        <f>INT(K656/VLOOKUP(L656,Camion!A:D, 3, FALSE))</f>
        <v>0</v>
      </c>
      <c r="O656" s="64">
        <f>ROUND(K656/VLOOKUP(L656,Camion!A:D, 3, FALSE) - N656,2)</f>
        <v>0.89</v>
      </c>
      <c r="P656" s="63" t="s">
        <v>129</v>
      </c>
    </row>
    <row r="657" spans="1:16" x14ac:dyDescent="0.25">
      <c r="A657" s="7">
        <v>30</v>
      </c>
      <c r="B657" s="62" t="s">
        <v>184</v>
      </c>
      <c r="C657" s="63" t="s">
        <v>1</v>
      </c>
      <c r="D657" s="63" t="s">
        <v>135</v>
      </c>
      <c r="E657" s="63" t="s">
        <v>78</v>
      </c>
      <c r="F657" s="63" t="s">
        <v>127</v>
      </c>
      <c r="G657" s="63">
        <v>3</v>
      </c>
      <c r="H657" s="63" t="s">
        <v>133</v>
      </c>
      <c r="I657" s="63">
        <f>INDEX(Matériel!A:Z, MATCH(E657, Matériel!A:A, 0), MATCH(H657, INDEX(Matériel!A:Z, MATCH(E657, Matériel!A:A, 0), 0), 0) + 1)</f>
        <v>1</v>
      </c>
      <c r="J657" s="63">
        <f t="shared" si="64"/>
        <v>3</v>
      </c>
      <c r="K657" s="63">
        <f>VLOOKUP(H657,Manutention!A:E, 3, FALSE) * J657</f>
        <v>6</v>
      </c>
      <c r="L657" s="63" t="s">
        <v>164</v>
      </c>
      <c r="M657" s="63">
        <f>ROUNDUP(K657/VLOOKUP(L657,Camion!A:D, 3, FALSE),0)</f>
        <v>1</v>
      </c>
      <c r="N657" s="63">
        <f>INT(K657/VLOOKUP(L657,Camion!A:D, 3, FALSE))</f>
        <v>0</v>
      </c>
      <c r="O657" s="64">
        <f>ROUND(K657/VLOOKUP(L657,Camion!A:D, 3, FALSE) - N657,2)</f>
        <v>0.67</v>
      </c>
      <c r="P657" s="63" t="s">
        <v>129</v>
      </c>
    </row>
    <row r="658" spans="1:16" x14ac:dyDescent="0.25">
      <c r="A658" s="7">
        <v>30</v>
      </c>
      <c r="B658" s="62" t="s">
        <v>184</v>
      </c>
      <c r="C658" s="63" t="s">
        <v>1</v>
      </c>
      <c r="D658" s="63" t="s">
        <v>135</v>
      </c>
      <c r="E658" s="63" t="s">
        <v>79</v>
      </c>
      <c r="F658" s="63" t="s">
        <v>127</v>
      </c>
      <c r="G658" s="63">
        <v>2</v>
      </c>
      <c r="H658" s="63" t="s">
        <v>133</v>
      </c>
      <c r="I658" s="63">
        <f>INDEX(Matériel!A:Z, MATCH(E658, Matériel!A:A, 0), MATCH(H658, INDEX(Matériel!A:Z, MATCH(E658, Matériel!A:A, 0), 0), 0) + 1)</f>
        <v>1</v>
      </c>
      <c r="J658" s="63">
        <f t="shared" si="64"/>
        <v>2</v>
      </c>
      <c r="K658" s="63">
        <f>VLOOKUP(H658,Manutention!A:E, 3, FALSE) * J658</f>
        <v>4</v>
      </c>
      <c r="L658" s="63" t="s">
        <v>164</v>
      </c>
      <c r="M658" s="63">
        <f>ROUNDUP(K658/VLOOKUP(L658,Camion!A:D, 3, FALSE),0)</f>
        <v>1</v>
      </c>
      <c r="N658" s="63">
        <f>INT(K658/VLOOKUP(L658,Camion!A:D, 3, FALSE))</f>
        <v>0</v>
      </c>
      <c r="O658" s="64">
        <f>ROUND(K658/VLOOKUP(L658,Camion!A:D, 3, FALSE) - N658,2)</f>
        <v>0.44</v>
      </c>
      <c r="P658" s="63" t="s">
        <v>129</v>
      </c>
    </row>
    <row r="659" spans="1:16" x14ac:dyDescent="0.25">
      <c r="A659" s="7">
        <v>30</v>
      </c>
      <c r="B659" s="62" t="s">
        <v>184</v>
      </c>
      <c r="C659" s="63" t="s">
        <v>1</v>
      </c>
      <c r="D659" s="63" t="s">
        <v>128</v>
      </c>
      <c r="E659" s="63" t="s">
        <v>81</v>
      </c>
      <c r="F659" s="63" t="s">
        <v>127</v>
      </c>
      <c r="G659" s="63">
        <v>7</v>
      </c>
      <c r="H659" s="63" t="s">
        <v>131</v>
      </c>
      <c r="I659" s="63">
        <f>INDEX(Matériel!A:Z, MATCH(E659, Matériel!A:A, 0), MATCH(H659, INDEX(Matériel!A:Z, MATCH(E659, Matériel!A:A, 0), 0), 0) + 1)</f>
        <v>100</v>
      </c>
      <c r="J659" s="63">
        <f t="shared" si="64"/>
        <v>1</v>
      </c>
      <c r="K659" s="63">
        <f>VLOOKUP(H659,Manutention!A:E, 3, FALSE) * J659</f>
        <v>1</v>
      </c>
      <c r="L659" s="63" t="s">
        <v>164</v>
      </c>
      <c r="M659" s="63">
        <f>ROUNDUP(K659/VLOOKUP(L659,Camion!A:D, 3, FALSE),0)</f>
        <v>1</v>
      </c>
      <c r="N659" s="63">
        <f>INT(K659/VLOOKUP(L659,Camion!A:D, 3, FALSE))</f>
        <v>0</v>
      </c>
      <c r="O659" s="64">
        <f>ROUND(K659/VLOOKUP(L659,Camion!A:D, 3, FALSE) - N659,2)</f>
        <v>0.11</v>
      </c>
      <c r="P659" s="63" t="s">
        <v>130</v>
      </c>
    </row>
    <row r="660" spans="1:16" x14ac:dyDescent="0.25">
      <c r="A660" s="7">
        <v>30</v>
      </c>
      <c r="B660" s="5" t="s">
        <v>184</v>
      </c>
      <c r="C660" s="65"/>
      <c r="D660" s="65"/>
      <c r="E660" s="65" t="s">
        <v>187</v>
      </c>
      <c r="F660" s="65"/>
      <c r="G660" s="65"/>
      <c r="H660" s="65" t="s">
        <v>131</v>
      </c>
      <c r="I660" s="65"/>
      <c r="J660" s="65"/>
      <c r="K660" s="65">
        <f>SUMIFS(K:K, A:A, 30, B:B, "Z1 Z2", P:P, "Oui", D:D, "Production")</f>
        <v>1</v>
      </c>
      <c r="L660" s="65" t="s">
        <v>164</v>
      </c>
      <c r="M660" s="65">
        <f>ROUNDUP(K660/VLOOKUP(L660,Camion!A:D, 3, FALSE),0)</f>
        <v>1</v>
      </c>
      <c r="N660" s="65">
        <f>INT(K660/VLOOKUP(L660,Camion!A:D, 3, FALSE))</f>
        <v>0</v>
      </c>
      <c r="O660" s="66">
        <f>ROUND(K660/VLOOKUP(L660,Camion!A:D, 3, FALSE) - N660,2)</f>
        <v>0.11</v>
      </c>
      <c r="P660" s="65"/>
    </row>
    <row r="661" spans="1:16" x14ac:dyDescent="0.25">
      <c r="A661" s="7">
        <v>30</v>
      </c>
      <c r="B661" s="5" t="s">
        <v>184</v>
      </c>
      <c r="C661" s="65"/>
      <c r="D661" s="65"/>
      <c r="E661" s="65" t="s">
        <v>188</v>
      </c>
      <c r="F661" s="65"/>
      <c r="G661" s="65"/>
      <c r="H661" s="65" t="s">
        <v>131</v>
      </c>
      <c r="I661" s="65"/>
      <c r="J661" s="65"/>
      <c r="K661" s="65">
        <f>SUMIFS(K:K, A:A, 30, B:B, "Z1 Z2", P:P, "Oui", D:D, "Terminaux")</f>
        <v>19</v>
      </c>
      <c r="L661" s="65" t="s">
        <v>167</v>
      </c>
      <c r="M661" s="65">
        <f>ROUNDUP(K661/VLOOKUP(L661,Camion!A:D, 3, FALSE),0)</f>
        <v>1</v>
      </c>
      <c r="N661" s="65">
        <f>INT(K661/VLOOKUP(L661,Camion!A:D, 3, FALSE))</f>
        <v>0</v>
      </c>
      <c r="O661" s="66">
        <f>ROUND(K661/VLOOKUP(L661,Camion!A:D, 3, FALSE) - N661,2)</f>
        <v>0.95</v>
      </c>
      <c r="P661" s="65"/>
    </row>
    <row r="662" spans="1:16" x14ac:dyDescent="0.25">
      <c r="A662" s="7">
        <v>30</v>
      </c>
      <c r="B662" s="62" t="s">
        <v>185</v>
      </c>
      <c r="C662" s="63" t="s">
        <v>1</v>
      </c>
      <c r="D662" s="63" t="s">
        <v>128</v>
      </c>
      <c r="E662" s="63" t="s">
        <v>71</v>
      </c>
      <c r="F662" s="63" t="s">
        <v>138</v>
      </c>
      <c r="G662" s="63">
        <v>235</v>
      </c>
      <c r="H662" s="63" t="s">
        <v>139</v>
      </c>
      <c r="I662" s="63">
        <f>INDEX(Matériel!A:Z, MATCH(E662, Matériel!A:A, 0), MATCH(H662, INDEX(Matériel!A:Z, MATCH(E662, Matériel!A:A, 0), 0), 0) + 1)</f>
        <v>150</v>
      </c>
      <c r="J662" s="63">
        <f t="shared" ref="J662:J669" si="65">ROUNDUP(G662 / I662, 0)</f>
        <v>2</v>
      </c>
      <c r="K662" s="63">
        <f>VLOOKUP(H662,Manutention!A:E, 3, FALSE) * J662</f>
        <v>6</v>
      </c>
      <c r="L662" s="63" t="s">
        <v>164</v>
      </c>
      <c r="M662" s="63">
        <f>ROUNDUP(K662/VLOOKUP(L662,Camion!A:D, 3, FALSE),0)</f>
        <v>1</v>
      </c>
      <c r="N662" s="63">
        <f>INT(K662/VLOOKUP(L662,Camion!A:D, 3, FALSE))</f>
        <v>0</v>
      </c>
      <c r="O662" s="64">
        <f>ROUND(K662/VLOOKUP(L662,Camion!A:D, 3, FALSE) - N662,2)</f>
        <v>0.67</v>
      </c>
      <c r="P662" s="63" t="s">
        <v>130</v>
      </c>
    </row>
    <row r="663" spans="1:16" x14ac:dyDescent="0.25">
      <c r="A663" s="7">
        <v>30</v>
      </c>
      <c r="B663" s="62" t="s">
        <v>185</v>
      </c>
      <c r="C663" s="63" t="s">
        <v>1</v>
      </c>
      <c r="D663" s="63" t="s">
        <v>135</v>
      </c>
      <c r="E663" s="63" t="s">
        <v>72</v>
      </c>
      <c r="F663" s="63" t="s">
        <v>138</v>
      </c>
      <c r="G663" s="63">
        <v>721</v>
      </c>
      <c r="H663" s="63" t="s">
        <v>143</v>
      </c>
      <c r="I663" s="63">
        <f>INDEX(Matériel!A:Z, MATCH(E663, Matériel!A:A, 0), MATCH(H663, INDEX(Matériel!A:Z, MATCH(E663, Matériel!A:A, 0), 0), 0) + 1)</f>
        <v>1000</v>
      </c>
      <c r="J663" s="63">
        <f t="shared" si="65"/>
        <v>1</v>
      </c>
      <c r="K663" s="63">
        <f>VLOOKUP(H663,Manutention!A:E, 3, FALSE) * J663</f>
        <v>1</v>
      </c>
      <c r="L663" s="63" t="s">
        <v>164</v>
      </c>
      <c r="M663" s="63">
        <f>ROUNDUP(K663/VLOOKUP(L663,Camion!A:D, 3, FALSE),0)</f>
        <v>1</v>
      </c>
      <c r="N663" s="63">
        <f>INT(K663/VLOOKUP(L663,Camion!A:D, 3, FALSE))</f>
        <v>0</v>
      </c>
      <c r="O663" s="64">
        <f>ROUND(K663/VLOOKUP(L663,Camion!A:D, 3, FALSE) - N663,2)</f>
        <v>0.11</v>
      </c>
      <c r="P663" s="63" t="s">
        <v>130</v>
      </c>
    </row>
    <row r="664" spans="1:16" x14ac:dyDescent="0.25">
      <c r="A664" s="7">
        <v>30</v>
      </c>
      <c r="B664" s="62" t="s">
        <v>185</v>
      </c>
      <c r="C664" s="63" t="s">
        <v>1</v>
      </c>
      <c r="D664" s="63" t="s">
        <v>135</v>
      </c>
      <c r="E664" s="63" t="s">
        <v>75</v>
      </c>
      <c r="F664" s="63" t="s">
        <v>127</v>
      </c>
      <c r="G664" s="63">
        <v>37</v>
      </c>
      <c r="H664" s="63" t="s">
        <v>136</v>
      </c>
      <c r="I664" s="63">
        <f>INDEX(Matériel!A:Z, MATCH(E664, Matériel!A:A, 0), MATCH(H664, INDEX(Matériel!A:Z, MATCH(E664, Matériel!A:A, 0), 0), 0) + 1)</f>
        <v>60</v>
      </c>
      <c r="J664" s="63">
        <f t="shared" si="65"/>
        <v>1</v>
      </c>
      <c r="K664" s="63">
        <f>VLOOKUP(H664,Manutention!A:E, 3, FALSE) * J664</f>
        <v>1</v>
      </c>
      <c r="L664" s="63" t="s">
        <v>164</v>
      </c>
      <c r="M664" s="63">
        <f>ROUNDUP(K664/VLOOKUP(L664,Camion!A:D, 3, FALSE),0)</f>
        <v>1</v>
      </c>
      <c r="N664" s="63">
        <f>INT(K664/VLOOKUP(L664,Camion!A:D, 3, FALSE))</f>
        <v>0</v>
      </c>
      <c r="O664" s="64">
        <f>ROUND(K664/VLOOKUP(L664,Camion!A:D, 3, FALSE) - N664,2)</f>
        <v>0.11</v>
      </c>
      <c r="P664" s="63" t="s">
        <v>129</v>
      </c>
    </row>
    <row r="665" spans="1:16" x14ac:dyDescent="0.25">
      <c r="A665" s="7">
        <v>30</v>
      </c>
      <c r="B665" s="62" t="s">
        <v>185</v>
      </c>
      <c r="C665" s="63" t="s">
        <v>1</v>
      </c>
      <c r="D665" s="63" t="s">
        <v>128</v>
      </c>
      <c r="E665" s="63" t="s">
        <v>76</v>
      </c>
      <c r="F665" s="63" t="s">
        <v>127</v>
      </c>
      <c r="G665" s="63">
        <v>18</v>
      </c>
      <c r="H665" s="63" t="s">
        <v>131</v>
      </c>
      <c r="I665" s="63">
        <f>INDEX(Matériel!A:Z, MATCH(E665, Matériel!A:A, 0), MATCH(H665, INDEX(Matériel!A:Z, MATCH(E665, Matériel!A:A, 0), 0), 0) + 1)</f>
        <v>100</v>
      </c>
      <c r="J665" s="63">
        <f t="shared" si="65"/>
        <v>1</v>
      </c>
      <c r="K665" s="63">
        <f>VLOOKUP(H665,Manutention!A:E, 3, FALSE) * J665</f>
        <v>1</v>
      </c>
      <c r="L665" s="63" t="s">
        <v>164</v>
      </c>
      <c r="M665" s="63">
        <f>ROUNDUP(K665/VLOOKUP(L665,Camion!A:D, 3, FALSE),0)</f>
        <v>1</v>
      </c>
      <c r="N665" s="63">
        <f>INT(K665/VLOOKUP(L665,Camion!A:D, 3, FALSE))</f>
        <v>0</v>
      </c>
      <c r="O665" s="64">
        <f>ROUND(K665/VLOOKUP(L665,Camion!A:D, 3, FALSE) - N665,2)</f>
        <v>0.11</v>
      </c>
      <c r="P665" s="63" t="s">
        <v>129</v>
      </c>
    </row>
    <row r="666" spans="1:16" x14ac:dyDescent="0.25">
      <c r="A666" s="7">
        <v>30</v>
      </c>
      <c r="B666" s="62" t="s">
        <v>185</v>
      </c>
      <c r="C666" s="63" t="s">
        <v>1</v>
      </c>
      <c r="D666" s="63" t="s">
        <v>135</v>
      </c>
      <c r="E666" s="63" t="s">
        <v>77</v>
      </c>
      <c r="F666" s="63" t="s">
        <v>127</v>
      </c>
      <c r="G666" s="63">
        <v>154</v>
      </c>
      <c r="H666" s="63" t="s">
        <v>131</v>
      </c>
      <c r="I666" s="63">
        <f>INDEX(Matériel!A:Z, MATCH(E666, Matériel!A:A, 0), MATCH(H666, INDEX(Matériel!A:Z, MATCH(E666, Matériel!A:A, 0), 0), 0) + 1)</f>
        <v>20</v>
      </c>
      <c r="J666" s="63">
        <f t="shared" si="65"/>
        <v>8</v>
      </c>
      <c r="K666" s="63">
        <f>VLOOKUP(H666,Manutention!A:E, 3, FALSE) * J666</f>
        <v>8</v>
      </c>
      <c r="L666" s="63" t="s">
        <v>164</v>
      </c>
      <c r="M666" s="63">
        <f>ROUNDUP(K666/VLOOKUP(L666,Camion!A:D, 3, FALSE),0)</f>
        <v>1</v>
      </c>
      <c r="N666" s="63">
        <f>INT(K666/VLOOKUP(L666,Camion!A:D, 3, FALSE))</f>
        <v>0</v>
      </c>
      <c r="O666" s="64">
        <f>ROUND(K666/VLOOKUP(L666,Camion!A:D, 3, FALSE) - N666,2)</f>
        <v>0.89</v>
      </c>
      <c r="P666" s="63" t="s">
        <v>129</v>
      </c>
    </row>
    <row r="667" spans="1:16" x14ac:dyDescent="0.25">
      <c r="A667" s="7">
        <v>30</v>
      </c>
      <c r="B667" s="62" t="s">
        <v>185</v>
      </c>
      <c r="C667" s="63" t="s">
        <v>1</v>
      </c>
      <c r="D667" s="63" t="s">
        <v>135</v>
      </c>
      <c r="E667" s="63" t="s">
        <v>78</v>
      </c>
      <c r="F667" s="63" t="s">
        <v>127</v>
      </c>
      <c r="G667" s="63">
        <v>3</v>
      </c>
      <c r="H667" s="63" t="s">
        <v>133</v>
      </c>
      <c r="I667" s="63">
        <f>INDEX(Matériel!A:Z, MATCH(E667, Matériel!A:A, 0), MATCH(H667, INDEX(Matériel!A:Z, MATCH(E667, Matériel!A:A, 0), 0), 0) + 1)</f>
        <v>1</v>
      </c>
      <c r="J667" s="63">
        <f t="shared" si="65"/>
        <v>3</v>
      </c>
      <c r="K667" s="63">
        <f>VLOOKUP(H667,Manutention!A:E, 3, FALSE) * J667</f>
        <v>6</v>
      </c>
      <c r="L667" s="63" t="s">
        <v>164</v>
      </c>
      <c r="M667" s="63">
        <f>ROUNDUP(K667/VLOOKUP(L667,Camion!A:D, 3, FALSE),0)</f>
        <v>1</v>
      </c>
      <c r="N667" s="63">
        <f>INT(K667/VLOOKUP(L667,Camion!A:D, 3, FALSE))</f>
        <v>0</v>
      </c>
      <c r="O667" s="64">
        <f>ROUND(K667/VLOOKUP(L667,Camion!A:D, 3, FALSE) - N667,2)</f>
        <v>0.67</v>
      </c>
      <c r="P667" s="63" t="s">
        <v>129</v>
      </c>
    </row>
    <row r="668" spans="1:16" x14ac:dyDescent="0.25">
      <c r="A668" s="7">
        <v>30</v>
      </c>
      <c r="B668" s="62" t="s">
        <v>185</v>
      </c>
      <c r="C668" s="63" t="s">
        <v>1</v>
      </c>
      <c r="D668" s="63" t="s">
        <v>135</v>
      </c>
      <c r="E668" s="63" t="s">
        <v>79</v>
      </c>
      <c r="F668" s="63" t="s">
        <v>127</v>
      </c>
      <c r="G668" s="63">
        <v>2</v>
      </c>
      <c r="H668" s="63" t="s">
        <v>133</v>
      </c>
      <c r="I668" s="63">
        <f>INDEX(Matériel!A:Z, MATCH(E668, Matériel!A:A, 0), MATCH(H668, INDEX(Matériel!A:Z, MATCH(E668, Matériel!A:A, 0), 0), 0) + 1)</f>
        <v>1</v>
      </c>
      <c r="J668" s="63">
        <f t="shared" si="65"/>
        <v>2</v>
      </c>
      <c r="K668" s="63">
        <f>VLOOKUP(H668,Manutention!A:E, 3, FALSE) * J668</f>
        <v>4</v>
      </c>
      <c r="L668" s="63" t="s">
        <v>164</v>
      </c>
      <c r="M668" s="63">
        <f>ROUNDUP(K668/VLOOKUP(L668,Camion!A:D, 3, FALSE),0)</f>
        <v>1</v>
      </c>
      <c r="N668" s="63">
        <f>INT(K668/VLOOKUP(L668,Camion!A:D, 3, FALSE))</f>
        <v>0</v>
      </c>
      <c r="O668" s="64">
        <f>ROUND(K668/VLOOKUP(L668,Camion!A:D, 3, FALSE) - N668,2)</f>
        <v>0.44</v>
      </c>
      <c r="P668" s="63" t="s">
        <v>129</v>
      </c>
    </row>
    <row r="669" spans="1:16" x14ac:dyDescent="0.25">
      <c r="A669" s="7">
        <v>30</v>
      </c>
      <c r="B669" s="62" t="s">
        <v>185</v>
      </c>
      <c r="C669" s="63" t="s">
        <v>1</v>
      </c>
      <c r="D669" s="63" t="s">
        <v>128</v>
      </c>
      <c r="E669" s="63" t="s">
        <v>81</v>
      </c>
      <c r="F669" s="63" t="s">
        <v>127</v>
      </c>
      <c r="G669" s="63">
        <v>7</v>
      </c>
      <c r="H669" s="63" t="s">
        <v>131</v>
      </c>
      <c r="I669" s="63">
        <f>INDEX(Matériel!A:Z, MATCH(E669, Matériel!A:A, 0), MATCH(H669, INDEX(Matériel!A:Z, MATCH(E669, Matériel!A:A, 0), 0), 0) + 1)</f>
        <v>100</v>
      </c>
      <c r="J669" s="63">
        <f t="shared" si="65"/>
        <v>1</v>
      </c>
      <c r="K669" s="63">
        <f>VLOOKUP(H669,Manutention!A:E, 3, FALSE) * J669</f>
        <v>1</v>
      </c>
      <c r="L669" s="63" t="s">
        <v>164</v>
      </c>
      <c r="M669" s="63">
        <f>ROUNDUP(K669/VLOOKUP(L669,Camion!A:D, 3, FALSE),0)</f>
        <v>1</v>
      </c>
      <c r="N669" s="63">
        <f>INT(K669/VLOOKUP(L669,Camion!A:D, 3, FALSE))</f>
        <v>0</v>
      </c>
      <c r="O669" s="64">
        <f>ROUND(K669/VLOOKUP(L669,Camion!A:D, 3, FALSE) - N669,2)</f>
        <v>0.11</v>
      </c>
      <c r="P669" s="63" t="s">
        <v>130</v>
      </c>
    </row>
    <row r="670" spans="1:16" x14ac:dyDescent="0.25">
      <c r="A670" s="7">
        <v>30</v>
      </c>
      <c r="B670" s="5" t="s">
        <v>185</v>
      </c>
      <c r="C670" s="65"/>
      <c r="D670" s="65"/>
      <c r="E670" s="65" t="s">
        <v>187</v>
      </c>
      <c r="F670" s="65"/>
      <c r="G670" s="65"/>
      <c r="H670" s="65" t="s">
        <v>131</v>
      </c>
      <c r="I670" s="65"/>
      <c r="J670" s="65"/>
      <c r="K670" s="65">
        <f>SUMIFS(K:K, A:A, 30, B:B, "Z3 Z4", P:P, "Oui", D:D, "Production")</f>
        <v>1</v>
      </c>
      <c r="L670" s="65" t="s">
        <v>164</v>
      </c>
      <c r="M670" s="65">
        <f>ROUNDUP(K670/VLOOKUP(L670,Camion!A:D, 3, FALSE),0)</f>
        <v>1</v>
      </c>
      <c r="N670" s="65">
        <f>INT(K670/VLOOKUP(L670,Camion!A:D, 3, FALSE))</f>
        <v>0</v>
      </c>
      <c r="O670" s="66">
        <f>ROUND(K670/VLOOKUP(L670,Camion!A:D, 3, FALSE) - N670,2)</f>
        <v>0.11</v>
      </c>
      <c r="P670" s="65"/>
    </row>
    <row r="671" spans="1:16" x14ac:dyDescent="0.25">
      <c r="A671" s="7">
        <v>30</v>
      </c>
      <c r="B671" s="5" t="s">
        <v>185</v>
      </c>
      <c r="C671" s="65"/>
      <c r="D671" s="65"/>
      <c r="E671" s="65" t="s">
        <v>188</v>
      </c>
      <c r="F671" s="65"/>
      <c r="G671" s="65"/>
      <c r="H671" s="65" t="s">
        <v>131</v>
      </c>
      <c r="I671" s="65"/>
      <c r="J671" s="65"/>
      <c r="K671" s="65">
        <f>SUMIFS(K:K, A:A, 30, B:B, "Z3 Z4", P:P, "Oui", D:D, "Terminaux")</f>
        <v>19</v>
      </c>
      <c r="L671" s="65" t="s">
        <v>167</v>
      </c>
      <c r="M671" s="65">
        <f>ROUNDUP(K671/VLOOKUP(L671,Camion!A:D, 3, FALSE),0)</f>
        <v>1</v>
      </c>
      <c r="N671" s="65">
        <f>INT(K671/VLOOKUP(L671,Camion!A:D, 3, FALSE))</f>
        <v>0</v>
      </c>
      <c r="O671" s="66">
        <f>ROUND(K671/VLOOKUP(L671,Camion!A:D, 3, FALSE) - N671,2)</f>
        <v>0.95</v>
      </c>
      <c r="P671" s="65"/>
    </row>
    <row r="672" spans="1:16" x14ac:dyDescent="0.25">
      <c r="A672" s="7">
        <v>31</v>
      </c>
      <c r="B672" s="62" t="s">
        <v>184</v>
      </c>
      <c r="C672" s="63" t="s">
        <v>1</v>
      </c>
      <c r="D672" s="63" t="s">
        <v>128</v>
      </c>
      <c r="E672" s="63" t="s">
        <v>71</v>
      </c>
      <c r="F672" s="63" t="s">
        <v>138</v>
      </c>
      <c r="G672" s="63">
        <v>232</v>
      </c>
      <c r="H672" s="63" t="s">
        <v>139</v>
      </c>
      <c r="I672" s="63">
        <f>INDEX(Matériel!A:Z, MATCH(E672, Matériel!A:A, 0), MATCH(H672, INDEX(Matériel!A:Z, MATCH(E672, Matériel!A:A, 0), 0), 0) + 1)</f>
        <v>150</v>
      </c>
      <c r="J672" s="63">
        <f t="shared" ref="J672:J679" si="66">ROUNDUP(G672 / I672, 0)</f>
        <v>2</v>
      </c>
      <c r="K672" s="63">
        <f>VLOOKUP(H672,Manutention!A:E, 3, FALSE) * J672</f>
        <v>6</v>
      </c>
      <c r="L672" s="63" t="s">
        <v>164</v>
      </c>
      <c r="M672" s="63">
        <f>ROUNDUP(K672/VLOOKUP(L672,Camion!A:D, 3, FALSE),0)</f>
        <v>1</v>
      </c>
      <c r="N672" s="63">
        <f>INT(K672/VLOOKUP(L672,Camion!A:D, 3, FALSE))</f>
        <v>0</v>
      </c>
      <c r="O672" s="64">
        <f>ROUND(K672/VLOOKUP(L672,Camion!A:D, 3, FALSE) - N672,2)</f>
        <v>0.67</v>
      </c>
      <c r="P672" s="63" t="s">
        <v>130</v>
      </c>
    </row>
    <row r="673" spans="1:16" x14ac:dyDescent="0.25">
      <c r="A673" s="7">
        <v>31</v>
      </c>
      <c r="B673" s="62" t="s">
        <v>184</v>
      </c>
      <c r="C673" s="63" t="s">
        <v>1</v>
      </c>
      <c r="D673" s="63" t="s">
        <v>135</v>
      </c>
      <c r="E673" s="63" t="s">
        <v>72</v>
      </c>
      <c r="F673" s="63" t="s">
        <v>138</v>
      </c>
      <c r="G673" s="63">
        <v>710</v>
      </c>
      <c r="H673" s="63" t="s">
        <v>143</v>
      </c>
      <c r="I673" s="63">
        <f>INDEX(Matériel!A:Z, MATCH(E673, Matériel!A:A, 0), MATCH(H673, INDEX(Matériel!A:Z, MATCH(E673, Matériel!A:A, 0), 0), 0) + 1)</f>
        <v>1000</v>
      </c>
      <c r="J673" s="63">
        <f t="shared" si="66"/>
        <v>1</v>
      </c>
      <c r="K673" s="63">
        <f>VLOOKUP(H673,Manutention!A:E, 3, FALSE) * J673</f>
        <v>1</v>
      </c>
      <c r="L673" s="63" t="s">
        <v>164</v>
      </c>
      <c r="M673" s="63">
        <f>ROUNDUP(K673/VLOOKUP(L673,Camion!A:D, 3, FALSE),0)</f>
        <v>1</v>
      </c>
      <c r="N673" s="63">
        <f>INT(K673/VLOOKUP(L673,Camion!A:D, 3, FALSE))</f>
        <v>0</v>
      </c>
      <c r="O673" s="64">
        <f>ROUND(K673/VLOOKUP(L673,Camion!A:D, 3, FALSE) - N673,2)</f>
        <v>0.11</v>
      </c>
      <c r="P673" s="63" t="s">
        <v>130</v>
      </c>
    </row>
    <row r="674" spans="1:16" x14ac:dyDescent="0.25">
      <c r="A674" s="7">
        <v>31</v>
      </c>
      <c r="B674" s="62" t="s">
        <v>184</v>
      </c>
      <c r="C674" s="63" t="s">
        <v>1</v>
      </c>
      <c r="D674" s="63" t="s">
        <v>135</v>
      </c>
      <c r="E674" s="63" t="s">
        <v>75</v>
      </c>
      <c r="F674" s="63" t="s">
        <v>127</v>
      </c>
      <c r="G674" s="63">
        <v>36</v>
      </c>
      <c r="H674" s="63" t="s">
        <v>136</v>
      </c>
      <c r="I674" s="63">
        <f>INDEX(Matériel!A:Z, MATCH(E674, Matériel!A:A, 0), MATCH(H674, INDEX(Matériel!A:Z, MATCH(E674, Matériel!A:A, 0), 0), 0) + 1)</f>
        <v>60</v>
      </c>
      <c r="J674" s="63">
        <f t="shared" si="66"/>
        <v>1</v>
      </c>
      <c r="K674" s="63">
        <f>VLOOKUP(H674,Manutention!A:E, 3, FALSE) * J674</f>
        <v>1</v>
      </c>
      <c r="L674" s="63" t="s">
        <v>164</v>
      </c>
      <c r="M674" s="63">
        <f>ROUNDUP(K674/VLOOKUP(L674,Camion!A:D, 3, FALSE),0)</f>
        <v>1</v>
      </c>
      <c r="N674" s="63">
        <f>INT(K674/VLOOKUP(L674,Camion!A:D, 3, FALSE))</f>
        <v>0</v>
      </c>
      <c r="O674" s="64">
        <f>ROUND(K674/VLOOKUP(L674,Camion!A:D, 3, FALSE) - N674,2)</f>
        <v>0.11</v>
      </c>
      <c r="P674" s="63" t="s">
        <v>129</v>
      </c>
    </row>
    <row r="675" spans="1:16" x14ac:dyDescent="0.25">
      <c r="A675" s="7">
        <v>31</v>
      </c>
      <c r="B675" s="62" t="s">
        <v>184</v>
      </c>
      <c r="C675" s="63" t="s">
        <v>1</v>
      </c>
      <c r="D675" s="63" t="s">
        <v>128</v>
      </c>
      <c r="E675" s="63" t="s">
        <v>76</v>
      </c>
      <c r="F675" s="63" t="s">
        <v>127</v>
      </c>
      <c r="G675" s="63">
        <v>18</v>
      </c>
      <c r="H675" s="63" t="s">
        <v>131</v>
      </c>
      <c r="I675" s="63">
        <f>INDEX(Matériel!A:Z, MATCH(E675, Matériel!A:A, 0), MATCH(H675, INDEX(Matériel!A:Z, MATCH(E675, Matériel!A:A, 0), 0), 0) + 1)</f>
        <v>100</v>
      </c>
      <c r="J675" s="63">
        <f t="shared" si="66"/>
        <v>1</v>
      </c>
      <c r="K675" s="63">
        <f>VLOOKUP(H675,Manutention!A:E, 3, FALSE) * J675</f>
        <v>1</v>
      </c>
      <c r="L675" s="63" t="s">
        <v>164</v>
      </c>
      <c r="M675" s="63">
        <f>ROUNDUP(K675/VLOOKUP(L675,Camion!A:D, 3, FALSE),0)</f>
        <v>1</v>
      </c>
      <c r="N675" s="63">
        <f>INT(K675/VLOOKUP(L675,Camion!A:D, 3, FALSE))</f>
        <v>0</v>
      </c>
      <c r="O675" s="64">
        <f>ROUND(K675/VLOOKUP(L675,Camion!A:D, 3, FALSE) - N675,2)</f>
        <v>0.11</v>
      </c>
      <c r="P675" s="63" t="s">
        <v>129</v>
      </c>
    </row>
    <row r="676" spans="1:16" x14ac:dyDescent="0.25">
      <c r="A676" s="7">
        <v>31</v>
      </c>
      <c r="B676" s="62" t="s">
        <v>184</v>
      </c>
      <c r="C676" s="63" t="s">
        <v>1</v>
      </c>
      <c r="D676" s="63" t="s">
        <v>135</v>
      </c>
      <c r="E676" s="63" t="s">
        <v>77</v>
      </c>
      <c r="F676" s="63" t="s">
        <v>127</v>
      </c>
      <c r="G676" s="63">
        <v>152</v>
      </c>
      <c r="H676" s="63" t="s">
        <v>131</v>
      </c>
      <c r="I676" s="63">
        <f>INDEX(Matériel!A:Z, MATCH(E676, Matériel!A:A, 0), MATCH(H676, INDEX(Matériel!A:Z, MATCH(E676, Matériel!A:A, 0), 0), 0) + 1)</f>
        <v>20</v>
      </c>
      <c r="J676" s="63">
        <f t="shared" si="66"/>
        <v>8</v>
      </c>
      <c r="K676" s="63">
        <f>VLOOKUP(H676,Manutention!A:E, 3, FALSE) * J676</f>
        <v>8</v>
      </c>
      <c r="L676" s="63" t="s">
        <v>164</v>
      </c>
      <c r="M676" s="63">
        <f>ROUNDUP(K676/VLOOKUP(L676,Camion!A:D, 3, FALSE),0)</f>
        <v>1</v>
      </c>
      <c r="N676" s="63">
        <f>INT(K676/VLOOKUP(L676,Camion!A:D, 3, FALSE))</f>
        <v>0</v>
      </c>
      <c r="O676" s="64">
        <f>ROUND(K676/VLOOKUP(L676,Camion!A:D, 3, FALSE) - N676,2)</f>
        <v>0.89</v>
      </c>
      <c r="P676" s="63" t="s">
        <v>129</v>
      </c>
    </row>
    <row r="677" spans="1:16" x14ac:dyDescent="0.25">
      <c r="A677" s="7">
        <v>31</v>
      </c>
      <c r="B677" s="62" t="s">
        <v>184</v>
      </c>
      <c r="C677" s="63" t="s">
        <v>1</v>
      </c>
      <c r="D677" s="63" t="s">
        <v>135</v>
      </c>
      <c r="E677" s="63" t="s">
        <v>78</v>
      </c>
      <c r="F677" s="63" t="s">
        <v>127</v>
      </c>
      <c r="G677" s="63">
        <v>3</v>
      </c>
      <c r="H677" s="63" t="s">
        <v>133</v>
      </c>
      <c r="I677" s="63">
        <f>INDEX(Matériel!A:Z, MATCH(E677, Matériel!A:A, 0), MATCH(H677, INDEX(Matériel!A:Z, MATCH(E677, Matériel!A:A, 0), 0), 0) + 1)</f>
        <v>1</v>
      </c>
      <c r="J677" s="63">
        <f t="shared" si="66"/>
        <v>3</v>
      </c>
      <c r="K677" s="63">
        <f>VLOOKUP(H677,Manutention!A:E, 3, FALSE) * J677</f>
        <v>6</v>
      </c>
      <c r="L677" s="63" t="s">
        <v>164</v>
      </c>
      <c r="M677" s="63">
        <f>ROUNDUP(K677/VLOOKUP(L677,Camion!A:D, 3, FALSE),0)</f>
        <v>1</v>
      </c>
      <c r="N677" s="63">
        <f>INT(K677/VLOOKUP(L677,Camion!A:D, 3, FALSE))</f>
        <v>0</v>
      </c>
      <c r="O677" s="64">
        <f>ROUND(K677/VLOOKUP(L677,Camion!A:D, 3, FALSE) - N677,2)</f>
        <v>0.67</v>
      </c>
      <c r="P677" s="63" t="s">
        <v>129</v>
      </c>
    </row>
    <row r="678" spans="1:16" x14ac:dyDescent="0.25">
      <c r="A678" s="7">
        <v>31</v>
      </c>
      <c r="B678" s="62" t="s">
        <v>184</v>
      </c>
      <c r="C678" s="63" t="s">
        <v>1</v>
      </c>
      <c r="D678" s="63" t="s">
        <v>135</v>
      </c>
      <c r="E678" s="63" t="s">
        <v>79</v>
      </c>
      <c r="F678" s="63" t="s">
        <v>127</v>
      </c>
      <c r="G678" s="63">
        <v>2</v>
      </c>
      <c r="H678" s="63" t="s">
        <v>133</v>
      </c>
      <c r="I678" s="63">
        <f>INDEX(Matériel!A:Z, MATCH(E678, Matériel!A:A, 0), MATCH(H678, INDEX(Matériel!A:Z, MATCH(E678, Matériel!A:A, 0), 0), 0) + 1)</f>
        <v>1</v>
      </c>
      <c r="J678" s="63">
        <f t="shared" si="66"/>
        <v>2</v>
      </c>
      <c r="K678" s="63">
        <f>VLOOKUP(H678,Manutention!A:E, 3, FALSE) * J678</f>
        <v>4</v>
      </c>
      <c r="L678" s="63" t="s">
        <v>164</v>
      </c>
      <c r="M678" s="63">
        <f>ROUNDUP(K678/VLOOKUP(L678,Camion!A:D, 3, FALSE),0)</f>
        <v>1</v>
      </c>
      <c r="N678" s="63">
        <f>INT(K678/VLOOKUP(L678,Camion!A:D, 3, FALSE))</f>
        <v>0</v>
      </c>
      <c r="O678" s="64">
        <f>ROUND(K678/VLOOKUP(L678,Camion!A:D, 3, FALSE) - N678,2)</f>
        <v>0.44</v>
      </c>
      <c r="P678" s="63" t="s">
        <v>129</v>
      </c>
    </row>
    <row r="679" spans="1:16" x14ac:dyDescent="0.25">
      <c r="A679" s="7">
        <v>31</v>
      </c>
      <c r="B679" s="62" t="s">
        <v>184</v>
      </c>
      <c r="C679" s="63" t="s">
        <v>1</v>
      </c>
      <c r="D679" s="63" t="s">
        <v>128</v>
      </c>
      <c r="E679" s="63" t="s">
        <v>81</v>
      </c>
      <c r="F679" s="63" t="s">
        <v>127</v>
      </c>
      <c r="G679" s="63">
        <v>6</v>
      </c>
      <c r="H679" s="63" t="s">
        <v>131</v>
      </c>
      <c r="I679" s="63">
        <f>INDEX(Matériel!A:Z, MATCH(E679, Matériel!A:A, 0), MATCH(H679, INDEX(Matériel!A:Z, MATCH(E679, Matériel!A:A, 0), 0), 0) + 1)</f>
        <v>100</v>
      </c>
      <c r="J679" s="63">
        <f t="shared" si="66"/>
        <v>1</v>
      </c>
      <c r="K679" s="63">
        <f>VLOOKUP(H679,Manutention!A:E, 3, FALSE) * J679</f>
        <v>1</v>
      </c>
      <c r="L679" s="63" t="s">
        <v>164</v>
      </c>
      <c r="M679" s="63">
        <f>ROUNDUP(K679/VLOOKUP(L679,Camion!A:D, 3, FALSE),0)</f>
        <v>1</v>
      </c>
      <c r="N679" s="63">
        <f>INT(K679/VLOOKUP(L679,Camion!A:D, 3, FALSE))</f>
        <v>0</v>
      </c>
      <c r="O679" s="64">
        <f>ROUND(K679/VLOOKUP(L679,Camion!A:D, 3, FALSE) - N679,2)</f>
        <v>0.11</v>
      </c>
      <c r="P679" s="63" t="s">
        <v>130</v>
      </c>
    </row>
    <row r="680" spans="1:16" x14ac:dyDescent="0.25">
      <c r="A680" s="7">
        <v>31</v>
      </c>
      <c r="B680" s="5" t="s">
        <v>184</v>
      </c>
      <c r="C680" s="65"/>
      <c r="D680" s="65"/>
      <c r="E680" s="65" t="s">
        <v>187</v>
      </c>
      <c r="F680" s="65"/>
      <c r="G680" s="65"/>
      <c r="H680" s="65" t="s">
        <v>131</v>
      </c>
      <c r="I680" s="65"/>
      <c r="J680" s="65"/>
      <c r="K680" s="65">
        <f>SUMIFS(K:K, A:A, 31, B:B, "Z1 Z2", P:P, "Oui", D:D, "Production")</f>
        <v>1</v>
      </c>
      <c r="L680" s="65" t="s">
        <v>164</v>
      </c>
      <c r="M680" s="65">
        <f>ROUNDUP(K680/VLOOKUP(L680,Camion!A:D, 3, FALSE),0)</f>
        <v>1</v>
      </c>
      <c r="N680" s="65">
        <f>INT(K680/VLOOKUP(L680,Camion!A:D, 3, FALSE))</f>
        <v>0</v>
      </c>
      <c r="O680" s="66">
        <f>ROUND(K680/VLOOKUP(L680,Camion!A:D, 3, FALSE) - N680,2)</f>
        <v>0.11</v>
      </c>
      <c r="P680" s="65"/>
    </row>
    <row r="681" spans="1:16" x14ac:dyDescent="0.25">
      <c r="A681" s="7">
        <v>31</v>
      </c>
      <c r="B681" s="5" t="s">
        <v>184</v>
      </c>
      <c r="C681" s="65"/>
      <c r="D681" s="65"/>
      <c r="E681" s="65" t="s">
        <v>188</v>
      </c>
      <c r="F681" s="65"/>
      <c r="G681" s="65"/>
      <c r="H681" s="65" t="s">
        <v>131</v>
      </c>
      <c r="I681" s="65"/>
      <c r="J681" s="65"/>
      <c r="K681" s="65">
        <f>SUMIFS(K:K, A:A, 31, B:B, "Z1 Z2", P:P, "Oui", D:D, "Terminaux")</f>
        <v>19</v>
      </c>
      <c r="L681" s="65" t="s">
        <v>167</v>
      </c>
      <c r="M681" s="65">
        <f>ROUNDUP(K681/VLOOKUP(L681,Camion!A:D, 3, FALSE),0)</f>
        <v>1</v>
      </c>
      <c r="N681" s="65">
        <f>INT(K681/VLOOKUP(L681,Camion!A:D, 3, FALSE))</f>
        <v>0</v>
      </c>
      <c r="O681" s="66">
        <f>ROUND(K681/VLOOKUP(L681,Camion!A:D, 3, FALSE) - N681,2)</f>
        <v>0.95</v>
      </c>
      <c r="P681" s="65"/>
    </row>
    <row r="682" spans="1:16" x14ac:dyDescent="0.25">
      <c r="A682" s="7">
        <v>31</v>
      </c>
      <c r="B682" s="62" t="s">
        <v>185</v>
      </c>
      <c r="C682" s="63" t="s">
        <v>1</v>
      </c>
      <c r="D682" s="63" t="s">
        <v>128</v>
      </c>
      <c r="E682" s="63" t="s">
        <v>71</v>
      </c>
      <c r="F682" s="63" t="s">
        <v>138</v>
      </c>
      <c r="G682" s="63">
        <v>228</v>
      </c>
      <c r="H682" s="63" t="s">
        <v>139</v>
      </c>
      <c r="I682" s="63">
        <f>INDEX(Matériel!A:Z, MATCH(E682, Matériel!A:A, 0), MATCH(H682, INDEX(Matériel!A:Z, MATCH(E682, Matériel!A:A, 0), 0), 0) + 1)</f>
        <v>150</v>
      </c>
      <c r="J682" s="63">
        <f t="shared" ref="J682:J689" si="67">ROUNDUP(G682 / I682, 0)</f>
        <v>2</v>
      </c>
      <c r="K682" s="63">
        <f>VLOOKUP(H682,Manutention!A:E, 3, FALSE) * J682</f>
        <v>6</v>
      </c>
      <c r="L682" s="63" t="s">
        <v>164</v>
      </c>
      <c r="M682" s="63">
        <f>ROUNDUP(K682/VLOOKUP(L682,Camion!A:D, 3, FALSE),0)</f>
        <v>1</v>
      </c>
      <c r="N682" s="63">
        <f>INT(K682/VLOOKUP(L682,Camion!A:D, 3, FALSE))</f>
        <v>0</v>
      </c>
      <c r="O682" s="64">
        <f>ROUND(K682/VLOOKUP(L682,Camion!A:D, 3, FALSE) - N682,2)</f>
        <v>0.67</v>
      </c>
      <c r="P682" s="63" t="s">
        <v>130</v>
      </c>
    </row>
    <row r="683" spans="1:16" x14ac:dyDescent="0.25">
      <c r="A683" s="7">
        <v>31</v>
      </c>
      <c r="B683" s="62" t="s">
        <v>185</v>
      </c>
      <c r="C683" s="63" t="s">
        <v>1</v>
      </c>
      <c r="D683" s="63" t="s">
        <v>135</v>
      </c>
      <c r="E683" s="63" t="s">
        <v>72</v>
      </c>
      <c r="F683" s="63" t="s">
        <v>138</v>
      </c>
      <c r="G683" s="63">
        <v>700</v>
      </c>
      <c r="H683" s="63" t="s">
        <v>143</v>
      </c>
      <c r="I683" s="63">
        <f>INDEX(Matériel!A:Z, MATCH(E683, Matériel!A:A, 0), MATCH(H683, INDEX(Matériel!A:Z, MATCH(E683, Matériel!A:A, 0), 0), 0) + 1)</f>
        <v>1000</v>
      </c>
      <c r="J683" s="63">
        <f t="shared" si="67"/>
        <v>1</v>
      </c>
      <c r="K683" s="63">
        <f>VLOOKUP(H683,Manutention!A:E, 3, FALSE) * J683</f>
        <v>1</v>
      </c>
      <c r="L683" s="63" t="s">
        <v>164</v>
      </c>
      <c r="M683" s="63">
        <f>ROUNDUP(K683/VLOOKUP(L683,Camion!A:D, 3, FALSE),0)</f>
        <v>1</v>
      </c>
      <c r="N683" s="63">
        <f>INT(K683/VLOOKUP(L683,Camion!A:D, 3, FALSE))</f>
        <v>0</v>
      </c>
      <c r="O683" s="64">
        <f>ROUND(K683/VLOOKUP(L683,Camion!A:D, 3, FALSE) - N683,2)</f>
        <v>0.11</v>
      </c>
      <c r="P683" s="63" t="s">
        <v>130</v>
      </c>
    </row>
    <row r="684" spans="1:16" x14ac:dyDescent="0.25">
      <c r="A684" s="7">
        <v>31</v>
      </c>
      <c r="B684" s="62" t="s">
        <v>185</v>
      </c>
      <c r="C684" s="63" t="s">
        <v>1</v>
      </c>
      <c r="D684" s="63" t="s">
        <v>135</v>
      </c>
      <c r="E684" s="63" t="s">
        <v>75</v>
      </c>
      <c r="F684" s="63" t="s">
        <v>127</v>
      </c>
      <c r="G684" s="63">
        <v>36</v>
      </c>
      <c r="H684" s="63" t="s">
        <v>136</v>
      </c>
      <c r="I684" s="63">
        <f>INDEX(Matériel!A:Z, MATCH(E684, Matériel!A:A, 0), MATCH(H684, INDEX(Matériel!A:Z, MATCH(E684, Matériel!A:A, 0), 0), 0) + 1)</f>
        <v>60</v>
      </c>
      <c r="J684" s="63">
        <f t="shared" si="67"/>
        <v>1</v>
      </c>
      <c r="K684" s="63">
        <f>VLOOKUP(H684,Manutention!A:E, 3, FALSE) * J684</f>
        <v>1</v>
      </c>
      <c r="L684" s="63" t="s">
        <v>164</v>
      </c>
      <c r="M684" s="63">
        <f>ROUNDUP(K684/VLOOKUP(L684,Camion!A:D, 3, FALSE),0)</f>
        <v>1</v>
      </c>
      <c r="N684" s="63">
        <f>INT(K684/VLOOKUP(L684,Camion!A:D, 3, FALSE))</f>
        <v>0</v>
      </c>
      <c r="O684" s="64">
        <f>ROUND(K684/VLOOKUP(L684,Camion!A:D, 3, FALSE) - N684,2)</f>
        <v>0.11</v>
      </c>
      <c r="P684" s="63" t="s">
        <v>129</v>
      </c>
    </row>
    <row r="685" spans="1:16" x14ac:dyDescent="0.25">
      <c r="A685" s="7">
        <v>31</v>
      </c>
      <c r="B685" s="62" t="s">
        <v>185</v>
      </c>
      <c r="C685" s="63" t="s">
        <v>1</v>
      </c>
      <c r="D685" s="63" t="s">
        <v>128</v>
      </c>
      <c r="E685" s="63" t="s">
        <v>76</v>
      </c>
      <c r="F685" s="63" t="s">
        <v>127</v>
      </c>
      <c r="G685" s="63">
        <v>18</v>
      </c>
      <c r="H685" s="63" t="s">
        <v>131</v>
      </c>
      <c r="I685" s="63">
        <f>INDEX(Matériel!A:Z, MATCH(E685, Matériel!A:A, 0), MATCH(H685, INDEX(Matériel!A:Z, MATCH(E685, Matériel!A:A, 0), 0), 0) + 1)</f>
        <v>100</v>
      </c>
      <c r="J685" s="63">
        <f t="shared" si="67"/>
        <v>1</v>
      </c>
      <c r="K685" s="63">
        <f>VLOOKUP(H685,Manutention!A:E, 3, FALSE) * J685</f>
        <v>1</v>
      </c>
      <c r="L685" s="63" t="s">
        <v>164</v>
      </c>
      <c r="M685" s="63">
        <f>ROUNDUP(K685/VLOOKUP(L685,Camion!A:D, 3, FALSE),0)</f>
        <v>1</v>
      </c>
      <c r="N685" s="63">
        <f>INT(K685/VLOOKUP(L685,Camion!A:D, 3, FALSE))</f>
        <v>0</v>
      </c>
      <c r="O685" s="64">
        <f>ROUND(K685/VLOOKUP(L685,Camion!A:D, 3, FALSE) - N685,2)</f>
        <v>0.11</v>
      </c>
      <c r="P685" s="63" t="s">
        <v>129</v>
      </c>
    </row>
    <row r="686" spans="1:16" x14ac:dyDescent="0.25">
      <c r="A686" s="7">
        <v>31</v>
      </c>
      <c r="B686" s="62" t="s">
        <v>185</v>
      </c>
      <c r="C686" s="63" t="s">
        <v>1</v>
      </c>
      <c r="D686" s="63" t="s">
        <v>135</v>
      </c>
      <c r="E686" s="63" t="s">
        <v>77</v>
      </c>
      <c r="F686" s="63" t="s">
        <v>127</v>
      </c>
      <c r="G686" s="63">
        <v>149</v>
      </c>
      <c r="H686" s="63" t="s">
        <v>131</v>
      </c>
      <c r="I686" s="63">
        <f>INDEX(Matériel!A:Z, MATCH(E686, Matériel!A:A, 0), MATCH(H686, INDEX(Matériel!A:Z, MATCH(E686, Matériel!A:A, 0), 0), 0) + 1)</f>
        <v>20</v>
      </c>
      <c r="J686" s="63">
        <f t="shared" si="67"/>
        <v>8</v>
      </c>
      <c r="K686" s="63">
        <f>VLOOKUP(H686,Manutention!A:E, 3, FALSE) * J686</f>
        <v>8</v>
      </c>
      <c r="L686" s="63" t="s">
        <v>164</v>
      </c>
      <c r="M686" s="63">
        <f>ROUNDUP(K686/VLOOKUP(L686,Camion!A:D, 3, FALSE),0)</f>
        <v>1</v>
      </c>
      <c r="N686" s="63">
        <f>INT(K686/VLOOKUP(L686,Camion!A:D, 3, FALSE))</f>
        <v>0</v>
      </c>
      <c r="O686" s="64">
        <f>ROUND(K686/VLOOKUP(L686,Camion!A:D, 3, FALSE) - N686,2)</f>
        <v>0.89</v>
      </c>
      <c r="P686" s="63" t="s">
        <v>129</v>
      </c>
    </row>
    <row r="687" spans="1:16" x14ac:dyDescent="0.25">
      <c r="A687" s="7">
        <v>31</v>
      </c>
      <c r="B687" s="62" t="s">
        <v>185</v>
      </c>
      <c r="C687" s="63" t="s">
        <v>1</v>
      </c>
      <c r="D687" s="63" t="s">
        <v>135</v>
      </c>
      <c r="E687" s="63" t="s">
        <v>78</v>
      </c>
      <c r="F687" s="63" t="s">
        <v>127</v>
      </c>
      <c r="G687" s="63">
        <v>3</v>
      </c>
      <c r="H687" s="63" t="s">
        <v>133</v>
      </c>
      <c r="I687" s="63">
        <f>INDEX(Matériel!A:Z, MATCH(E687, Matériel!A:A, 0), MATCH(H687, INDEX(Matériel!A:Z, MATCH(E687, Matériel!A:A, 0), 0), 0) + 1)</f>
        <v>1</v>
      </c>
      <c r="J687" s="63">
        <f t="shared" si="67"/>
        <v>3</v>
      </c>
      <c r="K687" s="63">
        <f>VLOOKUP(H687,Manutention!A:E, 3, FALSE) * J687</f>
        <v>6</v>
      </c>
      <c r="L687" s="63" t="s">
        <v>164</v>
      </c>
      <c r="M687" s="63">
        <f>ROUNDUP(K687/VLOOKUP(L687,Camion!A:D, 3, FALSE),0)</f>
        <v>1</v>
      </c>
      <c r="N687" s="63">
        <f>INT(K687/VLOOKUP(L687,Camion!A:D, 3, FALSE))</f>
        <v>0</v>
      </c>
      <c r="O687" s="64">
        <f>ROUND(K687/VLOOKUP(L687,Camion!A:D, 3, FALSE) - N687,2)</f>
        <v>0.67</v>
      </c>
      <c r="P687" s="63" t="s">
        <v>129</v>
      </c>
    </row>
    <row r="688" spans="1:16" x14ac:dyDescent="0.25">
      <c r="A688" s="7">
        <v>31</v>
      </c>
      <c r="B688" s="62" t="s">
        <v>185</v>
      </c>
      <c r="C688" s="63" t="s">
        <v>1</v>
      </c>
      <c r="D688" s="63" t="s">
        <v>135</v>
      </c>
      <c r="E688" s="63" t="s">
        <v>79</v>
      </c>
      <c r="F688" s="63" t="s">
        <v>127</v>
      </c>
      <c r="G688" s="63">
        <v>2</v>
      </c>
      <c r="H688" s="63" t="s">
        <v>133</v>
      </c>
      <c r="I688" s="63">
        <f>INDEX(Matériel!A:Z, MATCH(E688, Matériel!A:A, 0), MATCH(H688, INDEX(Matériel!A:Z, MATCH(E688, Matériel!A:A, 0), 0), 0) + 1)</f>
        <v>1</v>
      </c>
      <c r="J688" s="63">
        <f t="shared" si="67"/>
        <v>2</v>
      </c>
      <c r="K688" s="63">
        <f>VLOOKUP(H688,Manutention!A:E, 3, FALSE) * J688</f>
        <v>4</v>
      </c>
      <c r="L688" s="63" t="s">
        <v>164</v>
      </c>
      <c r="M688" s="63">
        <f>ROUNDUP(K688/VLOOKUP(L688,Camion!A:D, 3, FALSE),0)</f>
        <v>1</v>
      </c>
      <c r="N688" s="63">
        <f>INT(K688/VLOOKUP(L688,Camion!A:D, 3, FALSE))</f>
        <v>0</v>
      </c>
      <c r="O688" s="64">
        <f>ROUND(K688/VLOOKUP(L688,Camion!A:D, 3, FALSE) - N688,2)</f>
        <v>0.44</v>
      </c>
      <c r="P688" s="63" t="s">
        <v>129</v>
      </c>
    </row>
    <row r="689" spans="1:16" x14ac:dyDescent="0.25">
      <c r="A689" s="7">
        <v>31</v>
      </c>
      <c r="B689" s="62" t="s">
        <v>185</v>
      </c>
      <c r="C689" s="63" t="s">
        <v>1</v>
      </c>
      <c r="D689" s="63" t="s">
        <v>128</v>
      </c>
      <c r="E689" s="63" t="s">
        <v>81</v>
      </c>
      <c r="F689" s="63" t="s">
        <v>127</v>
      </c>
      <c r="G689" s="63">
        <v>6</v>
      </c>
      <c r="H689" s="63" t="s">
        <v>131</v>
      </c>
      <c r="I689" s="63">
        <f>INDEX(Matériel!A:Z, MATCH(E689, Matériel!A:A, 0), MATCH(H689, INDEX(Matériel!A:Z, MATCH(E689, Matériel!A:A, 0), 0), 0) + 1)</f>
        <v>100</v>
      </c>
      <c r="J689" s="63">
        <f t="shared" si="67"/>
        <v>1</v>
      </c>
      <c r="K689" s="63">
        <f>VLOOKUP(H689,Manutention!A:E, 3, FALSE) * J689</f>
        <v>1</v>
      </c>
      <c r="L689" s="63" t="s">
        <v>164</v>
      </c>
      <c r="M689" s="63">
        <f>ROUNDUP(K689/VLOOKUP(L689,Camion!A:D, 3, FALSE),0)</f>
        <v>1</v>
      </c>
      <c r="N689" s="63">
        <f>INT(K689/VLOOKUP(L689,Camion!A:D, 3, FALSE))</f>
        <v>0</v>
      </c>
      <c r="O689" s="64">
        <f>ROUND(K689/VLOOKUP(L689,Camion!A:D, 3, FALSE) - N689,2)</f>
        <v>0.11</v>
      </c>
      <c r="P689" s="63" t="s">
        <v>130</v>
      </c>
    </row>
    <row r="690" spans="1:16" x14ac:dyDescent="0.25">
      <c r="A690" s="7">
        <v>31</v>
      </c>
      <c r="B690" s="5" t="s">
        <v>185</v>
      </c>
      <c r="C690" s="65"/>
      <c r="D690" s="65"/>
      <c r="E690" s="65" t="s">
        <v>187</v>
      </c>
      <c r="F690" s="65"/>
      <c r="G690" s="65"/>
      <c r="H690" s="65" t="s">
        <v>131</v>
      </c>
      <c r="I690" s="65"/>
      <c r="J690" s="65"/>
      <c r="K690" s="65">
        <f>SUMIFS(K:K, A:A, 31, B:B, "Z3 Z4", P:P, "Oui", D:D, "Production")</f>
        <v>1</v>
      </c>
      <c r="L690" s="65" t="s">
        <v>164</v>
      </c>
      <c r="M690" s="65">
        <f>ROUNDUP(K690/VLOOKUP(L690,Camion!A:D, 3, FALSE),0)</f>
        <v>1</v>
      </c>
      <c r="N690" s="65">
        <f>INT(K690/VLOOKUP(L690,Camion!A:D, 3, FALSE))</f>
        <v>0</v>
      </c>
      <c r="O690" s="66">
        <f>ROUND(K690/VLOOKUP(L690,Camion!A:D, 3, FALSE) - N690,2)</f>
        <v>0.11</v>
      </c>
      <c r="P690" s="65"/>
    </row>
    <row r="691" spans="1:16" x14ac:dyDescent="0.25">
      <c r="A691" s="7">
        <v>31</v>
      </c>
      <c r="B691" s="5" t="s">
        <v>185</v>
      </c>
      <c r="C691" s="65"/>
      <c r="D691" s="65"/>
      <c r="E691" s="65" t="s">
        <v>188</v>
      </c>
      <c r="F691" s="65"/>
      <c r="G691" s="65"/>
      <c r="H691" s="65" t="s">
        <v>131</v>
      </c>
      <c r="I691" s="65"/>
      <c r="J691" s="65"/>
      <c r="K691" s="65">
        <f>SUMIFS(K:K, A:A, 31, B:B, "Z3 Z4", P:P, "Oui", D:D, "Terminaux")</f>
        <v>19</v>
      </c>
      <c r="L691" s="65" t="s">
        <v>167</v>
      </c>
      <c r="M691" s="65">
        <f>ROUNDUP(K691/VLOOKUP(L691,Camion!A:D, 3, FALSE),0)</f>
        <v>1</v>
      </c>
      <c r="N691" s="65">
        <f>INT(K691/VLOOKUP(L691,Camion!A:D, 3, FALSE))</f>
        <v>0</v>
      </c>
      <c r="O691" s="66">
        <f>ROUND(K691/VLOOKUP(L691,Camion!A:D, 3, FALSE) - N691,2)</f>
        <v>0.95</v>
      </c>
      <c r="P691" s="65"/>
    </row>
    <row r="692" spans="1:16" x14ac:dyDescent="0.25">
      <c r="A692" s="7">
        <v>32</v>
      </c>
      <c r="B692" s="62" t="s">
        <v>184</v>
      </c>
      <c r="C692" s="63" t="s">
        <v>1</v>
      </c>
      <c r="D692" s="63" t="s">
        <v>128</v>
      </c>
      <c r="E692" s="63" t="s">
        <v>71</v>
      </c>
      <c r="F692" s="63" t="s">
        <v>138</v>
      </c>
      <c r="G692" s="63">
        <v>225</v>
      </c>
      <c r="H692" s="63" t="s">
        <v>139</v>
      </c>
      <c r="I692" s="63">
        <f>INDEX(Matériel!A:Z, MATCH(E692, Matériel!A:A, 0), MATCH(H692, INDEX(Matériel!A:Z, MATCH(E692, Matériel!A:A, 0), 0), 0) + 1)</f>
        <v>150</v>
      </c>
      <c r="J692" s="63">
        <f t="shared" ref="J692:J699" si="68">ROUNDUP(G692 / I692, 0)</f>
        <v>2</v>
      </c>
      <c r="K692" s="63">
        <f>VLOOKUP(H692,Manutention!A:E, 3, FALSE) * J692</f>
        <v>6</v>
      </c>
      <c r="L692" s="63" t="s">
        <v>164</v>
      </c>
      <c r="M692" s="63">
        <f>ROUNDUP(K692/VLOOKUP(L692,Camion!A:D, 3, FALSE),0)</f>
        <v>1</v>
      </c>
      <c r="N692" s="63">
        <f>INT(K692/VLOOKUP(L692,Camion!A:D, 3, FALSE))</f>
        <v>0</v>
      </c>
      <c r="O692" s="64">
        <f>ROUND(K692/VLOOKUP(L692,Camion!A:D, 3, FALSE) - N692,2)</f>
        <v>0.67</v>
      </c>
      <c r="P692" s="63" t="s">
        <v>130</v>
      </c>
    </row>
    <row r="693" spans="1:16" x14ac:dyDescent="0.25">
      <c r="A693" s="7">
        <v>32</v>
      </c>
      <c r="B693" s="62" t="s">
        <v>184</v>
      </c>
      <c r="C693" s="63" t="s">
        <v>1</v>
      </c>
      <c r="D693" s="63" t="s">
        <v>135</v>
      </c>
      <c r="E693" s="63" t="s">
        <v>72</v>
      </c>
      <c r="F693" s="63" t="s">
        <v>138</v>
      </c>
      <c r="G693" s="63">
        <v>689</v>
      </c>
      <c r="H693" s="63" t="s">
        <v>143</v>
      </c>
      <c r="I693" s="63">
        <f>INDEX(Matériel!A:Z, MATCH(E693, Matériel!A:A, 0), MATCH(H693, INDEX(Matériel!A:Z, MATCH(E693, Matériel!A:A, 0), 0), 0) + 1)</f>
        <v>1000</v>
      </c>
      <c r="J693" s="63">
        <f t="shared" si="68"/>
        <v>1</v>
      </c>
      <c r="K693" s="63">
        <f>VLOOKUP(H693,Manutention!A:E, 3, FALSE) * J693</f>
        <v>1</v>
      </c>
      <c r="L693" s="63" t="s">
        <v>164</v>
      </c>
      <c r="M693" s="63">
        <f>ROUNDUP(K693/VLOOKUP(L693,Camion!A:D, 3, FALSE),0)</f>
        <v>1</v>
      </c>
      <c r="N693" s="63">
        <f>INT(K693/VLOOKUP(L693,Camion!A:D, 3, FALSE))</f>
        <v>0</v>
      </c>
      <c r="O693" s="64">
        <f>ROUND(K693/VLOOKUP(L693,Camion!A:D, 3, FALSE) - N693,2)</f>
        <v>0.11</v>
      </c>
      <c r="P693" s="63" t="s">
        <v>130</v>
      </c>
    </row>
    <row r="694" spans="1:16" x14ac:dyDescent="0.25">
      <c r="A694" s="7">
        <v>32</v>
      </c>
      <c r="B694" s="62" t="s">
        <v>184</v>
      </c>
      <c r="C694" s="63" t="s">
        <v>1</v>
      </c>
      <c r="D694" s="63" t="s">
        <v>135</v>
      </c>
      <c r="E694" s="63" t="s">
        <v>75</v>
      </c>
      <c r="F694" s="63" t="s">
        <v>127</v>
      </c>
      <c r="G694" s="63">
        <v>35</v>
      </c>
      <c r="H694" s="63" t="s">
        <v>136</v>
      </c>
      <c r="I694" s="63">
        <f>INDEX(Matériel!A:Z, MATCH(E694, Matériel!A:A, 0), MATCH(H694, INDEX(Matériel!A:Z, MATCH(E694, Matériel!A:A, 0), 0), 0) + 1)</f>
        <v>60</v>
      </c>
      <c r="J694" s="63">
        <f t="shared" si="68"/>
        <v>1</v>
      </c>
      <c r="K694" s="63">
        <f>VLOOKUP(H694,Manutention!A:E, 3, FALSE) * J694</f>
        <v>1</v>
      </c>
      <c r="L694" s="63" t="s">
        <v>164</v>
      </c>
      <c r="M694" s="63">
        <f>ROUNDUP(K694/VLOOKUP(L694,Camion!A:D, 3, FALSE),0)</f>
        <v>1</v>
      </c>
      <c r="N694" s="63">
        <f>INT(K694/VLOOKUP(L694,Camion!A:D, 3, FALSE))</f>
        <v>0</v>
      </c>
      <c r="O694" s="64">
        <f>ROUND(K694/VLOOKUP(L694,Camion!A:D, 3, FALSE) - N694,2)</f>
        <v>0.11</v>
      </c>
      <c r="P694" s="63" t="s">
        <v>129</v>
      </c>
    </row>
    <row r="695" spans="1:16" x14ac:dyDescent="0.25">
      <c r="A695" s="7">
        <v>32</v>
      </c>
      <c r="B695" s="62" t="s">
        <v>184</v>
      </c>
      <c r="C695" s="63" t="s">
        <v>1</v>
      </c>
      <c r="D695" s="63" t="s">
        <v>128</v>
      </c>
      <c r="E695" s="63" t="s">
        <v>76</v>
      </c>
      <c r="F695" s="63" t="s">
        <v>127</v>
      </c>
      <c r="G695" s="63">
        <v>17</v>
      </c>
      <c r="H695" s="63" t="s">
        <v>131</v>
      </c>
      <c r="I695" s="63">
        <f>INDEX(Matériel!A:Z, MATCH(E695, Matériel!A:A, 0), MATCH(H695, INDEX(Matériel!A:Z, MATCH(E695, Matériel!A:A, 0), 0), 0) + 1)</f>
        <v>100</v>
      </c>
      <c r="J695" s="63">
        <f t="shared" si="68"/>
        <v>1</v>
      </c>
      <c r="K695" s="63">
        <f>VLOOKUP(H695,Manutention!A:E, 3, FALSE) * J695</f>
        <v>1</v>
      </c>
      <c r="L695" s="63" t="s">
        <v>164</v>
      </c>
      <c r="M695" s="63">
        <f>ROUNDUP(K695/VLOOKUP(L695,Camion!A:D, 3, FALSE),0)</f>
        <v>1</v>
      </c>
      <c r="N695" s="63">
        <f>INT(K695/VLOOKUP(L695,Camion!A:D, 3, FALSE))</f>
        <v>0</v>
      </c>
      <c r="O695" s="64">
        <f>ROUND(K695/VLOOKUP(L695,Camion!A:D, 3, FALSE) - N695,2)</f>
        <v>0.11</v>
      </c>
      <c r="P695" s="63" t="s">
        <v>129</v>
      </c>
    </row>
    <row r="696" spans="1:16" x14ac:dyDescent="0.25">
      <c r="A696" s="7">
        <v>32</v>
      </c>
      <c r="B696" s="62" t="s">
        <v>184</v>
      </c>
      <c r="C696" s="63" t="s">
        <v>1</v>
      </c>
      <c r="D696" s="63" t="s">
        <v>135</v>
      </c>
      <c r="E696" s="63" t="s">
        <v>77</v>
      </c>
      <c r="F696" s="63" t="s">
        <v>127</v>
      </c>
      <c r="G696" s="63">
        <v>147</v>
      </c>
      <c r="H696" s="63" t="s">
        <v>131</v>
      </c>
      <c r="I696" s="63">
        <f>INDEX(Matériel!A:Z, MATCH(E696, Matériel!A:A, 0), MATCH(H696, INDEX(Matériel!A:Z, MATCH(E696, Matériel!A:A, 0), 0), 0) + 1)</f>
        <v>20</v>
      </c>
      <c r="J696" s="63">
        <f t="shared" si="68"/>
        <v>8</v>
      </c>
      <c r="K696" s="63">
        <f>VLOOKUP(H696,Manutention!A:E, 3, FALSE) * J696</f>
        <v>8</v>
      </c>
      <c r="L696" s="63" t="s">
        <v>164</v>
      </c>
      <c r="M696" s="63">
        <f>ROUNDUP(K696/VLOOKUP(L696,Camion!A:D, 3, FALSE),0)</f>
        <v>1</v>
      </c>
      <c r="N696" s="63">
        <f>INT(K696/VLOOKUP(L696,Camion!A:D, 3, FALSE))</f>
        <v>0</v>
      </c>
      <c r="O696" s="64">
        <f>ROUND(K696/VLOOKUP(L696,Camion!A:D, 3, FALSE) - N696,2)</f>
        <v>0.89</v>
      </c>
      <c r="P696" s="63" t="s">
        <v>129</v>
      </c>
    </row>
    <row r="697" spans="1:16" x14ac:dyDescent="0.25">
      <c r="A697" s="7">
        <v>32</v>
      </c>
      <c r="B697" s="62" t="s">
        <v>184</v>
      </c>
      <c r="C697" s="63" t="s">
        <v>1</v>
      </c>
      <c r="D697" s="63" t="s">
        <v>135</v>
      </c>
      <c r="E697" s="63" t="s">
        <v>78</v>
      </c>
      <c r="F697" s="63" t="s">
        <v>127</v>
      </c>
      <c r="G697" s="63">
        <v>3</v>
      </c>
      <c r="H697" s="63" t="s">
        <v>133</v>
      </c>
      <c r="I697" s="63">
        <f>INDEX(Matériel!A:Z, MATCH(E697, Matériel!A:A, 0), MATCH(H697, INDEX(Matériel!A:Z, MATCH(E697, Matériel!A:A, 0), 0), 0) + 1)</f>
        <v>1</v>
      </c>
      <c r="J697" s="63">
        <f t="shared" si="68"/>
        <v>3</v>
      </c>
      <c r="K697" s="63">
        <f>VLOOKUP(H697,Manutention!A:E, 3, FALSE) * J697</f>
        <v>6</v>
      </c>
      <c r="L697" s="63" t="s">
        <v>164</v>
      </c>
      <c r="M697" s="63">
        <f>ROUNDUP(K697/VLOOKUP(L697,Camion!A:D, 3, FALSE),0)</f>
        <v>1</v>
      </c>
      <c r="N697" s="63">
        <f>INT(K697/VLOOKUP(L697,Camion!A:D, 3, FALSE))</f>
        <v>0</v>
      </c>
      <c r="O697" s="64">
        <f>ROUND(K697/VLOOKUP(L697,Camion!A:D, 3, FALSE) - N697,2)</f>
        <v>0.67</v>
      </c>
      <c r="P697" s="63" t="s">
        <v>129</v>
      </c>
    </row>
    <row r="698" spans="1:16" x14ac:dyDescent="0.25">
      <c r="A698" s="7">
        <v>32</v>
      </c>
      <c r="B698" s="62" t="s">
        <v>184</v>
      </c>
      <c r="C698" s="63" t="s">
        <v>1</v>
      </c>
      <c r="D698" s="63" t="s">
        <v>135</v>
      </c>
      <c r="E698" s="63" t="s">
        <v>79</v>
      </c>
      <c r="F698" s="63" t="s">
        <v>127</v>
      </c>
      <c r="G698" s="63">
        <v>2</v>
      </c>
      <c r="H698" s="63" t="s">
        <v>133</v>
      </c>
      <c r="I698" s="63">
        <f>INDEX(Matériel!A:Z, MATCH(E698, Matériel!A:A, 0), MATCH(H698, INDEX(Matériel!A:Z, MATCH(E698, Matériel!A:A, 0), 0), 0) + 1)</f>
        <v>1</v>
      </c>
      <c r="J698" s="63">
        <f t="shared" si="68"/>
        <v>2</v>
      </c>
      <c r="K698" s="63">
        <f>VLOOKUP(H698,Manutention!A:E, 3, FALSE) * J698</f>
        <v>4</v>
      </c>
      <c r="L698" s="63" t="s">
        <v>164</v>
      </c>
      <c r="M698" s="63">
        <f>ROUNDUP(K698/VLOOKUP(L698,Camion!A:D, 3, FALSE),0)</f>
        <v>1</v>
      </c>
      <c r="N698" s="63">
        <f>INT(K698/VLOOKUP(L698,Camion!A:D, 3, FALSE))</f>
        <v>0</v>
      </c>
      <c r="O698" s="64">
        <f>ROUND(K698/VLOOKUP(L698,Camion!A:D, 3, FALSE) - N698,2)</f>
        <v>0.44</v>
      </c>
      <c r="P698" s="63" t="s">
        <v>129</v>
      </c>
    </row>
    <row r="699" spans="1:16" x14ac:dyDescent="0.25">
      <c r="A699" s="7">
        <v>32</v>
      </c>
      <c r="B699" s="62" t="s">
        <v>184</v>
      </c>
      <c r="C699" s="63" t="s">
        <v>1</v>
      </c>
      <c r="D699" s="63" t="s">
        <v>128</v>
      </c>
      <c r="E699" s="63" t="s">
        <v>81</v>
      </c>
      <c r="F699" s="63" t="s">
        <v>127</v>
      </c>
      <c r="G699" s="63">
        <v>6</v>
      </c>
      <c r="H699" s="63" t="s">
        <v>131</v>
      </c>
      <c r="I699" s="63">
        <f>INDEX(Matériel!A:Z, MATCH(E699, Matériel!A:A, 0), MATCH(H699, INDEX(Matériel!A:Z, MATCH(E699, Matériel!A:A, 0), 0), 0) + 1)</f>
        <v>100</v>
      </c>
      <c r="J699" s="63">
        <f t="shared" si="68"/>
        <v>1</v>
      </c>
      <c r="K699" s="63">
        <f>VLOOKUP(H699,Manutention!A:E, 3, FALSE) * J699</f>
        <v>1</v>
      </c>
      <c r="L699" s="63" t="s">
        <v>164</v>
      </c>
      <c r="M699" s="63">
        <f>ROUNDUP(K699/VLOOKUP(L699,Camion!A:D, 3, FALSE),0)</f>
        <v>1</v>
      </c>
      <c r="N699" s="63">
        <f>INT(K699/VLOOKUP(L699,Camion!A:D, 3, FALSE))</f>
        <v>0</v>
      </c>
      <c r="O699" s="64">
        <f>ROUND(K699/VLOOKUP(L699,Camion!A:D, 3, FALSE) - N699,2)</f>
        <v>0.11</v>
      </c>
      <c r="P699" s="63" t="s">
        <v>130</v>
      </c>
    </row>
    <row r="700" spans="1:16" x14ac:dyDescent="0.25">
      <c r="A700" s="7">
        <v>32</v>
      </c>
      <c r="B700" s="5" t="s">
        <v>184</v>
      </c>
      <c r="C700" s="65"/>
      <c r="D700" s="65"/>
      <c r="E700" s="65" t="s">
        <v>187</v>
      </c>
      <c r="F700" s="65"/>
      <c r="G700" s="65"/>
      <c r="H700" s="65" t="s">
        <v>131</v>
      </c>
      <c r="I700" s="65"/>
      <c r="J700" s="65"/>
      <c r="K700" s="65">
        <f>SUMIFS(K:K, A:A, 32, B:B, "Z1 Z2", P:P, "Oui", D:D, "Production")</f>
        <v>1</v>
      </c>
      <c r="L700" s="65" t="s">
        <v>164</v>
      </c>
      <c r="M700" s="65">
        <f>ROUNDUP(K700/VLOOKUP(L700,Camion!A:D, 3, FALSE),0)</f>
        <v>1</v>
      </c>
      <c r="N700" s="65">
        <f>INT(K700/VLOOKUP(L700,Camion!A:D, 3, FALSE))</f>
        <v>0</v>
      </c>
      <c r="O700" s="66">
        <f>ROUND(K700/VLOOKUP(L700,Camion!A:D, 3, FALSE) - N700,2)</f>
        <v>0.11</v>
      </c>
      <c r="P700" s="65"/>
    </row>
    <row r="701" spans="1:16" x14ac:dyDescent="0.25">
      <c r="A701" s="7">
        <v>32</v>
      </c>
      <c r="B701" s="5" t="s">
        <v>184</v>
      </c>
      <c r="C701" s="65"/>
      <c r="D701" s="65"/>
      <c r="E701" s="65" t="s">
        <v>188</v>
      </c>
      <c r="F701" s="65"/>
      <c r="G701" s="65"/>
      <c r="H701" s="65" t="s">
        <v>131</v>
      </c>
      <c r="I701" s="65"/>
      <c r="J701" s="65"/>
      <c r="K701" s="65">
        <f>SUMIFS(K:K, A:A, 32, B:B, "Z1 Z2", P:P, "Oui", D:D, "Terminaux")</f>
        <v>19</v>
      </c>
      <c r="L701" s="65" t="s">
        <v>167</v>
      </c>
      <c r="M701" s="65">
        <f>ROUNDUP(K701/VLOOKUP(L701,Camion!A:D, 3, FALSE),0)</f>
        <v>1</v>
      </c>
      <c r="N701" s="65">
        <f>INT(K701/VLOOKUP(L701,Camion!A:D, 3, FALSE))</f>
        <v>0</v>
      </c>
      <c r="O701" s="66">
        <f>ROUND(K701/VLOOKUP(L701,Camion!A:D, 3, FALSE) - N701,2)</f>
        <v>0.95</v>
      </c>
      <c r="P701" s="65"/>
    </row>
    <row r="702" spans="1:16" x14ac:dyDescent="0.25">
      <c r="A702" s="7">
        <v>32</v>
      </c>
      <c r="B702" s="62" t="s">
        <v>185</v>
      </c>
      <c r="C702" s="63" t="s">
        <v>1</v>
      </c>
      <c r="D702" s="63" t="s">
        <v>128</v>
      </c>
      <c r="E702" s="63" t="s">
        <v>71</v>
      </c>
      <c r="F702" s="63" t="s">
        <v>138</v>
      </c>
      <c r="G702" s="63">
        <v>222</v>
      </c>
      <c r="H702" s="63" t="s">
        <v>139</v>
      </c>
      <c r="I702" s="63">
        <f>INDEX(Matériel!A:Z, MATCH(E702, Matériel!A:A, 0), MATCH(H702, INDEX(Matériel!A:Z, MATCH(E702, Matériel!A:A, 0), 0), 0) + 1)</f>
        <v>150</v>
      </c>
      <c r="J702" s="63">
        <f t="shared" ref="J702:J709" si="69">ROUNDUP(G702 / I702, 0)</f>
        <v>2</v>
      </c>
      <c r="K702" s="63">
        <f>VLOOKUP(H702,Manutention!A:E, 3, FALSE) * J702</f>
        <v>6</v>
      </c>
      <c r="L702" s="63" t="s">
        <v>164</v>
      </c>
      <c r="M702" s="63">
        <f>ROUNDUP(K702/VLOOKUP(L702,Camion!A:D, 3, FALSE),0)</f>
        <v>1</v>
      </c>
      <c r="N702" s="63">
        <f>INT(K702/VLOOKUP(L702,Camion!A:D, 3, FALSE))</f>
        <v>0</v>
      </c>
      <c r="O702" s="64">
        <f>ROUND(K702/VLOOKUP(L702,Camion!A:D, 3, FALSE) - N702,2)</f>
        <v>0.67</v>
      </c>
      <c r="P702" s="63" t="s">
        <v>130</v>
      </c>
    </row>
    <row r="703" spans="1:16" x14ac:dyDescent="0.25">
      <c r="A703" s="7">
        <v>32</v>
      </c>
      <c r="B703" s="62" t="s">
        <v>185</v>
      </c>
      <c r="C703" s="63" t="s">
        <v>1</v>
      </c>
      <c r="D703" s="63" t="s">
        <v>135</v>
      </c>
      <c r="E703" s="63" t="s">
        <v>72</v>
      </c>
      <c r="F703" s="63" t="s">
        <v>138</v>
      </c>
      <c r="G703" s="63">
        <v>679</v>
      </c>
      <c r="H703" s="63" t="s">
        <v>143</v>
      </c>
      <c r="I703" s="63">
        <f>INDEX(Matériel!A:Z, MATCH(E703, Matériel!A:A, 0), MATCH(H703, INDEX(Matériel!A:Z, MATCH(E703, Matériel!A:A, 0), 0), 0) + 1)</f>
        <v>1000</v>
      </c>
      <c r="J703" s="63">
        <f t="shared" si="69"/>
        <v>1</v>
      </c>
      <c r="K703" s="63">
        <f>VLOOKUP(H703,Manutention!A:E, 3, FALSE) * J703</f>
        <v>1</v>
      </c>
      <c r="L703" s="63" t="s">
        <v>164</v>
      </c>
      <c r="M703" s="63">
        <f>ROUNDUP(K703/VLOOKUP(L703,Camion!A:D, 3, FALSE),0)</f>
        <v>1</v>
      </c>
      <c r="N703" s="63">
        <f>INT(K703/VLOOKUP(L703,Camion!A:D, 3, FALSE))</f>
        <v>0</v>
      </c>
      <c r="O703" s="64">
        <f>ROUND(K703/VLOOKUP(L703,Camion!A:D, 3, FALSE) - N703,2)</f>
        <v>0.11</v>
      </c>
      <c r="P703" s="63" t="s">
        <v>130</v>
      </c>
    </row>
    <row r="704" spans="1:16" x14ac:dyDescent="0.25">
      <c r="A704" s="7">
        <v>32</v>
      </c>
      <c r="B704" s="62" t="s">
        <v>185</v>
      </c>
      <c r="C704" s="63" t="s">
        <v>1</v>
      </c>
      <c r="D704" s="63" t="s">
        <v>135</v>
      </c>
      <c r="E704" s="63" t="s">
        <v>75</v>
      </c>
      <c r="F704" s="63" t="s">
        <v>127</v>
      </c>
      <c r="G704" s="63">
        <v>34</v>
      </c>
      <c r="H704" s="63" t="s">
        <v>136</v>
      </c>
      <c r="I704" s="63">
        <f>INDEX(Matériel!A:Z, MATCH(E704, Matériel!A:A, 0), MATCH(H704, INDEX(Matériel!A:Z, MATCH(E704, Matériel!A:A, 0), 0), 0) + 1)</f>
        <v>60</v>
      </c>
      <c r="J704" s="63">
        <f t="shared" si="69"/>
        <v>1</v>
      </c>
      <c r="K704" s="63">
        <f>VLOOKUP(H704,Manutention!A:E, 3, FALSE) * J704</f>
        <v>1</v>
      </c>
      <c r="L704" s="63" t="s">
        <v>164</v>
      </c>
      <c r="M704" s="63">
        <f>ROUNDUP(K704/VLOOKUP(L704,Camion!A:D, 3, FALSE),0)</f>
        <v>1</v>
      </c>
      <c r="N704" s="63">
        <f>INT(K704/VLOOKUP(L704,Camion!A:D, 3, FALSE))</f>
        <v>0</v>
      </c>
      <c r="O704" s="64">
        <f>ROUND(K704/VLOOKUP(L704,Camion!A:D, 3, FALSE) - N704,2)</f>
        <v>0.11</v>
      </c>
      <c r="P704" s="63" t="s">
        <v>129</v>
      </c>
    </row>
    <row r="705" spans="1:16" x14ac:dyDescent="0.25">
      <c r="A705" s="7">
        <v>32</v>
      </c>
      <c r="B705" s="62" t="s">
        <v>185</v>
      </c>
      <c r="C705" s="63" t="s">
        <v>1</v>
      </c>
      <c r="D705" s="63" t="s">
        <v>128</v>
      </c>
      <c r="E705" s="63" t="s">
        <v>76</v>
      </c>
      <c r="F705" s="63" t="s">
        <v>127</v>
      </c>
      <c r="G705" s="63">
        <v>17</v>
      </c>
      <c r="H705" s="63" t="s">
        <v>131</v>
      </c>
      <c r="I705" s="63">
        <f>INDEX(Matériel!A:Z, MATCH(E705, Matériel!A:A, 0), MATCH(H705, INDEX(Matériel!A:Z, MATCH(E705, Matériel!A:A, 0), 0), 0) + 1)</f>
        <v>100</v>
      </c>
      <c r="J705" s="63">
        <f t="shared" si="69"/>
        <v>1</v>
      </c>
      <c r="K705" s="63">
        <f>VLOOKUP(H705,Manutention!A:E, 3, FALSE) * J705</f>
        <v>1</v>
      </c>
      <c r="L705" s="63" t="s">
        <v>164</v>
      </c>
      <c r="M705" s="63">
        <f>ROUNDUP(K705/VLOOKUP(L705,Camion!A:D, 3, FALSE),0)</f>
        <v>1</v>
      </c>
      <c r="N705" s="63">
        <f>INT(K705/VLOOKUP(L705,Camion!A:D, 3, FALSE))</f>
        <v>0</v>
      </c>
      <c r="O705" s="64">
        <f>ROUND(K705/VLOOKUP(L705,Camion!A:D, 3, FALSE) - N705,2)</f>
        <v>0.11</v>
      </c>
      <c r="P705" s="63" t="s">
        <v>129</v>
      </c>
    </row>
    <row r="706" spans="1:16" x14ac:dyDescent="0.25">
      <c r="A706" s="7">
        <v>32</v>
      </c>
      <c r="B706" s="62" t="s">
        <v>185</v>
      </c>
      <c r="C706" s="63" t="s">
        <v>1</v>
      </c>
      <c r="D706" s="63" t="s">
        <v>135</v>
      </c>
      <c r="E706" s="63" t="s">
        <v>77</v>
      </c>
      <c r="F706" s="63" t="s">
        <v>127</v>
      </c>
      <c r="G706" s="63">
        <v>145</v>
      </c>
      <c r="H706" s="63" t="s">
        <v>131</v>
      </c>
      <c r="I706" s="63">
        <f>INDEX(Matériel!A:Z, MATCH(E706, Matériel!A:A, 0), MATCH(H706, INDEX(Matériel!A:Z, MATCH(E706, Matériel!A:A, 0), 0), 0) + 1)</f>
        <v>20</v>
      </c>
      <c r="J706" s="63">
        <f t="shared" si="69"/>
        <v>8</v>
      </c>
      <c r="K706" s="63">
        <f>VLOOKUP(H706,Manutention!A:E, 3, FALSE) * J706</f>
        <v>8</v>
      </c>
      <c r="L706" s="63" t="s">
        <v>164</v>
      </c>
      <c r="M706" s="63">
        <f>ROUNDUP(K706/VLOOKUP(L706,Camion!A:D, 3, FALSE),0)</f>
        <v>1</v>
      </c>
      <c r="N706" s="63">
        <f>INT(K706/VLOOKUP(L706,Camion!A:D, 3, FALSE))</f>
        <v>0</v>
      </c>
      <c r="O706" s="64">
        <f>ROUND(K706/VLOOKUP(L706,Camion!A:D, 3, FALSE) - N706,2)</f>
        <v>0.89</v>
      </c>
      <c r="P706" s="63" t="s">
        <v>129</v>
      </c>
    </row>
    <row r="707" spans="1:16" x14ac:dyDescent="0.25">
      <c r="A707" s="7">
        <v>32</v>
      </c>
      <c r="B707" s="62" t="s">
        <v>185</v>
      </c>
      <c r="C707" s="63" t="s">
        <v>1</v>
      </c>
      <c r="D707" s="63" t="s">
        <v>135</v>
      </c>
      <c r="E707" s="63" t="s">
        <v>78</v>
      </c>
      <c r="F707" s="63" t="s">
        <v>127</v>
      </c>
      <c r="G707" s="63">
        <v>3</v>
      </c>
      <c r="H707" s="63" t="s">
        <v>133</v>
      </c>
      <c r="I707" s="63">
        <f>INDEX(Matériel!A:Z, MATCH(E707, Matériel!A:A, 0), MATCH(H707, INDEX(Matériel!A:Z, MATCH(E707, Matériel!A:A, 0), 0), 0) + 1)</f>
        <v>1</v>
      </c>
      <c r="J707" s="63">
        <f t="shared" si="69"/>
        <v>3</v>
      </c>
      <c r="K707" s="63">
        <f>VLOOKUP(H707,Manutention!A:E, 3, FALSE) * J707</f>
        <v>6</v>
      </c>
      <c r="L707" s="63" t="s">
        <v>164</v>
      </c>
      <c r="M707" s="63">
        <f>ROUNDUP(K707/VLOOKUP(L707,Camion!A:D, 3, FALSE),0)</f>
        <v>1</v>
      </c>
      <c r="N707" s="63">
        <f>INT(K707/VLOOKUP(L707,Camion!A:D, 3, FALSE))</f>
        <v>0</v>
      </c>
      <c r="O707" s="64">
        <f>ROUND(K707/VLOOKUP(L707,Camion!A:D, 3, FALSE) - N707,2)</f>
        <v>0.67</v>
      </c>
      <c r="P707" s="63" t="s">
        <v>129</v>
      </c>
    </row>
    <row r="708" spans="1:16" x14ac:dyDescent="0.25">
      <c r="A708" s="7">
        <v>32</v>
      </c>
      <c r="B708" s="62" t="s">
        <v>185</v>
      </c>
      <c r="C708" s="63" t="s">
        <v>1</v>
      </c>
      <c r="D708" s="63" t="s">
        <v>135</v>
      </c>
      <c r="E708" s="63" t="s">
        <v>79</v>
      </c>
      <c r="F708" s="63" t="s">
        <v>127</v>
      </c>
      <c r="G708" s="63">
        <v>2</v>
      </c>
      <c r="H708" s="63" t="s">
        <v>133</v>
      </c>
      <c r="I708" s="63">
        <f>INDEX(Matériel!A:Z, MATCH(E708, Matériel!A:A, 0), MATCH(H708, INDEX(Matériel!A:Z, MATCH(E708, Matériel!A:A, 0), 0), 0) + 1)</f>
        <v>1</v>
      </c>
      <c r="J708" s="63">
        <f t="shared" si="69"/>
        <v>2</v>
      </c>
      <c r="K708" s="63">
        <f>VLOOKUP(H708,Manutention!A:E, 3, FALSE) * J708</f>
        <v>4</v>
      </c>
      <c r="L708" s="63" t="s">
        <v>164</v>
      </c>
      <c r="M708" s="63">
        <f>ROUNDUP(K708/VLOOKUP(L708,Camion!A:D, 3, FALSE),0)</f>
        <v>1</v>
      </c>
      <c r="N708" s="63">
        <f>INT(K708/VLOOKUP(L708,Camion!A:D, 3, FALSE))</f>
        <v>0</v>
      </c>
      <c r="O708" s="64">
        <f>ROUND(K708/VLOOKUP(L708,Camion!A:D, 3, FALSE) - N708,2)</f>
        <v>0.44</v>
      </c>
      <c r="P708" s="63" t="s">
        <v>129</v>
      </c>
    </row>
    <row r="709" spans="1:16" x14ac:dyDescent="0.25">
      <c r="A709" s="7">
        <v>32</v>
      </c>
      <c r="B709" s="62" t="s">
        <v>185</v>
      </c>
      <c r="C709" s="63" t="s">
        <v>1</v>
      </c>
      <c r="D709" s="63" t="s">
        <v>128</v>
      </c>
      <c r="E709" s="63" t="s">
        <v>81</v>
      </c>
      <c r="F709" s="63" t="s">
        <v>127</v>
      </c>
      <c r="G709" s="63">
        <v>6</v>
      </c>
      <c r="H709" s="63" t="s">
        <v>131</v>
      </c>
      <c r="I709" s="63">
        <f>INDEX(Matériel!A:Z, MATCH(E709, Matériel!A:A, 0), MATCH(H709, INDEX(Matériel!A:Z, MATCH(E709, Matériel!A:A, 0), 0), 0) + 1)</f>
        <v>100</v>
      </c>
      <c r="J709" s="63">
        <f t="shared" si="69"/>
        <v>1</v>
      </c>
      <c r="K709" s="63">
        <f>VLOOKUP(H709,Manutention!A:E, 3, FALSE) * J709</f>
        <v>1</v>
      </c>
      <c r="L709" s="63" t="s">
        <v>164</v>
      </c>
      <c r="M709" s="63">
        <f>ROUNDUP(K709/VLOOKUP(L709,Camion!A:D, 3, FALSE),0)</f>
        <v>1</v>
      </c>
      <c r="N709" s="63">
        <f>INT(K709/VLOOKUP(L709,Camion!A:D, 3, FALSE))</f>
        <v>0</v>
      </c>
      <c r="O709" s="64">
        <f>ROUND(K709/VLOOKUP(L709,Camion!A:D, 3, FALSE) - N709,2)</f>
        <v>0.11</v>
      </c>
      <c r="P709" s="63" t="s">
        <v>130</v>
      </c>
    </row>
    <row r="710" spans="1:16" x14ac:dyDescent="0.25">
      <c r="A710" s="7">
        <v>32</v>
      </c>
      <c r="B710" s="5" t="s">
        <v>185</v>
      </c>
      <c r="C710" s="65"/>
      <c r="D710" s="65"/>
      <c r="E710" s="65" t="s">
        <v>187</v>
      </c>
      <c r="F710" s="65"/>
      <c r="G710" s="65"/>
      <c r="H710" s="65" t="s">
        <v>131</v>
      </c>
      <c r="I710" s="65"/>
      <c r="J710" s="65"/>
      <c r="K710" s="65">
        <f>SUMIFS(K:K, A:A, 32, B:B, "Z3 Z4", P:P, "Oui", D:D, "Production")</f>
        <v>1</v>
      </c>
      <c r="L710" s="65" t="s">
        <v>164</v>
      </c>
      <c r="M710" s="65">
        <f>ROUNDUP(K710/VLOOKUP(L710,Camion!A:D, 3, FALSE),0)</f>
        <v>1</v>
      </c>
      <c r="N710" s="65">
        <f>INT(K710/VLOOKUP(L710,Camion!A:D, 3, FALSE))</f>
        <v>0</v>
      </c>
      <c r="O710" s="66">
        <f>ROUND(K710/VLOOKUP(L710,Camion!A:D, 3, FALSE) - N710,2)</f>
        <v>0.11</v>
      </c>
      <c r="P710" s="65"/>
    </row>
    <row r="711" spans="1:16" x14ac:dyDescent="0.25">
      <c r="A711" s="7">
        <v>32</v>
      </c>
      <c r="B711" s="5" t="s">
        <v>185</v>
      </c>
      <c r="C711" s="65"/>
      <c r="D711" s="65"/>
      <c r="E711" s="65" t="s">
        <v>188</v>
      </c>
      <c r="F711" s="65"/>
      <c r="G711" s="65"/>
      <c r="H711" s="65" t="s">
        <v>131</v>
      </c>
      <c r="I711" s="65"/>
      <c r="J711" s="65"/>
      <c r="K711" s="65">
        <f>SUMIFS(K:K, A:A, 32, B:B, "Z3 Z4", P:P, "Oui", D:D, "Terminaux")</f>
        <v>19</v>
      </c>
      <c r="L711" s="65" t="s">
        <v>167</v>
      </c>
      <c r="M711" s="65">
        <f>ROUNDUP(K711/VLOOKUP(L711,Camion!A:D, 3, FALSE),0)</f>
        <v>1</v>
      </c>
      <c r="N711" s="65">
        <f>INT(K711/VLOOKUP(L711,Camion!A:D, 3, FALSE))</f>
        <v>0</v>
      </c>
      <c r="O711" s="66">
        <f>ROUND(K711/VLOOKUP(L711,Camion!A:D, 3, FALSE) - N711,2)</f>
        <v>0.95</v>
      </c>
      <c r="P711" s="65"/>
    </row>
    <row r="712" spans="1:16" x14ac:dyDescent="0.25">
      <c r="A712" s="7">
        <v>33</v>
      </c>
      <c r="B712" s="62" t="s">
        <v>184</v>
      </c>
      <c r="C712" s="63" t="s">
        <v>1</v>
      </c>
      <c r="D712" s="63" t="s">
        <v>128</v>
      </c>
      <c r="E712" s="63" t="s">
        <v>71</v>
      </c>
      <c r="F712" s="63" t="s">
        <v>138</v>
      </c>
      <c r="G712" s="63">
        <v>218</v>
      </c>
      <c r="H712" s="63" t="s">
        <v>139</v>
      </c>
      <c r="I712" s="63">
        <f>INDEX(Matériel!A:Z, MATCH(E712, Matériel!A:A, 0), MATCH(H712, INDEX(Matériel!A:Z, MATCH(E712, Matériel!A:A, 0), 0), 0) + 1)</f>
        <v>150</v>
      </c>
      <c r="J712" s="63">
        <f t="shared" ref="J712:J722" si="70">ROUNDUP(G712 / I712, 0)</f>
        <v>2</v>
      </c>
      <c r="K712" s="63">
        <f>VLOOKUP(H712,Manutention!A:E, 3, FALSE) * J712</f>
        <v>6</v>
      </c>
      <c r="L712" s="63" t="s">
        <v>164</v>
      </c>
      <c r="M712" s="63">
        <f>ROUNDUP(K712/VLOOKUP(L712,Camion!A:D, 3, FALSE),0)</f>
        <v>1</v>
      </c>
      <c r="N712" s="63">
        <f>INT(K712/VLOOKUP(L712,Camion!A:D, 3, FALSE))</f>
        <v>0</v>
      </c>
      <c r="O712" s="64">
        <f>ROUND(K712/VLOOKUP(L712,Camion!A:D, 3, FALSE) - N712,2)</f>
        <v>0.67</v>
      </c>
      <c r="P712" s="63" t="s">
        <v>130</v>
      </c>
    </row>
    <row r="713" spans="1:16" x14ac:dyDescent="0.25">
      <c r="A713" s="7">
        <v>33</v>
      </c>
      <c r="B713" s="62" t="s">
        <v>184</v>
      </c>
      <c r="C713" s="63" t="s">
        <v>1</v>
      </c>
      <c r="D713" s="63" t="s">
        <v>135</v>
      </c>
      <c r="E713" s="63" t="s">
        <v>72</v>
      </c>
      <c r="F713" s="63" t="s">
        <v>138</v>
      </c>
      <c r="G713" s="63">
        <v>669</v>
      </c>
      <c r="H713" s="63" t="s">
        <v>143</v>
      </c>
      <c r="I713" s="63">
        <f>INDEX(Matériel!A:Z, MATCH(E713, Matériel!A:A, 0), MATCH(H713, INDEX(Matériel!A:Z, MATCH(E713, Matériel!A:A, 0), 0), 0) + 1)</f>
        <v>1000</v>
      </c>
      <c r="J713" s="63">
        <f t="shared" si="70"/>
        <v>1</v>
      </c>
      <c r="K713" s="63">
        <f>VLOOKUP(H713,Manutention!A:E, 3, FALSE) * J713</f>
        <v>1</v>
      </c>
      <c r="L713" s="63" t="s">
        <v>164</v>
      </c>
      <c r="M713" s="63">
        <f>ROUNDUP(K713/VLOOKUP(L713,Camion!A:D, 3, FALSE),0)</f>
        <v>1</v>
      </c>
      <c r="N713" s="63">
        <f>INT(K713/VLOOKUP(L713,Camion!A:D, 3, FALSE))</f>
        <v>0</v>
      </c>
      <c r="O713" s="64">
        <f>ROUND(K713/VLOOKUP(L713,Camion!A:D, 3, FALSE) - N713,2)</f>
        <v>0.11</v>
      </c>
      <c r="P713" s="63" t="s">
        <v>130</v>
      </c>
    </row>
    <row r="714" spans="1:16" x14ac:dyDescent="0.25">
      <c r="A714" s="7">
        <v>33</v>
      </c>
      <c r="B714" s="62" t="s">
        <v>184</v>
      </c>
      <c r="C714" s="63" t="s">
        <v>1</v>
      </c>
      <c r="D714" s="63" t="s">
        <v>128</v>
      </c>
      <c r="E714" s="63" t="s">
        <v>73</v>
      </c>
      <c r="F714" s="63" t="s">
        <v>127</v>
      </c>
      <c r="G714" s="63">
        <v>1</v>
      </c>
      <c r="H714" s="63" t="s">
        <v>133</v>
      </c>
      <c r="I714" s="63">
        <f>INDEX(Matériel!A:Z, MATCH(E714, Matériel!A:A, 0), MATCH(H714, INDEX(Matériel!A:Z, MATCH(E714, Matériel!A:A, 0), 0), 0) + 1)</f>
        <v>0.5</v>
      </c>
      <c r="J714" s="63">
        <f t="shared" si="70"/>
        <v>2</v>
      </c>
      <c r="K714" s="63">
        <f>VLOOKUP(H714,Manutention!A:E, 3, FALSE) * J714</f>
        <v>4</v>
      </c>
      <c r="L714" s="63" t="s">
        <v>164</v>
      </c>
      <c r="M714" s="63">
        <f>ROUNDUP(K714/VLOOKUP(L714,Camion!A:D, 3, FALSE),0)</f>
        <v>1</v>
      </c>
      <c r="N714" s="63">
        <f>INT(K714/VLOOKUP(L714,Camion!A:D, 3, FALSE))</f>
        <v>0</v>
      </c>
      <c r="O714" s="64">
        <f>ROUND(K714/VLOOKUP(L714,Camion!A:D, 3, FALSE) - N714,2)</f>
        <v>0.44</v>
      </c>
      <c r="P714" s="63" t="s">
        <v>130</v>
      </c>
    </row>
    <row r="715" spans="1:16" x14ac:dyDescent="0.25">
      <c r="A715" s="7">
        <v>33</v>
      </c>
      <c r="B715" s="62" t="s">
        <v>184</v>
      </c>
      <c r="C715" s="63" t="s">
        <v>1</v>
      </c>
      <c r="D715" s="63" t="s">
        <v>128</v>
      </c>
      <c r="E715" s="63" t="s">
        <v>74</v>
      </c>
      <c r="F715" s="63" t="s">
        <v>127</v>
      </c>
      <c r="G715" s="63">
        <v>3</v>
      </c>
      <c r="H715" s="63" t="s">
        <v>131</v>
      </c>
      <c r="I715" s="63">
        <f>INDEX(Matériel!A:Z, MATCH(E715, Matériel!A:A, 0), MATCH(H715, INDEX(Matériel!A:Z, MATCH(E715, Matériel!A:A, 0), 0), 0) + 1)</f>
        <v>1</v>
      </c>
      <c r="J715" s="63">
        <f t="shared" si="70"/>
        <v>3</v>
      </c>
      <c r="K715" s="63">
        <f>VLOOKUP(H715,Manutention!A:E, 3, FALSE) * J715</f>
        <v>3</v>
      </c>
      <c r="L715" s="63" t="s">
        <v>164</v>
      </c>
      <c r="M715" s="63">
        <f>ROUNDUP(K715/VLOOKUP(L715,Camion!A:D, 3, FALSE),0)</f>
        <v>1</v>
      </c>
      <c r="N715" s="63">
        <f>INT(K715/VLOOKUP(L715,Camion!A:D, 3, FALSE))</f>
        <v>0</v>
      </c>
      <c r="O715" s="64">
        <f>ROUND(K715/VLOOKUP(L715,Camion!A:D, 3, FALSE) - N715,2)</f>
        <v>0.33</v>
      </c>
      <c r="P715" s="63" t="s">
        <v>129</v>
      </c>
    </row>
    <row r="716" spans="1:16" x14ac:dyDescent="0.25">
      <c r="A716" s="7">
        <v>33</v>
      </c>
      <c r="B716" s="62" t="s">
        <v>184</v>
      </c>
      <c r="C716" s="63" t="s">
        <v>1</v>
      </c>
      <c r="D716" s="63" t="s">
        <v>135</v>
      </c>
      <c r="E716" s="63" t="s">
        <v>75</v>
      </c>
      <c r="F716" s="63" t="s">
        <v>127</v>
      </c>
      <c r="G716" s="63">
        <v>34</v>
      </c>
      <c r="H716" s="63" t="s">
        <v>136</v>
      </c>
      <c r="I716" s="63">
        <f>INDEX(Matériel!A:Z, MATCH(E716, Matériel!A:A, 0), MATCH(H716, INDEX(Matériel!A:Z, MATCH(E716, Matériel!A:A, 0), 0), 0) + 1)</f>
        <v>60</v>
      </c>
      <c r="J716" s="63">
        <f t="shared" si="70"/>
        <v>1</v>
      </c>
      <c r="K716" s="63">
        <f>VLOOKUP(H716,Manutention!A:E, 3, FALSE) * J716</f>
        <v>1</v>
      </c>
      <c r="L716" s="63" t="s">
        <v>164</v>
      </c>
      <c r="M716" s="63">
        <f>ROUNDUP(K716/VLOOKUP(L716,Camion!A:D, 3, FALSE),0)</f>
        <v>1</v>
      </c>
      <c r="N716" s="63">
        <f>INT(K716/VLOOKUP(L716,Camion!A:D, 3, FALSE))</f>
        <v>0</v>
      </c>
      <c r="O716" s="64">
        <f>ROUND(K716/VLOOKUP(L716,Camion!A:D, 3, FALSE) - N716,2)</f>
        <v>0.11</v>
      </c>
      <c r="P716" s="63" t="s">
        <v>129</v>
      </c>
    </row>
    <row r="717" spans="1:16" x14ac:dyDescent="0.25">
      <c r="A717" s="7">
        <v>33</v>
      </c>
      <c r="B717" s="62" t="s">
        <v>184</v>
      </c>
      <c r="C717" s="63" t="s">
        <v>1</v>
      </c>
      <c r="D717" s="63" t="s">
        <v>128</v>
      </c>
      <c r="E717" s="63" t="s">
        <v>76</v>
      </c>
      <c r="F717" s="63" t="s">
        <v>127</v>
      </c>
      <c r="G717" s="63">
        <v>17</v>
      </c>
      <c r="H717" s="63" t="s">
        <v>131</v>
      </c>
      <c r="I717" s="63">
        <f>INDEX(Matériel!A:Z, MATCH(E717, Matériel!A:A, 0), MATCH(H717, INDEX(Matériel!A:Z, MATCH(E717, Matériel!A:A, 0), 0), 0) + 1)</f>
        <v>100</v>
      </c>
      <c r="J717" s="63">
        <f t="shared" si="70"/>
        <v>1</v>
      </c>
      <c r="K717" s="63">
        <f>VLOOKUP(H717,Manutention!A:E, 3, FALSE) * J717</f>
        <v>1</v>
      </c>
      <c r="L717" s="63" t="s">
        <v>164</v>
      </c>
      <c r="M717" s="63">
        <f>ROUNDUP(K717/VLOOKUP(L717,Camion!A:D, 3, FALSE),0)</f>
        <v>1</v>
      </c>
      <c r="N717" s="63">
        <f>INT(K717/VLOOKUP(L717,Camion!A:D, 3, FALSE))</f>
        <v>0</v>
      </c>
      <c r="O717" s="64">
        <f>ROUND(K717/VLOOKUP(L717,Camion!A:D, 3, FALSE) - N717,2)</f>
        <v>0.11</v>
      </c>
      <c r="P717" s="63" t="s">
        <v>129</v>
      </c>
    </row>
    <row r="718" spans="1:16" x14ac:dyDescent="0.25">
      <c r="A718" s="7">
        <v>33</v>
      </c>
      <c r="B718" s="62" t="s">
        <v>184</v>
      </c>
      <c r="C718" s="63" t="s">
        <v>1</v>
      </c>
      <c r="D718" s="63" t="s">
        <v>135</v>
      </c>
      <c r="E718" s="63" t="s">
        <v>77</v>
      </c>
      <c r="F718" s="63" t="s">
        <v>127</v>
      </c>
      <c r="G718" s="63">
        <v>143</v>
      </c>
      <c r="H718" s="63" t="s">
        <v>131</v>
      </c>
      <c r="I718" s="63">
        <f>INDEX(Matériel!A:Z, MATCH(E718, Matériel!A:A, 0), MATCH(H718, INDEX(Matériel!A:Z, MATCH(E718, Matériel!A:A, 0), 0), 0) + 1)</f>
        <v>20</v>
      </c>
      <c r="J718" s="63">
        <f t="shared" si="70"/>
        <v>8</v>
      </c>
      <c r="K718" s="63">
        <f>VLOOKUP(H718,Manutention!A:E, 3, FALSE) * J718</f>
        <v>8</v>
      </c>
      <c r="L718" s="63" t="s">
        <v>164</v>
      </c>
      <c r="M718" s="63">
        <f>ROUNDUP(K718/VLOOKUP(L718,Camion!A:D, 3, FALSE),0)</f>
        <v>1</v>
      </c>
      <c r="N718" s="63">
        <f>INT(K718/VLOOKUP(L718,Camion!A:D, 3, FALSE))</f>
        <v>0</v>
      </c>
      <c r="O718" s="64">
        <f>ROUND(K718/VLOOKUP(L718,Camion!A:D, 3, FALSE) - N718,2)</f>
        <v>0.89</v>
      </c>
      <c r="P718" s="63" t="s">
        <v>129</v>
      </c>
    </row>
    <row r="719" spans="1:16" x14ac:dyDescent="0.25">
      <c r="A719" s="7">
        <v>33</v>
      </c>
      <c r="B719" s="62" t="s">
        <v>184</v>
      </c>
      <c r="C719" s="63" t="s">
        <v>1</v>
      </c>
      <c r="D719" s="63" t="s">
        <v>135</v>
      </c>
      <c r="E719" s="63" t="s">
        <v>78</v>
      </c>
      <c r="F719" s="63" t="s">
        <v>127</v>
      </c>
      <c r="G719" s="63">
        <v>6</v>
      </c>
      <c r="H719" s="63" t="s">
        <v>133</v>
      </c>
      <c r="I719" s="63">
        <f>INDEX(Matériel!A:Z, MATCH(E719, Matériel!A:A, 0), MATCH(H719, INDEX(Matériel!A:Z, MATCH(E719, Matériel!A:A, 0), 0), 0) + 1)</f>
        <v>1</v>
      </c>
      <c r="J719" s="63">
        <f t="shared" si="70"/>
        <v>6</v>
      </c>
      <c r="K719" s="63">
        <f>VLOOKUP(H719,Manutention!A:E, 3, FALSE) * J719</f>
        <v>12</v>
      </c>
      <c r="L719" s="63" t="s">
        <v>165</v>
      </c>
      <c r="M719" s="63">
        <f>ROUNDUP(K719/VLOOKUP(L719,Camion!A:D, 3, FALSE),0)</f>
        <v>1</v>
      </c>
      <c r="N719" s="63">
        <f>INT(K719/VLOOKUP(L719,Camion!A:D, 3, FALSE))</f>
        <v>1</v>
      </c>
      <c r="O719" s="64">
        <f>ROUND(K719/VLOOKUP(L719,Camion!A:D, 3, FALSE) - N719,2)</f>
        <v>0</v>
      </c>
      <c r="P719" s="63" t="s">
        <v>129</v>
      </c>
    </row>
    <row r="720" spans="1:16" x14ac:dyDescent="0.25">
      <c r="A720" s="7">
        <v>33</v>
      </c>
      <c r="B720" s="62" t="s">
        <v>184</v>
      </c>
      <c r="C720" s="63" t="s">
        <v>1</v>
      </c>
      <c r="D720" s="63" t="s">
        <v>135</v>
      </c>
      <c r="E720" s="63" t="s">
        <v>79</v>
      </c>
      <c r="F720" s="63" t="s">
        <v>127</v>
      </c>
      <c r="G720" s="63">
        <v>5</v>
      </c>
      <c r="H720" s="63" t="s">
        <v>133</v>
      </c>
      <c r="I720" s="63">
        <f>INDEX(Matériel!A:Z, MATCH(E720, Matériel!A:A, 0), MATCH(H720, INDEX(Matériel!A:Z, MATCH(E720, Matériel!A:A, 0), 0), 0) + 1)</f>
        <v>1</v>
      </c>
      <c r="J720" s="63">
        <f t="shared" si="70"/>
        <v>5</v>
      </c>
      <c r="K720" s="63">
        <f>VLOOKUP(H720,Manutention!A:E, 3, FALSE) * J720</f>
        <v>10</v>
      </c>
      <c r="L720" s="63" t="s">
        <v>165</v>
      </c>
      <c r="M720" s="63">
        <f>ROUNDUP(K720/VLOOKUP(L720,Camion!A:D, 3, FALSE),0)</f>
        <v>1</v>
      </c>
      <c r="N720" s="63">
        <f>INT(K720/VLOOKUP(L720,Camion!A:D, 3, FALSE))</f>
        <v>0</v>
      </c>
      <c r="O720" s="64">
        <f>ROUND(K720/VLOOKUP(L720,Camion!A:D, 3, FALSE) - N720,2)</f>
        <v>0.83</v>
      </c>
      <c r="P720" s="63" t="s">
        <v>129</v>
      </c>
    </row>
    <row r="721" spans="1:16" x14ac:dyDescent="0.25">
      <c r="A721" s="7">
        <v>33</v>
      </c>
      <c r="B721" s="62" t="s">
        <v>184</v>
      </c>
      <c r="C721" s="63" t="s">
        <v>1</v>
      </c>
      <c r="D721" s="63" t="s">
        <v>128</v>
      </c>
      <c r="E721" s="63" t="s">
        <v>80</v>
      </c>
      <c r="F721" s="63" t="s">
        <v>127</v>
      </c>
      <c r="G721" s="63">
        <v>1</v>
      </c>
      <c r="H721" s="63" t="s">
        <v>133</v>
      </c>
      <c r="I721" s="63">
        <f>INDEX(Matériel!A:Z, MATCH(E721, Matériel!A:A, 0), MATCH(H721, INDEX(Matériel!A:Z, MATCH(E721, Matériel!A:A, 0), 0), 0) + 1)</f>
        <v>0.5</v>
      </c>
      <c r="J721" s="63">
        <f t="shared" si="70"/>
        <v>2</v>
      </c>
      <c r="K721" s="63">
        <f>VLOOKUP(H721,Manutention!A:E, 3, FALSE) * J721</f>
        <v>4</v>
      </c>
      <c r="L721" s="63" t="s">
        <v>164</v>
      </c>
      <c r="M721" s="63">
        <f>ROUNDUP(K721/VLOOKUP(L721,Camion!A:D, 3, FALSE),0)</f>
        <v>1</v>
      </c>
      <c r="N721" s="63">
        <f>INT(K721/VLOOKUP(L721,Camion!A:D, 3, FALSE))</f>
        <v>0</v>
      </c>
      <c r="O721" s="64">
        <f>ROUND(K721/VLOOKUP(L721,Camion!A:D, 3, FALSE) - N721,2)</f>
        <v>0.44</v>
      </c>
      <c r="P721" s="63" t="s">
        <v>130</v>
      </c>
    </row>
    <row r="722" spans="1:16" x14ac:dyDescent="0.25">
      <c r="A722" s="7">
        <v>33</v>
      </c>
      <c r="B722" s="62" t="s">
        <v>184</v>
      </c>
      <c r="C722" s="63" t="s">
        <v>1</v>
      </c>
      <c r="D722" s="63" t="s">
        <v>128</v>
      </c>
      <c r="E722" s="63" t="s">
        <v>81</v>
      </c>
      <c r="F722" s="63" t="s">
        <v>127</v>
      </c>
      <c r="G722" s="63">
        <v>6</v>
      </c>
      <c r="H722" s="63" t="s">
        <v>131</v>
      </c>
      <c r="I722" s="63">
        <f>INDEX(Matériel!A:Z, MATCH(E722, Matériel!A:A, 0), MATCH(H722, INDEX(Matériel!A:Z, MATCH(E722, Matériel!A:A, 0), 0), 0) + 1)</f>
        <v>100</v>
      </c>
      <c r="J722" s="63">
        <f t="shared" si="70"/>
        <v>1</v>
      </c>
      <c r="K722" s="63">
        <f>VLOOKUP(H722,Manutention!A:E, 3, FALSE) * J722</f>
        <v>1</v>
      </c>
      <c r="L722" s="63" t="s">
        <v>164</v>
      </c>
      <c r="M722" s="63">
        <f>ROUNDUP(K722/VLOOKUP(L722,Camion!A:D, 3, FALSE),0)</f>
        <v>1</v>
      </c>
      <c r="N722" s="63">
        <f>INT(K722/VLOOKUP(L722,Camion!A:D, 3, FALSE))</f>
        <v>0</v>
      </c>
      <c r="O722" s="64">
        <f>ROUND(K722/VLOOKUP(L722,Camion!A:D, 3, FALSE) - N722,2)</f>
        <v>0.11</v>
      </c>
      <c r="P722" s="63" t="s">
        <v>130</v>
      </c>
    </row>
    <row r="723" spans="1:16" x14ac:dyDescent="0.25">
      <c r="A723" s="7">
        <v>33</v>
      </c>
      <c r="B723" s="5" t="s">
        <v>184</v>
      </c>
      <c r="C723" s="65"/>
      <c r="D723" s="65"/>
      <c r="E723" s="65" t="s">
        <v>187</v>
      </c>
      <c r="F723" s="65"/>
      <c r="G723" s="65"/>
      <c r="H723" s="65" t="s">
        <v>131</v>
      </c>
      <c r="I723" s="65"/>
      <c r="J723" s="65"/>
      <c r="K723" s="65">
        <f>SUMIFS(K:K, A:A, 33, B:B, "Z1 Z2", P:P, "Oui", D:D, "Production")</f>
        <v>4</v>
      </c>
      <c r="L723" s="65" t="s">
        <v>164</v>
      </c>
      <c r="M723" s="65">
        <f>ROUNDUP(K723/VLOOKUP(L723,Camion!A:D, 3, FALSE),0)</f>
        <v>1</v>
      </c>
      <c r="N723" s="65">
        <f>INT(K723/VLOOKUP(L723,Camion!A:D, 3, FALSE))</f>
        <v>0</v>
      </c>
      <c r="O723" s="66">
        <f>ROUND(K723/VLOOKUP(L723,Camion!A:D, 3, FALSE) - N723,2)</f>
        <v>0.44</v>
      </c>
      <c r="P723" s="65"/>
    </row>
    <row r="724" spans="1:16" x14ac:dyDescent="0.25">
      <c r="A724" s="7">
        <v>33</v>
      </c>
      <c r="B724" s="5" t="s">
        <v>184</v>
      </c>
      <c r="C724" s="65"/>
      <c r="D724" s="65"/>
      <c r="E724" s="65" t="s">
        <v>188</v>
      </c>
      <c r="F724" s="65"/>
      <c r="G724" s="65"/>
      <c r="H724" s="65" t="s">
        <v>131</v>
      </c>
      <c r="I724" s="65"/>
      <c r="J724" s="65"/>
      <c r="K724" s="65">
        <f>SUMIFS(K:K, A:A, 33, B:B, "Z1 Z2", P:P, "Oui", D:D, "Terminaux")</f>
        <v>31</v>
      </c>
      <c r="L724" s="65" t="s">
        <v>168</v>
      </c>
      <c r="M724" s="65">
        <f>ROUNDUP(K724/VLOOKUP(L724,Camion!A:D, 3, FALSE),0)</f>
        <v>1</v>
      </c>
      <c r="N724" s="65">
        <f>INT(K724/VLOOKUP(L724,Camion!A:D, 3, FALSE))</f>
        <v>0</v>
      </c>
      <c r="O724" s="66">
        <f>ROUND(K724/VLOOKUP(L724,Camion!A:D, 3, FALSE) - N724,2)</f>
        <v>0.91</v>
      </c>
      <c r="P724" s="65"/>
    </row>
    <row r="725" spans="1:16" x14ac:dyDescent="0.25">
      <c r="A725" s="7">
        <v>33</v>
      </c>
      <c r="B725" s="62" t="s">
        <v>185</v>
      </c>
      <c r="C725" s="63" t="s">
        <v>1</v>
      </c>
      <c r="D725" s="63" t="s">
        <v>128</v>
      </c>
      <c r="E725" s="63" t="s">
        <v>71</v>
      </c>
      <c r="F725" s="63" t="s">
        <v>138</v>
      </c>
      <c r="G725" s="63">
        <v>215</v>
      </c>
      <c r="H725" s="63" t="s">
        <v>139</v>
      </c>
      <c r="I725" s="63">
        <f>INDEX(Matériel!A:Z, MATCH(E725, Matériel!A:A, 0), MATCH(H725, INDEX(Matériel!A:Z, MATCH(E725, Matériel!A:A, 0), 0), 0) + 1)</f>
        <v>150</v>
      </c>
      <c r="J725" s="63">
        <f t="shared" ref="J725:J735" si="71">ROUNDUP(G725 / I725, 0)</f>
        <v>2</v>
      </c>
      <c r="K725" s="63">
        <f>VLOOKUP(H725,Manutention!A:E, 3, FALSE) * J725</f>
        <v>6</v>
      </c>
      <c r="L725" s="63" t="s">
        <v>164</v>
      </c>
      <c r="M725" s="63">
        <f>ROUNDUP(K725/VLOOKUP(L725,Camion!A:D, 3, FALSE),0)</f>
        <v>1</v>
      </c>
      <c r="N725" s="63">
        <f>INT(K725/VLOOKUP(L725,Camion!A:D, 3, FALSE))</f>
        <v>0</v>
      </c>
      <c r="O725" s="64">
        <f>ROUND(K725/VLOOKUP(L725,Camion!A:D, 3, FALSE) - N725,2)</f>
        <v>0.67</v>
      </c>
      <c r="P725" s="63" t="s">
        <v>130</v>
      </c>
    </row>
    <row r="726" spans="1:16" x14ac:dyDescent="0.25">
      <c r="A726" s="7">
        <v>33</v>
      </c>
      <c r="B726" s="62" t="s">
        <v>185</v>
      </c>
      <c r="C726" s="63" t="s">
        <v>1</v>
      </c>
      <c r="D726" s="63" t="s">
        <v>135</v>
      </c>
      <c r="E726" s="63" t="s">
        <v>72</v>
      </c>
      <c r="F726" s="63" t="s">
        <v>138</v>
      </c>
      <c r="G726" s="63">
        <v>659</v>
      </c>
      <c r="H726" s="63" t="s">
        <v>143</v>
      </c>
      <c r="I726" s="63">
        <f>INDEX(Matériel!A:Z, MATCH(E726, Matériel!A:A, 0), MATCH(H726, INDEX(Matériel!A:Z, MATCH(E726, Matériel!A:A, 0), 0), 0) + 1)</f>
        <v>1000</v>
      </c>
      <c r="J726" s="63">
        <f t="shared" si="71"/>
        <v>1</v>
      </c>
      <c r="K726" s="63">
        <f>VLOOKUP(H726,Manutention!A:E, 3, FALSE) * J726</f>
        <v>1</v>
      </c>
      <c r="L726" s="63" t="s">
        <v>164</v>
      </c>
      <c r="M726" s="63">
        <f>ROUNDUP(K726/VLOOKUP(L726,Camion!A:D, 3, FALSE),0)</f>
        <v>1</v>
      </c>
      <c r="N726" s="63">
        <f>INT(K726/VLOOKUP(L726,Camion!A:D, 3, FALSE))</f>
        <v>0</v>
      </c>
      <c r="O726" s="64">
        <f>ROUND(K726/VLOOKUP(L726,Camion!A:D, 3, FALSE) - N726,2)</f>
        <v>0.11</v>
      </c>
      <c r="P726" s="63" t="s">
        <v>130</v>
      </c>
    </row>
    <row r="727" spans="1:16" x14ac:dyDescent="0.25">
      <c r="A727" s="7">
        <v>33</v>
      </c>
      <c r="B727" s="62" t="s">
        <v>185</v>
      </c>
      <c r="C727" s="63" t="s">
        <v>1</v>
      </c>
      <c r="D727" s="63" t="s">
        <v>128</v>
      </c>
      <c r="E727" s="63" t="s">
        <v>73</v>
      </c>
      <c r="F727" s="63" t="s">
        <v>127</v>
      </c>
      <c r="G727" s="63">
        <v>1</v>
      </c>
      <c r="H727" s="63" t="s">
        <v>133</v>
      </c>
      <c r="I727" s="63">
        <f>INDEX(Matériel!A:Z, MATCH(E727, Matériel!A:A, 0), MATCH(H727, INDEX(Matériel!A:Z, MATCH(E727, Matériel!A:A, 0), 0), 0) + 1)</f>
        <v>0.5</v>
      </c>
      <c r="J727" s="63">
        <f t="shared" si="71"/>
        <v>2</v>
      </c>
      <c r="K727" s="63">
        <f>VLOOKUP(H727,Manutention!A:E, 3, FALSE) * J727</f>
        <v>4</v>
      </c>
      <c r="L727" s="63" t="s">
        <v>164</v>
      </c>
      <c r="M727" s="63">
        <f>ROUNDUP(K727/VLOOKUP(L727,Camion!A:D, 3, FALSE),0)</f>
        <v>1</v>
      </c>
      <c r="N727" s="63">
        <f>INT(K727/VLOOKUP(L727,Camion!A:D, 3, FALSE))</f>
        <v>0</v>
      </c>
      <c r="O727" s="64">
        <f>ROUND(K727/VLOOKUP(L727,Camion!A:D, 3, FALSE) - N727,2)</f>
        <v>0.44</v>
      </c>
      <c r="P727" s="63" t="s">
        <v>130</v>
      </c>
    </row>
    <row r="728" spans="1:16" x14ac:dyDescent="0.25">
      <c r="A728" s="7">
        <v>33</v>
      </c>
      <c r="B728" s="62" t="s">
        <v>185</v>
      </c>
      <c r="C728" s="63" t="s">
        <v>1</v>
      </c>
      <c r="D728" s="63" t="s">
        <v>128</v>
      </c>
      <c r="E728" s="63" t="s">
        <v>74</v>
      </c>
      <c r="F728" s="63" t="s">
        <v>127</v>
      </c>
      <c r="G728" s="63">
        <v>3</v>
      </c>
      <c r="H728" s="63" t="s">
        <v>131</v>
      </c>
      <c r="I728" s="63">
        <f>INDEX(Matériel!A:Z, MATCH(E728, Matériel!A:A, 0), MATCH(H728, INDEX(Matériel!A:Z, MATCH(E728, Matériel!A:A, 0), 0), 0) + 1)</f>
        <v>1</v>
      </c>
      <c r="J728" s="63">
        <f t="shared" si="71"/>
        <v>3</v>
      </c>
      <c r="K728" s="63">
        <f>VLOOKUP(H728,Manutention!A:E, 3, FALSE) * J728</f>
        <v>3</v>
      </c>
      <c r="L728" s="63" t="s">
        <v>164</v>
      </c>
      <c r="M728" s="63">
        <f>ROUNDUP(K728/VLOOKUP(L728,Camion!A:D, 3, FALSE),0)</f>
        <v>1</v>
      </c>
      <c r="N728" s="63">
        <f>INT(K728/VLOOKUP(L728,Camion!A:D, 3, FALSE))</f>
        <v>0</v>
      </c>
      <c r="O728" s="64">
        <f>ROUND(K728/VLOOKUP(L728,Camion!A:D, 3, FALSE) - N728,2)</f>
        <v>0.33</v>
      </c>
      <c r="P728" s="63" t="s">
        <v>129</v>
      </c>
    </row>
    <row r="729" spans="1:16" x14ac:dyDescent="0.25">
      <c r="A729" s="7">
        <v>33</v>
      </c>
      <c r="B729" s="62" t="s">
        <v>185</v>
      </c>
      <c r="C729" s="63" t="s">
        <v>1</v>
      </c>
      <c r="D729" s="63" t="s">
        <v>135</v>
      </c>
      <c r="E729" s="63" t="s">
        <v>75</v>
      </c>
      <c r="F729" s="63" t="s">
        <v>127</v>
      </c>
      <c r="G729" s="63">
        <v>33</v>
      </c>
      <c r="H729" s="63" t="s">
        <v>136</v>
      </c>
      <c r="I729" s="63">
        <f>INDEX(Matériel!A:Z, MATCH(E729, Matériel!A:A, 0), MATCH(H729, INDEX(Matériel!A:Z, MATCH(E729, Matériel!A:A, 0), 0), 0) + 1)</f>
        <v>60</v>
      </c>
      <c r="J729" s="63">
        <f t="shared" si="71"/>
        <v>1</v>
      </c>
      <c r="K729" s="63">
        <f>VLOOKUP(H729,Manutention!A:E, 3, FALSE) * J729</f>
        <v>1</v>
      </c>
      <c r="L729" s="63" t="s">
        <v>164</v>
      </c>
      <c r="M729" s="63">
        <f>ROUNDUP(K729/VLOOKUP(L729,Camion!A:D, 3, FALSE),0)</f>
        <v>1</v>
      </c>
      <c r="N729" s="63">
        <f>INT(K729/VLOOKUP(L729,Camion!A:D, 3, FALSE))</f>
        <v>0</v>
      </c>
      <c r="O729" s="64">
        <f>ROUND(K729/VLOOKUP(L729,Camion!A:D, 3, FALSE) - N729,2)</f>
        <v>0.11</v>
      </c>
      <c r="P729" s="63" t="s">
        <v>129</v>
      </c>
    </row>
    <row r="730" spans="1:16" x14ac:dyDescent="0.25">
      <c r="A730" s="7">
        <v>33</v>
      </c>
      <c r="B730" s="62" t="s">
        <v>185</v>
      </c>
      <c r="C730" s="63" t="s">
        <v>1</v>
      </c>
      <c r="D730" s="63" t="s">
        <v>128</v>
      </c>
      <c r="E730" s="63" t="s">
        <v>76</v>
      </c>
      <c r="F730" s="63" t="s">
        <v>127</v>
      </c>
      <c r="G730" s="63">
        <v>16</v>
      </c>
      <c r="H730" s="63" t="s">
        <v>131</v>
      </c>
      <c r="I730" s="63">
        <f>INDEX(Matériel!A:Z, MATCH(E730, Matériel!A:A, 0), MATCH(H730, INDEX(Matériel!A:Z, MATCH(E730, Matériel!A:A, 0), 0), 0) + 1)</f>
        <v>100</v>
      </c>
      <c r="J730" s="63">
        <f t="shared" si="71"/>
        <v>1</v>
      </c>
      <c r="K730" s="63">
        <f>VLOOKUP(H730,Manutention!A:E, 3, FALSE) * J730</f>
        <v>1</v>
      </c>
      <c r="L730" s="63" t="s">
        <v>164</v>
      </c>
      <c r="M730" s="63">
        <f>ROUNDUP(K730/VLOOKUP(L730,Camion!A:D, 3, FALSE),0)</f>
        <v>1</v>
      </c>
      <c r="N730" s="63">
        <f>INT(K730/VLOOKUP(L730,Camion!A:D, 3, FALSE))</f>
        <v>0</v>
      </c>
      <c r="O730" s="64">
        <f>ROUND(K730/VLOOKUP(L730,Camion!A:D, 3, FALSE) - N730,2)</f>
        <v>0.11</v>
      </c>
      <c r="P730" s="63" t="s">
        <v>129</v>
      </c>
    </row>
    <row r="731" spans="1:16" x14ac:dyDescent="0.25">
      <c r="A731" s="7">
        <v>33</v>
      </c>
      <c r="B731" s="62" t="s">
        <v>185</v>
      </c>
      <c r="C731" s="63" t="s">
        <v>1</v>
      </c>
      <c r="D731" s="63" t="s">
        <v>135</v>
      </c>
      <c r="E731" s="63" t="s">
        <v>77</v>
      </c>
      <c r="F731" s="63" t="s">
        <v>127</v>
      </c>
      <c r="G731" s="63">
        <v>141</v>
      </c>
      <c r="H731" s="63" t="s">
        <v>131</v>
      </c>
      <c r="I731" s="63">
        <f>INDEX(Matériel!A:Z, MATCH(E731, Matériel!A:A, 0), MATCH(H731, INDEX(Matériel!A:Z, MATCH(E731, Matériel!A:A, 0), 0), 0) + 1)</f>
        <v>20</v>
      </c>
      <c r="J731" s="63">
        <f t="shared" si="71"/>
        <v>8</v>
      </c>
      <c r="K731" s="63">
        <f>VLOOKUP(H731,Manutention!A:E, 3, FALSE) * J731</f>
        <v>8</v>
      </c>
      <c r="L731" s="63" t="s">
        <v>164</v>
      </c>
      <c r="M731" s="63">
        <f>ROUNDUP(K731/VLOOKUP(L731,Camion!A:D, 3, FALSE),0)</f>
        <v>1</v>
      </c>
      <c r="N731" s="63">
        <f>INT(K731/VLOOKUP(L731,Camion!A:D, 3, FALSE))</f>
        <v>0</v>
      </c>
      <c r="O731" s="64">
        <f>ROUND(K731/VLOOKUP(L731,Camion!A:D, 3, FALSE) - N731,2)</f>
        <v>0.89</v>
      </c>
      <c r="P731" s="63" t="s">
        <v>129</v>
      </c>
    </row>
    <row r="732" spans="1:16" x14ac:dyDescent="0.25">
      <c r="A732" s="7">
        <v>33</v>
      </c>
      <c r="B732" s="62" t="s">
        <v>185</v>
      </c>
      <c r="C732" s="63" t="s">
        <v>1</v>
      </c>
      <c r="D732" s="63" t="s">
        <v>135</v>
      </c>
      <c r="E732" s="63" t="s">
        <v>78</v>
      </c>
      <c r="F732" s="63" t="s">
        <v>127</v>
      </c>
      <c r="G732" s="63">
        <v>6</v>
      </c>
      <c r="H732" s="63" t="s">
        <v>133</v>
      </c>
      <c r="I732" s="63">
        <f>INDEX(Matériel!A:Z, MATCH(E732, Matériel!A:A, 0), MATCH(H732, INDEX(Matériel!A:Z, MATCH(E732, Matériel!A:A, 0), 0), 0) + 1)</f>
        <v>1</v>
      </c>
      <c r="J732" s="63">
        <f t="shared" si="71"/>
        <v>6</v>
      </c>
      <c r="K732" s="63">
        <f>VLOOKUP(H732,Manutention!A:E, 3, FALSE) * J732</f>
        <v>12</v>
      </c>
      <c r="L732" s="63" t="s">
        <v>165</v>
      </c>
      <c r="M732" s="63">
        <f>ROUNDUP(K732/VLOOKUP(L732,Camion!A:D, 3, FALSE),0)</f>
        <v>1</v>
      </c>
      <c r="N732" s="63">
        <f>INT(K732/VLOOKUP(L732,Camion!A:D, 3, FALSE))</f>
        <v>1</v>
      </c>
      <c r="O732" s="64">
        <f>ROUND(K732/VLOOKUP(L732,Camion!A:D, 3, FALSE) - N732,2)</f>
        <v>0</v>
      </c>
      <c r="P732" s="63" t="s">
        <v>129</v>
      </c>
    </row>
    <row r="733" spans="1:16" x14ac:dyDescent="0.25">
      <c r="A733" s="7">
        <v>33</v>
      </c>
      <c r="B733" s="62" t="s">
        <v>185</v>
      </c>
      <c r="C733" s="63" t="s">
        <v>1</v>
      </c>
      <c r="D733" s="63" t="s">
        <v>135</v>
      </c>
      <c r="E733" s="63" t="s">
        <v>79</v>
      </c>
      <c r="F733" s="63" t="s">
        <v>127</v>
      </c>
      <c r="G733" s="63">
        <v>5</v>
      </c>
      <c r="H733" s="63" t="s">
        <v>133</v>
      </c>
      <c r="I733" s="63">
        <f>INDEX(Matériel!A:Z, MATCH(E733, Matériel!A:A, 0), MATCH(H733, INDEX(Matériel!A:Z, MATCH(E733, Matériel!A:A, 0), 0), 0) + 1)</f>
        <v>1</v>
      </c>
      <c r="J733" s="63">
        <f t="shared" si="71"/>
        <v>5</v>
      </c>
      <c r="K733" s="63">
        <f>VLOOKUP(H733,Manutention!A:E, 3, FALSE) * J733</f>
        <v>10</v>
      </c>
      <c r="L733" s="63" t="s">
        <v>165</v>
      </c>
      <c r="M733" s="63">
        <f>ROUNDUP(K733/VLOOKUP(L733,Camion!A:D, 3, FALSE),0)</f>
        <v>1</v>
      </c>
      <c r="N733" s="63">
        <f>INT(K733/VLOOKUP(L733,Camion!A:D, 3, FALSE))</f>
        <v>0</v>
      </c>
      <c r="O733" s="64">
        <f>ROUND(K733/VLOOKUP(L733,Camion!A:D, 3, FALSE) - N733,2)</f>
        <v>0.83</v>
      </c>
      <c r="P733" s="63" t="s">
        <v>129</v>
      </c>
    </row>
    <row r="734" spans="1:16" x14ac:dyDescent="0.25">
      <c r="A734" s="7">
        <v>33</v>
      </c>
      <c r="B734" s="62" t="s">
        <v>185</v>
      </c>
      <c r="C734" s="63" t="s">
        <v>1</v>
      </c>
      <c r="D734" s="63" t="s">
        <v>128</v>
      </c>
      <c r="E734" s="63" t="s">
        <v>80</v>
      </c>
      <c r="F734" s="63" t="s">
        <v>127</v>
      </c>
      <c r="G734" s="63">
        <v>1</v>
      </c>
      <c r="H734" s="63" t="s">
        <v>133</v>
      </c>
      <c r="I734" s="63">
        <f>INDEX(Matériel!A:Z, MATCH(E734, Matériel!A:A, 0), MATCH(H734, INDEX(Matériel!A:Z, MATCH(E734, Matériel!A:A, 0), 0), 0) + 1)</f>
        <v>0.5</v>
      </c>
      <c r="J734" s="63">
        <f t="shared" si="71"/>
        <v>2</v>
      </c>
      <c r="K734" s="63">
        <f>VLOOKUP(H734,Manutention!A:E, 3, FALSE) * J734</f>
        <v>4</v>
      </c>
      <c r="L734" s="63" t="s">
        <v>164</v>
      </c>
      <c r="M734" s="63">
        <f>ROUNDUP(K734/VLOOKUP(L734,Camion!A:D, 3, FALSE),0)</f>
        <v>1</v>
      </c>
      <c r="N734" s="63">
        <f>INT(K734/VLOOKUP(L734,Camion!A:D, 3, FALSE))</f>
        <v>0</v>
      </c>
      <c r="O734" s="64">
        <f>ROUND(K734/VLOOKUP(L734,Camion!A:D, 3, FALSE) - N734,2)</f>
        <v>0.44</v>
      </c>
      <c r="P734" s="63" t="s">
        <v>130</v>
      </c>
    </row>
    <row r="735" spans="1:16" x14ac:dyDescent="0.25">
      <c r="A735" s="7">
        <v>33</v>
      </c>
      <c r="B735" s="62" t="s">
        <v>185</v>
      </c>
      <c r="C735" s="63" t="s">
        <v>1</v>
      </c>
      <c r="D735" s="63" t="s">
        <v>128</v>
      </c>
      <c r="E735" s="63" t="s">
        <v>81</v>
      </c>
      <c r="F735" s="63" t="s">
        <v>127</v>
      </c>
      <c r="G735" s="63">
        <v>6</v>
      </c>
      <c r="H735" s="63" t="s">
        <v>131</v>
      </c>
      <c r="I735" s="63">
        <f>INDEX(Matériel!A:Z, MATCH(E735, Matériel!A:A, 0), MATCH(H735, INDEX(Matériel!A:Z, MATCH(E735, Matériel!A:A, 0), 0), 0) + 1)</f>
        <v>100</v>
      </c>
      <c r="J735" s="63">
        <f t="shared" si="71"/>
        <v>1</v>
      </c>
      <c r="K735" s="63">
        <f>VLOOKUP(H735,Manutention!A:E, 3, FALSE) * J735</f>
        <v>1</v>
      </c>
      <c r="L735" s="63" t="s">
        <v>164</v>
      </c>
      <c r="M735" s="63">
        <f>ROUNDUP(K735/VLOOKUP(L735,Camion!A:D, 3, FALSE),0)</f>
        <v>1</v>
      </c>
      <c r="N735" s="63">
        <f>INT(K735/VLOOKUP(L735,Camion!A:D, 3, FALSE))</f>
        <v>0</v>
      </c>
      <c r="O735" s="64">
        <f>ROUND(K735/VLOOKUP(L735,Camion!A:D, 3, FALSE) - N735,2)</f>
        <v>0.11</v>
      </c>
      <c r="P735" s="63" t="s">
        <v>130</v>
      </c>
    </row>
    <row r="736" spans="1:16" x14ac:dyDescent="0.25">
      <c r="A736" s="7">
        <v>33</v>
      </c>
      <c r="B736" s="5" t="s">
        <v>185</v>
      </c>
      <c r="C736" s="65"/>
      <c r="D736" s="65"/>
      <c r="E736" s="65" t="s">
        <v>187</v>
      </c>
      <c r="F736" s="65"/>
      <c r="G736" s="65"/>
      <c r="H736" s="65" t="s">
        <v>131</v>
      </c>
      <c r="I736" s="65"/>
      <c r="J736" s="65"/>
      <c r="K736" s="65">
        <f>SUMIFS(K:K, A:A, 33, B:B, "Z3 Z4", P:P, "Oui", D:D, "Production")</f>
        <v>4</v>
      </c>
      <c r="L736" s="65" t="s">
        <v>164</v>
      </c>
      <c r="M736" s="65">
        <f>ROUNDUP(K736/VLOOKUP(L736,Camion!A:D, 3, FALSE),0)</f>
        <v>1</v>
      </c>
      <c r="N736" s="65">
        <f>INT(K736/VLOOKUP(L736,Camion!A:D, 3, FALSE))</f>
        <v>0</v>
      </c>
      <c r="O736" s="66">
        <f>ROUND(K736/VLOOKUP(L736,Camion!A:D, 3, FALSE) - N736,2)</f>
        <v>0.44</v>
      </c>
      <c r="P736" s="65"/>
    </row>
    <row r="737" spans="1:16" x14ac:dyDescent="0.25">
      <c r="A737" s="7">
        <v>33</v>
      </c>
      <c r="B737" s="5" t="s">
        <v>185</v>
      </c>
      <c r="C737" s="65"/>
      <c r="D737" s="65"/>
      <c r="E737" s="65" t="s">
        <v>188</v>
      </c>
      <c r="F737" s="65"/>
      <c r="G737" s="65"/>
      <c r="H737" s="65" t="s">
        <v>131</v>
      </c>
      <c r="I737" s="65"/>
      <c r="J737" s="65"/>
      <c r="K737" s="65">
        <f>SUMIFS(K:K, A:A, 33, B:B, "Z3 Z4", P:P, "Oui", D:D, "Terminaux")</f>
        <v>31</v>
      </c>
      <c r="L737" s="65" t="s">
        <v>168</v>
      </c>
      <c r="M737" s="65">
        <f>ROUNDUP(K737/VLOOKUP(L737,Camion!A:D, 3, FALSE),0)</f>
        <v>1</v>
      </c>
      <c r="N737" s="65">
        <f>INT(K737/VLOOKUP(L737,Camion!A:D, 3, FALSE))</f>
        <v>0</v>
      </c>
      <c r="O737" s="66">
        <f>ROUND(K737/VLOOKUP(L737,Camion!A:D, 3, FALSE) - N737,2)</f>
        <v>0.91</v>
      </c>
      <c r="P737" s="65"/>
    </row>
    <row r="738" spans="1:16" x14ac:dyDescent="0.25">
      <c r="A738" s="7">
        <v>34</v>
      </c>
      <c r="B738" s="62" t="s">
        <v>184</v>
      </c>
      <c r="C738" s="63" t="s">
        <v>1</v>
      </c>
      <c r="D738" s="63" t="s">
        <v>128</v>
      </c>
      <c r="E738" s="63" t="s">
        <v>71</v>
      </c>
      <c r="F738" s="63" t="s">
        <v>138</v>
      </c>
      <c r="G738" s="63">
        <v>212</v>
      </c>
      <c r="H738" s="63" t="s">
        <v>139</v>
      </c>
      <c r="I738" s="63">
        <f>INDEX(Matériel!A:Z, MATCH(E738, Matériel!A:A, 0), MATCH(H738, INDEX(Matériel!A:Z, MATCH(E738, Matériel!A:A, 0), 0), 0) + 1)</f>
        <v>150</v>
      </c>
      <c r="J738" s="63">
        <f t="shared" ref="J738:J745" si="72">ROUNDUP(G738 / I738, 0)</f>
        <v>2</v>
      </c>
      <c r="K738" s="63">
        <f>VLOOKUP(H738,Manutention!A:E, 3, FALSE) * J738</f>
        <v>6</v>
      </c>
      <c r="L738" s="63" t="s">
        <v>164</v>
      </c>
      <c r="M738" s="63">
        <f>ROUNDUP(K738/VLOOKUP(L738,Camion!A:D, 3, FALSE),0)</f>
        <v>1</v>
      </c>
      <c r="N738" s="63">
        <f>INT(K738/VLOOKUP(L738,Camion!A:D, 3, FALSE))</f>
        <v>0</v>
      </c>
      <c r="O738" s="64">
        <f>ROUND(K738/VLOOKUP(L738,Camion!A:D, 3, FALSE) - N738,2)</f>
        <v>0.67</v>
      </c>
      <c r="P738" s="63" t="s">
        <v>130</v>
      </c>
    </row>
    <row r="739" spans="1:16" x14ac:dyDescent="0.25">
      <c r="A739" s="7">
        <v>34</v>
      </c>
      <c r="B739" s="62" t="s">
        <v>184</v>
      </c>
      <c r="C739" s="63" t="s">
        <v>1</v>
      </c>
      <c r="D739" s="63" t="s">
        <v>135</v>
      </c>
      <c r="E739" s="63" t="s">
        <v>72</v>
      </c>
      <c r="F739" s="63" t="s">
        <v>138</v>
      </c>
      <c r="G739" s="63">
        <v>649</v>
      </c>
      <c r="H739" s="63" t="s">
        <v>143</v>
      </c>
      <c r="I739" s="63">
        <f>INDEX(Matériel!A:Z, MATCH(E739, Matériel!A:A, 0), MATCH(H739, INDEX(Matériel!A:Z, MATCH(E739, Matériel!A:A, 0), 0), 0) + 1)</f>
        <v>1000</v>
      </c>
      <c r="J739" s="63">
        <f t="shared" si="72"/>
        <v>1</v>
      </c>
      <c r="K739" s="63">
        <f>VLOOKUP(H739,Manutention!A:E, 3, FALSE) * J739</f>
        <v>1</v>
      </c>
      <c r="L739" s="63" t="s">
        <v>164</v>
      </c>
      <c r="M739" s="63">
        <f>ROUNDUP(K739/VLOOKUP(L739,Camion!A:D, 3, FALSE),0)</f>
        <v>1</v>
      </c>
      <c r="N739" s="63">
        <f>INT(K739/VLOOKUP(L739,Camion!A:D, 3, FALSE))</f>
        <v>0</v>
      </c>
      <c r="O739" s="64">
        <f>ROUND(K739/VLOOKUP(L739,Camion!A:D, 3, FALSE) - N739,2)</f>
        <v>0.11</v>
      </c>
      <c r="P739" s="63" t="s">
        <v>130</v>
      </c>
    </row>
    <row r="740" spans="1:16" x14ac:dyDescent="0.25">
      <c r="A740" s="7">
        <v>34</v>
      </c>
      <c r="B740" s="62" t="s">
        <v>184</v>
      </c>
      <c r="C740" s="63" t="s">
        <v>1</v>
      </c>
      <c r="D740" s="63" t="s">
        <v>135</v>
      </c>
      <c r="E740" s="63" t="s">
        <v>75</v>
      </c>
      <c r="F740" s="63" t="s">
        <v>127</v>
      </c>
      <c r="G740" s="63">
        <v>33</v>
      </c>
      <c r="H740" s="63" t="s">
        <v>136</v>
      </c>
      <c r="I740" s="63">
        <f>INDEX(Matériel!A:Z, MATCH(E740, Matériel!A:A, 0), MATCH(H740, INDEX(Matériel!A:Z, MATCH(E740, Matériel!A:A, 0), 0), 0) + 1)</f>
        <v>60</v>
      </c>
      <c r="J740" s="63">
        <f t="shared" si="72"/>
        <v>1</v>
      </c>
      <c r="K740" s="63">
        <f>VLOOKUP(H740,Manutention!A:E, 3, FALSE) * J740</f>
        <v>1</v>
      </c>
      <c r="L740" s="63" t="s">
        <v>164</v>
      </c>
      <c r="M740" s="63">
        <f>ROUNDUP(K740/VLOOKUP(L740,Camion!A:D, 3, FALSE),0)</f>
        <v>1</v>
      </c>
      <c r="N740" s="63">
        <f>INT(K740/VLOOKUP(L740,Camion!A:D, 3, FALSE))</f>
        <v>0</v>
      </c>
      <c r="O740" s="64">
        <f>ROUND(K740/VLOOKUP(L740,Camion!A:D, 3, FALSE) - N740,2)</f>
        <v>0.11</v>
      </c>
      <c r="P740" s="63" t="s">
        <v>129</v>
      </c>
    </row>
    <row r="741" spans="1:16" x14ac:dyDescent="0.25">
      <c r="A741" s="7">
        <v>34</v>
      </c>
      <c r="B741" s="62" t="s">
        <v>184</v>
      </c>
      <c r="C741" s="63" t="s">
        <v>1</v>
      </c>
      <c r="D741" s="63" t="s">
        <v>128</v>
      </c>
      <c r="E741" s="63" t="s">
        <v>76</v>
      </c>
      <c r="F741" s="63" t="s">
        <v>127</v>
      </c>
      <c r="G741" s="63">
        <v>16</v>
      </c>
      <c r="H741" s="63" t="s">
        <v>131</v>
      </c>
      <c r="I741" s="63">
        <f>INDEX(Matériel!A:Z, MATCH(E741, Matériel!A:A, 0), MATCH(H741, INDEX(Matériel!A:Z, MATCH(E741, Matériel!A:A, 0), 0), 0) + 1)</f>
        <v>100</v>
      </c>
      <c r="J741" s="63">
        <f t="shared" si="72"/>
        <v>1</v>
      </c>
      <c r="K741" s="63">
        <f>VLOOKUP(H741,Manutention!A:E, 3, FALSE) * J741</f>
        <v>1</v>
      </c>
      <c r="L741" s="63" t="s">
        <v>164</v>
      </c>
      <c r="M741" s="63">
        <f>ROUNDUP(K741/VLOOKUP(L741,Camion!A:D, 3, FALSE),0)</f>
        <v>1</v>
      </c>
      <c r="N741" s="63">
        <f>INT(K741/VLOOKUP(L741,Camion!A:D, 3, FALSE))</f>
        <v>0</v>
      </c>
      <c r="O741" s="64">
        <f>ROUND(K741/VLOOKUP(L741,Camion!A:D, 3, FALSE) - N741,2)</f>
        <v>0.11</v>
      </c>
      <c r="P741" s="63" t="s">
        <v>129</v>
      </c>
    </row>
    <row r="742" spans="1:16" x14ac:dyDescent="0.25">
      <c r="A742" s="7">
        <v>34</v>
      </c>
      <c r="B742" s="62" t="s">
        <v>184</v>
      </c>
      <c r="C742" s="63" t="s">
        <v>1</v>
      </c>
      <c r="D742" s="63" t="s">
        <v>135</v>
      </c>
      <c r="E742" s="63" t="s">
        <v>77</v>
      </c>
      <c r="F742" s="63" t="s">
        <v>127</v>
      </c>
      <c r="G742" s="63">
        <v>139</v>
      </c>
      <c r="H742" s="63" t="s">
        <v>131</v>
      </c>
      <c r="I742" s="63">
        <f>INDEX(Matériel!A:Z, MATCH(E742, Matériel!A:A, 0), MATCH(H742, INDEX(Matériel!A:Z, MATCH(E742, Matériel!A:A, 0), 0), 0) + 1)</f>
        <v>20</v>
      </c>
      <c r="J742" s="63">
        <f t="shared" si="72"/>
        <v>7</v>
      </c>
      <c r="K742" s="63">
        <f>VLOOKUP(H742,Manutention!A:E, 3, FALSE) * J742</f>
        <v>7</v>
      </c>
      <c r="L742" s="63" t="s">
        <v>164</v>
      </c>
      <c r="M742" s="63">
        <f>ROUNDUP(K742/VLOOKUP(L742,Camion!A:D, 3, FALSE),0)</f>
        <v>1</v>
      </c>
      <c r="N742" s="63">
        <f>INT(K742/VLOOKUP(L742,Camion!A:D, 3, FALSE))</f>
        <v>0</v>
      </c>
      <c r="O742" s="64">
        <f>ROUND(K742/VLOOKUP(L742,Camion!A:D, 3, FALSE) - N742,2)</f>
        <v>0.78</v>
      </c>
      <c r="P742" s="63" t="s">
        <v>129</v>
      </c>
    </row>
    <row r="743" spans="1:16" x14ac:dyDescent="0.25">
      <c r="A743" s="7">
        <v>34</v>
      </c>
      <c r="B743" s="62" t="s">
        <v>184</v>
      </c>
      <c r="C743" s="63" t="s">
        <v>1</v>
      </c>
      <c r="D743" s="63" t="s">
        <v>135</v>
      </c>
      <c r="E743" s="63" t="s">
        <v>78</v>
      </c>
      <c r="F743" s="63" t="s">
        <v>127</v>
      </c>
      <c r="G743" s="63">
        <v>3</v>
      </c>
      <c r="H743" s="63" t="s">
        <v>133</v>
      </c>
      <c r="I743" s="63">
        <f>INDEX(Matériel!A:Z, MATCH(E743, Matériel!A:A, 0), MATCH(H743, INDEX(Matériel!A:Z, MATCH(E743, Matériel!A:A, 0), 0), 0) + 1)</f>
        <v>1</v>
      </c>
      <c r="J743" s="63">
        <f t="shared" si="72"/>
        <v>3</v>
      </c>
      <c r="K743" s="63">
        <f>VLOOKUP(H743,Manutention!A:E, 3, FALSE) * J743</f>
        <v>6</v>
      </c>
      <c r="L743" s="63" t="s">
        <v>164</v>
      </c>
      <c r="M743" s="63">
        <f>ROUNDUP(K743/VLOOKUP(L743,Camion!A:D, 3, FALSE),0)</f>
        <v>1</v>
      </c>
      <c r="N743" s="63">
        <f>INT(K743/VLOOKUP(L743,Camion!A:D, 3, FALSE))</f>
        <v>0</v>
      </c>
      <c r="O743" s="64">
        <f>ROUND(K743/VLOOKUP(L743,Camion!A:D, 3, FALSE) - N743,2)</f>
        <v>0.67</v>
      </c>
      <c r="P743" s="63" t="s">
        <v>129</v>
      </c>
    </row>
    <row r="744" spans="1:16" x14ac:dyDescent="0.25">
      <c r="A744" s="7">
        <v>34</v>
      </c>
      <c r="B744" s="62" t="s">
        <v>184</v>
      </c>
      <c r="C744" s="63" t="s">
        <v>1</v>
      </c>
      <c r="D744" s="63" t="s">
        <v>135</v>
      </c>
      <c r="E744" s="63" t="s">
        <v>79</v>
      </c>
      <c r="F744" s="63" t="s">
        <v>127</v>
      </c>
      <c r="G744" s="63">
        <v>2</v>
      </c>
      <c r="H744" s="63" t="s">
        <v>133</v>
      </c>
      <c r="I744" s="63">
        <f>INDEX(Matériel!A:Z, MATCH(E744, Matériel!A:A, 0), MATCH(H744, INDEX(Matériel!A:Z, MATCH(E744, Matériel!A:A, 0), 0), 0) + 1)</f>
        <v>1</v>
      </c>
      <c r="J744" s="63">
        <f t="shared" si="72"/>
        <v>2</v>
      </c>
      <c r="K744" s="63">
        <f>VLOOKUP(H744,Manutention!A:E, 3, FALSE) * J744</f>
        <v>4</v>
      </c>
      <c r="L744" s="63" t="s">
        <v>164</v>
      </c>
      <c r="M744" s="63">
        <f>ROUNDUP(K744/VLOOKUP(L744,Camion!A:D, 3, FALSE),0)</f>
        <v>1</v>
      </c>
      <c r="N744" s="63">
        <f>INT(K744/VLOOKUP(L744,Camion!A:D, 3, FALSE))</f>
        <v>0</v>
      </c>
      <c r="O744" s="64">
        <f>ROUND(K744/VLOOKUP(L744,Camion!A:D, 3, FALSE) - N744,2)</f>
        <v>0.44</v>
      </c>
      <c r="P744" s="63" t="s">
        <v>129</v>
      </c>
    </row>
    <row r="745" spans="1:16" x14ac:dyDescent="0.25">
      <c r="A745" s="7">
        <v>34</v>
      </c>
      <c r="B745" s="62" t="s">
        <v>184</v>
      </c>
      <c r="C745" s="63" t="s">
        <v>1</v>
      </c>
      <c r="D745" s="63" t="s">
        <v>128</v>
      </c>
      <c r="E745" s="63" t="s">
        <v>81</v>
      </c>
      <c r="F745" s="63" t="s">
        <v>127</v>
      </c>
      <c r="G745" s="63">
        <v>6</v>
      </c>
      <c r="H745" s="63" t="s">
        <v>131</v>
      </c>
      <c r="I745" s="63">
        <f>INDEX(Matériel!A:Z, MATCH(E745, Matériel!A:A, 0), MATCH(H745, INDEX(Matériel!A:Z, MATCH(E745, Matériel!A:A, 0), 0), 0) + 1)</f>
        <v>100</v>
      </c>
      <c r="J745" s="63">
        <f t="shared" si="72"/>
        <v>1</v>
      </c>
      <c r="K745" s="63">
        <f>VLOOKUP(H745,Manutention!A:E, 3, FALSE) * J745</f>
        <v>1</v>
      </c>
      <c r="L745" s="63" t="s">
        <v>164</v>
      </c>
      <c r="M745" s="63">
        <f>ROUNDUP(K745/VLOOKUP(L745,Camion!A:D, 3, FALSE),0)</f>
        <v>1</v>
      </c>
      <c r="N745" s="63">
        <f>INT(K745/VLOOKUP(L745,Camion!A:D, 3, FALSE))</f>
        <v>0</v>
      </c>
      <c r="O745" s="64">
        <f>ROUND(K745/VLOOKUP(L745,Camion!A:D, 3, FALSE) - N745,2)</f>
        <v>0.11</v>
      </c>
      <c r="P745" s="63" t="s">
        <v>130</v>
      </c>
    </row>
    <row r="746" spans="1:16" x14ac:dyDescent="0.25">
      <c r="A746" s="7">
        <v>34</v>
      </c>
      <c r="B746" s="5" t="s">
        <v>184</v>
      </c>
      <c r="C746" s="65"/>
      <c r="D746" s="65"/>
      <c r="E746" s="65" t="s">
        <v>187</v>
      </c>
      <c r="F746" s="65"/>
      <c r="G746" s="65"/>
      <c r="H746" s="65" t="s">
        <v>131</v>
      </c>
      <c r="I746" s="65"/>
      <c r="J746" s="65"/>
      <c r="K746" s="65">
        <f>SUMIFS(K:K, A:A, 34, B:B, "Z1 Z2", P:P, "Oui", D:D, "Production")</f>
        <v>1</v>
      </c>
      <c r="L746" s="65" t="s">
        <v>164</v>
      </c>
      <c r="M746" s="65">
        <f>ROUNDUP(K746/VLOOKUP(L746,Camion!A:D, 3, FALSE),0)</f>
        <v>1</v>
      </c>
      <c r="N746" s="65">
        <f>INT(K746/VLOOKUP(L746,Camion!A:D, 3, FALSE))</f>
        <v>0</v>
      </c>
      <c r="O746" s="66">
        <f>ROUND(K746/VLOOKUP(L746,Camion!A:D, 3, FALSE) - N746,2)</f>
        <v>0.11</v>
      </c>
      <c r="P746" s="65"/>
    </row>
    <row r="747" spans="1:16" x14ac:dyDescent="0.25">
      <c r="A747" s="7">
        <v>34</v>
      </c>
      <c r="B747" s="5" t="s">
        <v>184</v>
      </c>
      <c r="C747" s="65"/>
      <c r="D747" s="65"/>
      <c r="E747" s="65" t="s">
        <v>188</v>
      </c>
      <c r="F747" s="65"/>
      <c r="G747" s="65"/>
      <c r="H747" s="65" t="s">
        <v>131</v>
      </c>
      <c r="I747" s="65"/>
      <c r="J747" s="65"/>
      <c r="K747" s="65">
        <f>SUMIFS(K:K, A:A, 34, B:B, "Z1 Z2", P:P, "Oui", D:D, "Terminaux")</f>
        <v>18</v>
      </c>
      <c r="L747" s="65" t="s">
        <v>167</v>
      </c>
      <c r="M747" s="65">
        <f>ROUNDUP(K747/VLOOKUP(L747,Camion!A:D, 3, FALSE),0)</f>
        <v>1</v>
      </c>
      <c r="N747" s="65">
        <f>INT(K747/VLOOKUP(L747,Camion!A:D, 3, FALSE))</f>
        <v>0</v>
      </c>
      <c r="O747" s="66">
        <f>ROUND(K747/VLOOKUP(L747,Camion!A:D, 3, FALSE) - N747,2)</f>
        <v>0.9</v>
      </c>
      <c r="P747" s="65"/>
    </row>
    <row r="748" spans="1:16" x14ac:dyDescent="0.25">
      <c r="A748" s="7">
        <v>34</v>
      </c>
      <c r="B748" s="62" t="s">
        <v>185</v>
      </c>
      <c r="C748" s="63" t="s">
        <v>1</v>
      </c>
      <c r="D748" s="63" t="s">
        <v>128</v>
      </c>
      <c r="E748" s="63" t="s">
        <v>71</v>
      </c>
      <c r="F748" s="63" t="s">
        <v>138</v>
      </c>
      <c r="G748" s="63">
        <v>209</v>
      </c>
      <c r="H748" s="63" t="s">
        <v>139</v>
      </c>
      <c r="I748" s="63">
        <f>INDEX(Matériel!A:Z, MATCH(E748, Matériel!A:A, 0), MATCH(H748, INDEX(Matériel!A:Z, MATCH(E748, Matériel!A:A, 0), 0), 0) + 1)</f>
        <v>150</v>
      </c>
      <c r="J748" s="63">
        <f t="shared" ref="J748:J755" si="73">ROUNDUP(G748 / I748, 0)</f>
        <v>2</v>
      </c>
      <c r="K748" s="63">
        <f>VLOOKUP(H748,Manutention!A:E, 3, FALSE) * J748</f>
        <v>6</v>
      </c>
      <c r="L748" s="63" t="s">
        <v>164</v>
      </c>
      <c r="M748" s="63">
        <f>ROUNDUP(K748/VLOOKUP(L748,Camion!A:D, 3, FALSE),0)</f>
        <v>1</v>
      </c>
      <c r="N748" s="63">
        <f>INT(K748/VLOOKUP(L748,Camion!A:D, 3, FALSE))</f>
        <v>0</v>
      </c>
      <c r="O748" s="64">
        <f>ROUND(K748/VLOOKUP(L748,Camion!A:D, 3, FALSE) - N748,2)</f>
        <v>0.67</v>
      </c>
      <c r="P748" s="63" t="s">
        <v>130</v>
      </c>
    </row>
    <row r="749" spans="1:16" x14ac:dyDescent="0.25">
      <c r="A749" s="7">
        <v>34</v>
      </c>
      <c r="B749" s="62" t="s">
        <v>185</v>
      </c>
      <c r="C749" s="63" t="s">
        <v>1</v>
      </c>
      <c r="D749" s="63" t="s">
        <v>135</v>
      </c>
      <c r="E749" s="63" t="s">
        <v>72</v>
      </c>
      <c r="F749" s="63" t="s">
        <v>138</v>
      </c>
      <c r="G749" s="63">
        <v>639</v>
      </c>
      <c r="H749" s="63" t="s">
        <v>143</v>
      </c>
      <c r="I749" s="63">
        <f>INDEX(Matériel!A:Z, MATCH(E749, Matériel!A:A, 0), MATCH(H749, INDEX(Matériel!A:Z, MATCH(E749, Matériel!A:A, 0), 0), 0) + 1)</f>
        <v>1000</v>
      </c>
      <c r="J749" s="63">
        <f t="shared" si="73"/>
        <v>1</v>
      </c>
      <c r="K749" s="63">
        <f>VLOOKUP(H749,Manutention!A:E, 3, FALSE) * J749</f>
        <v>1</v>
      </c>
      <c r="L749" s="63" t="s">
        <v>164</v>
      </c>
      <c r="M749" s="63">
        <f>ROUNDUP(K749/VLOOKUP(L749,Camion!A:D, 3, FALSE),0)</f>
        <v>1</v>
      </c>
      <c r="N749" s="63">
        <f>INT(K749/VLOOKUP(L749,Camion!A:D, 3, FALSE))</f>
        <v>0</v>
      </c>
      <c r="O749" s="64">
        <f>ROUND(K749/VLOOKUP(L749,Camion!A:D, 3, FALSE) - N749,2)</f>
        <v>0.11</v>
      </c>
      <c r="P749" s="63" t="s">
        <v>130</v>
      </c>
    </row>
    <row r="750" spans="1:16" x14ac:dyDescent="0.25">
      <c r="A750" s="7">
        <v>34</v>
      </c>
      <c r="B750" s="62" t="s">
        <v>185</v>
      </c>
      <c r="C750" s="63" t="s">
        <v>1</v>
      </c>
      <c r="D750" s="63" t="s">
        <v>135</v>
      </c>
      <c r="E750" s="63" t="s">
        <v>75</v>
      </c>
      <c r="F750" s="63" t="s">
        <v>127</v>
      </c>
      <c r="G750" s="63">
        <v>32</v>
      </c>
      <c r="H750" s="63" t="s">
        <v>136</v>
      </c>
      <c r="I750" s="63">
        <f>INDEX(Matériel!A:Z, MATCH(E750, Matériel!A:A, 0), MATCH(H750, INDEX(Matériel!A:Z, MATCH(E750, Matériel!A:A, 0), 0), 0) + 1)</f>
        <v>60</v>
      </c>
      <c r="J750" s="63">
        <f t="shared" si="73"/>
        <v>1</v>
      </c>
      <c r="K750" s="63">
        <f>VLOOKUP(H750,Manutention!A:E, 3, FALSE) * J750</f>
        <v>1</v>
      </c>
      <c r="L750" s="63" t="s">
        <v>164</v>
      </c>
      <c r="M750" s="63">
        <f>ROUNDUP(K750/VLOOKUP(L750,Camion!A:D, 3, FALSE),0)</f>
        <v>1</v>
      </c>
      <c r="N750" s="63">
        <f>INT(K750/VLOOKUP(L750,Camion!A:D, 3, FALSE))</f>
        <v>0</v>
      </c>
      <c r="O750" s="64">
        <f>ROUND(K750/VLOOKUP(L750,Camion!A:D, 3, FALSE) - N750,2)</f>
        <v>0.11</v>
      </c>
      <c r="P750" s="63" t="s">
        <v>129</v>
      </c>
    </row>
    <row r="751" spans="1:16" x14ac:dyDescent="0.25">
      <c r="A751" s="7">
        <v>34</v>
      </c>
      <c r="B751" s="62" t="s">
        <v>185</v>
      </c>
      <c r="C751" s="63" t="s">
        <v>1</v>
      </c>
      <c r="D751" s="63" t="s">
        <v>128</v>
      </c>
      <c r="E751" s="63" t="s">
        <v>76</v>
      </c>
      <c r="F751" s="63" t="s">
        <v>127</v>
      </c>
      <c r="G751" s="63">
        <v>16</v>
      </c>
      <c r="H751" s="63" t="s">
        <v>131</v>
      </c>
      <c r="I751" s="63">
        <f>INDEX(Matériel!A:Z, MATCH(E751, Matériel!A:A, 0), MATCH(H751, INDEX(Matériel!A:Z, MATCH(E751, Matériel!A:A, 0), 0), 0) + 1)</f>
        <v>100</v>
      </c>
      <c r="J751" s="63">
        <f t="shared" si="73"/>
        <v>1</v>
      </c>
      <c r="K751" s="63">
        <f>VLOOKUP(H751,Manutention!A:E, 3, FALSE) * J751</f>
        <v>1</v>
      </c>
      <c r="L751" s="63" t="s">
        <v>164</v>
      </c>
      <c r="M751" s="63">
        <f>ROUNDUP(K751/VLOOKUP(L751,Camion!A:D, 3, FALSE),0)</f>
        <v>1</v>
      </c>
      <c r="N751" s="63">
        <f>INT(K751/VLOOKUP(L751,Camion!A:D, 3, FALSE))</f>
        <v>0</v>
      </c>
      <c r="O751" s="64">
        <f>ROUND(K751/VLOOKUP(L751,Camion!A:D, 3, FALSE) - N751,2)</f>
        <v>0.11</v>
      </c>
      <c r="P751" s="63" t="s">
        <v>129</v>
      </c>
    </row>
    <row r="752" spans="1:16" x14ac:dyDescent="0.25">
      <c r="A752" s="7">
        <v>34</v>
      </c>
      <c r="B752" s="62" t="s">
        <v>185</v>
      </c>
      <c r="C752" s="63" t="s">
        <v>1</v>
      </c>
      <c r="D752" s="63" t="s">
        <v>135</v>
      </c>
      <c r="E752" s="63" t="s">
        <v>77</v>
      </c>
      <c r="F752" s="63" t="s">
        <v>127</v>
      </c>
      <c r="G752" s="63">
        <v>136</v>
      </c>
      <c r="H752" s="63" t="s">
        <v>131</v>
      </c>
      <c r="I752" s="63">
        <f>INDEX(Matériel!A:Z, MATCH(E752, Matériel!A:A, 0), MATCH(H752, INDEX(Matériel!A:Z, MATCH(E752, Matériel!A:A, 0), 0), 0) + 1)</f>
        <v>20</v>
      </c>
      <c r="J752" s="63">
        <f t="shared" si="73"/>
        <v>7</v>
      </c>
      <c r="K752" s="63">
        <f>VLOOKUP(H752,Manutention!A:E, 3, FALSE) * J752</f>
        <v>7</v>
      </c>
      <c r="L752" s="63" t="s">
        <v>164</v>
      </c>
      <c r="M752" s="63">
        <f>ROUNDUP(K752/VLOOKUP(L752,Camion!A:D, 3, FALSE),0)</f>
        <v>1</v>
      </c>
      <c r="N752" s="63">
        <f>INT(K752/VLOOKUP(L752,Camion!A:D, 3, FALSE))</f>
        <v>0</v>
      </c>
      <c r="O752" s="64">
        <f>ROUND(K752/VLOOKUP(L752,Camion!A:D, 3, FALSE) - N752,2)</f>
        <v>0.78</v>
      </c>
      <c r="P752" s="63" t="s">
        <v>129</v>
      </c>
    </row>
    <row r="753" spans="1:16" x14ac:dyDescent="0.25">
      <c r="A753" s="7">
        <v>34</v>
      </c>
      <c r="B753" s="62" t="s">
        <v>185</v>
      </c>
      <c r="C753" s="63" t="s">
        <v>1</v>
      </c>
      <c r="D753" s="63" t="s">
        <v>135</v>
      </c>
      <c r="E753" s="63" t="s">
        <v>78</v>
      </c>
      <c r="F753" s="63" t="s">
        <v>127</v>
      </c>
      <c r="G753" s="63">
        <v>2</v>
      </c>
      <c r="H753" s="63" t="s">
        <v>133</v>
      </c>
      <c r="I753" s="63">
        <f>INDEX(Matériel!A:Z, MATCH(E753, Matériel!A:A, 0), MATCH(H753, INDEX(Matériel!A:Z, MATCH(E753, Matériel!A:A, 0), 0), 0) + 1)</f>
        <v>1</v>
      </c>
      <c r="J753" s="63">
        <f t="shared" si="73"/>
        <v>2</v>
      </c>
      <c r="K753" s="63">
        <f>VLOOKUP(H753,Manutention!A:E, 3, FALSE) * J753</f>
        <v>4</v>
      </c>
      <c r="L753" s="63" t="s">
        <v>164</v>
      </c>
      <c r="M753" s="63">
        <f>ROUNDUP(K753/VLOOKUP(L753,Camion!A:D, 3, FALSE),0)</f>
        <v>1</v>
      </c>
      <c r="N753" s="63">
        <f>INT(K753/VLOOKUP(L753,Camion!A:D, 3, FALSE))</f>
        <v>0</v>
      </c>
      <c r="O753" s="64">
        <f>ROUND(K753/VLOOKUP(L753,Camion!A:D, 3, FALSE) - N753,2)</f>
        <v>0.44</v>
      </c>
      <c r="P753" s="63" t="s">
        <v>129</v>
      </c>
    </row>
    <row r="754" spans="1:16" x14ac:dyDescent="0.25">
      <c r="A754" s="7">
        <v>34</v>
      </c>
      <c r="B754" s="62" t="s">
        <v>185</v>
      </c>
      <c r="C754" s="63" t="s">
        <v>1</v>
      </c>
      <c r="D754" s="63" t="s">
        <v>135</v>
      </c>
      <c r="E754" s="63" t="s">
        <v>79</v>
      </c>
      <c r="F754" s="63" t="s">
        <v>127</v>
      </c>
      <c r="G754" s="63">
        <v>2</v>
      </c>
      <c r="H754" s="63" t="s">
        <v>133</v>
      </c>
      <c r="I754" s="63">
        <f>INDEX(Matériel!A:Z, MATCH(E754, Matériel!A:A, 0), MATCH(H754, INDEX(Matériel!A:Z, MATCH(E754, Matériel!A:A, 0), 0), 0) + 1)</f>
        <v>1</v>
      </c>
      <c r="J754" s="63">
        <f t="shared" si="73"/>
        <v>2</v>
      </c>
      <c r="K754" s="63">
        <f>VLOOKUP(H754,Manutention!A:E, 3, FALSE) * J754</f>
        <v>4</v>
      </c>
      <c r="L754" s="63" t="s">
        <v>164</v>
      </c>
      <c r="M754" s="63">
        <f>ROUNDUP(K754/VLOOKUP(L754,Camion!A:D, 3, FALSE),0)</f>
        <v>1</v>
      </c>
      <c r="N754" s="63">
        <f>INT(K754/VLOOKUP(L754,Camion!A:D, 3, FALSE))</f>
        <v>0</v>
      </c>
      <c r="O754" s="64">
        <f>ROUND(K754/VLOOKUP(L754,Camion!A:D, 3, FALSE) - N754,2)</f>
        <v>0.44</v>
      </c>
      <c r="P754" s="63" t="s">
        <v>129</v>
      </c>
    </row>
    <row r="755" spans="1:16" x14ac:dyDescent="0.25">
      <c r="A755" s="7">
        <v>34</v>
      </c>
      <c r="B755" s="62" t="s">
        <v>185</v>
      </c>
      <c r="C755" s="63" t="s">
        <v>1</v>
      </c>
      <c r="D755" s="63" t="s">
        <v>128</v>
      </c>
      <c r="E755" s="63" t="s">
        <v>81</v>
      </c>
      <c r="F755" s="63" t="s">
        <v>127</v>
      </c>
      <c r="G755" s="63">
        <v>6</v>
      </c>
      <c r="H755" s="63" t="s">
        <v>131</v>
      </c>
      <c r="I755" s="63">
        <f>INDEX(Matériel!A:Z, MATCH(E755, Matériel!A:A, 0), MATCH(H755, INDEX(Matériel!A:Z, MATCH(E755, Matériel!A:A, 0), 0), 0) + 1)</f>
        <v>100</v>
      </c>
      <c r="J755" s="63">
        <f t="shared" si="73"/>
        <v>1</v>
      </c>
      <c r="K755" s="63">
        <f>VLOOKUP(H755,Manutention!A:E, 3, FALSE) * J755</f>
        <v>1</v>
      </c>
      <c r="L755" s="63" t="s">
        <v>164</v>
      </c>
      <c r="M755" s="63">
        <f>ROUNDUP(K755/VLOOKUP(L755,Camion!A:D, 3, FALSE),0)</f>
        <v>1</v>
      </c>
      <c r="N755" s="63">
        <f>INT(K755/VLOOKUP(L755,Camion!A:D, 3, FALSE))</f>
        <v>0</v>
      </c>
      <c r="O755" s="64">
        <f>ROUND(K755/VLOOKUP(L755,Camion!A:D, 3, FALSE) - N755,2)</f>
        <v>0.11</v>
      </c>
      <c r="P755" s="63" t="s">
        <v>130</v>
      </c>
    </row>
    <row r="756" spans="1:16" x14ac:dyDescent="0.25">
      <c r="A756" s="7">
        <v>34</v>
      </c>
      <c r="B756" s="5" t="s">
        <v>185</v>
      </c>
      <c r="C756" s="65"/>
      <c r="D756" s="65"/>
      <c r="E756" s="65" t="s">
        <v>187</v>
      </c>
      <c r="F756" s="65"/>
      <c r="G756" s="65"/>
      <c r="H756" s="65" t="s">
        <v>131</v>
      </c>
      <c r="I756" s="65"/>
      <c r="J756" s="65"/>
      <c r="K756" s="65">
        <f>SUMIFS(K:K, A:A, 34, B:B, "Z3 Z4", P:P, "Oui", D:D, "Production")</f>
        <v>1</v>
      </c>
      <c r="L756" s="65" t="s">
        <v>164</v>
      </c>
      <c r="M756" s="65">
        <f>ROUNDUP(K756/VLOOKUP(L756,Camion!A:D, 3, FALSE),0)</f>
        <v>1</v>
      </c>
      <c r="N756" s="65">
        <f>INT(K756/VLOOKUP(L756,Camion!A:D, 3, FALSE))</f>
        <v>0</v>
      </c>
      <c r="O756" s="66">
        <f>ROUND(K756/VLOOKUP(L756,Camion!A:D, 3, FALSE) - N756,2)</f>
        <v>0.11</v>
      </c>
      <c r="P756" s="65"/>
    </row>
    <row r="757" spans="1:16" x14ac:dyDescent="0.25">
      <c r="A757" s="7">
        <v>34</v>
      </c>
      <c r="B757" s="5" t="s">
        <v>185</v>
      </c>
      <c r="C757" s="65"/>
      <c r="D757" s="65"/>
      <c r="E757" s="65" t="s">
        <v>188</v>
      </c>
      <c r="F757" s="65"/>
      <c r="G757" s="65"/>
      <c r="H757" s="65" t="s">
        <v>131</v>
      </c>
      <c r="I757" s="65"/>
      <c r="J757" s="65"/>
      <c r="K757" s="65">
        <f>SUMIFS(K:K, A:A, 34, B:B, "Z3 Z4", P:P, "Oui", D:D, "Terminaux")</f>
        <v>16</v>
      </c>
      <c r="L757" s="65" t="s">
        <v>166</v>
      </c>
      <c r="M757" s="65">
        <f>ROUNDUP(K757/VLOOKUP(L757,Camion!A:D, 3, FALSE),0)</f>
        <v>1</v>
      </c>
      <c r="N757" s="65">
        <f>INT(K757/VLOOKUP(L757,Camion!A:D, 3, FALSE))</f>
        <v>0</v>
      </c>
      <c r="O757" s="66">
        <f>ROUND(K757/VLOOKUP(L757,Camion!A:D, 3, FALSE) - N757,2)</f>
        <v>0.94</v>
      </c>
      <c r="P757" s="65"/>
    </row>
    <row r="758" spans="1:16" x14ac:dyDescent="0.25">
      <c r="A758" s="7">
        <v>35</v>
      </c>
      <c r="B758" s="62" t="s">
        <v>184</v>
      </c>
      <c r="C758" s="63" t="s">
        <v>1</v>
      </c>
      <c r="D758" s="63" t="s">
        <v>128</v>
      </c>
      <c r="E758" s="63" t="s">
        <v>71</v>
      </c>
      <c r="F758" s="63" t="s">
        <v>138</v>
      </c>
      <c r="G758" s="63">
        <v>205</v>
      </c>
      <c r="H758" s="63" t="s">
        <v>139</v>
      </c>
      <c r="I758" s="63">
        <f>INDEX(Matériel!A:Z, MATCH(E758, Matériel!A:A, 0), MATCH(H758, INDEX(Matériel!A:Z, MATCH(E758, Matériel!A:A, 0), 0), 0) + 1)</f>
        <v>150</v>
      </c>
      <c r="J758" s="63">
        <f t="shared" ref="J758:J765" si="74">ROUNDUP(G758 / I758, 0)</f>
        <v>2</v>
      </c>
      <c r="K758" s="63">
        <f>VLOOKUP(H758,Manutention!A:E, 3, FALSE) * J758</f>
        <v>6</v>
      </c>
      <c r="L758" s="63" t="s">
        <v>164</v>
      </c>
      <c r="M758" s="63">
        <f>ROUNDUP(K758/VLOOKUP(L758,Camion!A:D, 3, FALSE),0)</f>
        <v>1</v>
      </c>
      <c r="N758" s="63">
        <f>INT(K758/VLOOKUP(L758,Camion!A:D, 3, FALSE))</f>
        <v>0</v>
      </c>
      <c r="O758" s="64">
        <f>ROUND(K758/VLOOKUP(L758,Camion!A:D, 3, FALSE) - N758,2)</f>
        <v>0.67</v>
      </c>
      <c r="P758" s="63" t="s">
        <v>130</v>
      </c>
    </row>
    <row r="759" spans="1:16" x14ac:dyDescent="0.25">
      <c r="A759" s="7">
        <v>35</v>
      </c>
      <c r="B759" s="62" t="s">
        <v>184</v>
      </c>
      <c r="C759" s="63" t="s">
        <v>1</v>
      </c>
      <c r="D759" s="63" t="s">
        <v>135</v>
      </c>
      <c r="E759" s="63" t="s">
        <v>72</v>
      </c>
      <c r="F759" s="63" t="s">
        <v>138</v>
      </c>
      <c r="G759" s="63">
        <v>630</v>
      </c>
      <c r="H759" s="63" t="s">
        <v>143</v>
      </c>
      <c r="I759" s="63">
        <f>INDEX(Matériel!A:Z, MATCH(E759, Matériel!A:A, 0), MATCH(H759, INDEX(Matériel!A:Z, MATCH(E759, Matériel!A:A, 0), 0), 0) + 1)</f>
        <v>1000</v>
      </c>
      <c r="J759" s="63">
        <f t="shared" si="74"/>
        <v>1</v>
      </c>
      <c r="K759" s="63">
        <f>VLOOKUP(H759,Manutention!A:E, 3, FALSE) * J759</f>
        <v>1</v>
      </c>
      <c r="L759" s="63" t="s">
        <v>164</v>
      </c>
      <c r="M759" s="63">
        <f>ROUNDUP(K759/VLOOKUP(L759,Camion!A:D, 3, FALSE),0)</f>
        <v>1</v>
      </c>
      <c r="N759" s="63">
        <f>INT(K759/VLOOKUP(L759,Camion!A:D, 3, FALSE))</f>
        <v>0</v>
      </c>
      <c r="O759" s="64">
        <f>ROUND(K759/VLOOKUP(L759,Camion!A:D, 3, FALSE) - N759,2)</f>
        <v>0.11</v>
      </c>
      <c r="P759" s="63" t="s">
        <v>130</v>
      </c>
    </row>
    <row r="760" spans="1:16" x14ac:dyDescent="0.25">
      <c r="A760" s="7">
        <v>35</v>
      </c>
      <c r="B760" s="62" t="s">
        <v>184</v>
      </c>
      <c r="C760" s="63" t="s">
        <v>1</v>
      </c>
      <c r="D760" s="63" t="s">
        <v>135</v>
      </c>
      <c r="E760" s="63" t="s">
        <v>75</v>
      </c>
      <c r="F760" s="63" t="s">
        <v>127</v>
      </c>
      <c r="G760" s="63">
        <v>32</v>
      </c>
      <c r="H760" s="63" t="s">
        <v>136</v>
      </c>
      <c r="I760" s="63">
        <f>INDEX(Matériel!A:Z, MATCH(E760, Matériel!A:A, 0), MATCH(H760, INDEX(Matériel!A:Z, MATCH(E760, Matériel!A:A, 0), 0), 0) + 1)</f>
        <v>60</v>
      </c>
      <c r="J760" s="63">
        <f t="shared" si="74"/>
        <v>1</v>
      </c>
      <c r="K760" s="63">
        <f>VLOOKUP(H760,Manutention!A:E, 3, FALSE) * J760</f>
        <v>1</v>
      </c>
      <c r="L760" s="63" t="s">
        <v>164</v>
      </c>
      <c r="M760" s="63">
        <f>ROUNDUP(K760/VLOOKUP(L760,Camion!A:D, 3, FALSE),0)</f>
        <v>1</v>
      </c>
      <c r="N760" s="63">
        <f>INT(K760/VLOOKUP(L760,Camion!A:D, 3, FALSE))</f>
        <v>0</v>
      </c>
      <c r="O760" s="64">
        <f>ROUND(K760/VLOOKUP(L760,Camion!A:D, 3, FALSE) - N760,2)</f>
        <v>0.11</v>
      </c>
      <c r="P760" s="63" t="s">
        <v>129</v>
      </c>
    </row>
    <row r="761" spans="1:16" x14ac:dyDescent="0.25">
      <c r="A761" s="7">
        <v>35</v>
      </c>
      <c r="B761" s="62" t="s">
        <v>184</v>
      </c>
      <c r="C761" s="63" t="s">
        <v>1</v>
      </c>
      <c r="D761" s="63" t="s">
        <v>128</v>
      </c>
      <c r="E761" s="63" t="s">
        <v>76</v>
      </c>
      <c r="F761" s="63" t="s">
        <v>127</v>
      </c>
      <c r="G761" s="63">
        <v>16</v>
      </c>
      <c r="H761" s="63" t="s">
        <v>131</v>
      </c>
      <c r="I761" s="63">
        <f>INDEX(Matériel!A:Z, MATCH(E761, Matériel!A:A, 0), MATCH(H761, INDEX(Matériel!A:Z, MATCH(E761, Matériel!A:A, 0), 0), 0) + 1)</f>
        <v>100</v>
      </c>
      <c r="J761" s="63">
        <f t="shared" si="74"/>
        <v>1</v>
      </c>
      <c r="K761" s="63">
        <f>VLOOKUP(H761,Manutention!A:E, 3, FALSE) * J761</f>
        <v>1</v>
      </c>
      <c r="L761" s="63" t="s">
        <v>164</v>
      </c>
      <c r="M761" s="63">
        <f>ROUNDUP(K761/VLOOKUP(L761,Camion!A:D, 3, FALSE),0)</f>
        <v>1</v>
      </c>
      <c r="N761" s="63">
        <f>INT(K761/VLOOKUP(L761,Camion!A:D, 3, FALSE))</f>
        <v>0</v>
      </c>
      <c r="O761" s="64">
        <f>ROUND(K761/VLOOKUP(L761,Camion!A:D, 3, FALSE) - N761,2)</f>
        <v>0.11</v>
      </c>
      <c r="P761" s="63" t="s">
        <v>129</v>
      </c>
    </row>
    <row r="762" spans="1:16" x14ac:dyDescent="0.25">
      <c r="A762" s="7">
        <v>35</v>
      </c>
      <c r="B762" s="62" t="s">
        <v>184</v>
      </c>
      <c r="C762" s="63" t="s">
        <v>1</v>
      </c>
      <c r="D762" s="63" t="s">
        <v>135</v>
      </c>
      <c r="E762" s="63" t="s">
        <v>77</v>
      </c>
      <c r="F762" s="63" t="s">
        <v>127</v>
      </c>
      <c r="G762" s="63">
        <v>134</v>
      </c>
      <c r="H762" s="63" t="s">
        <v>131</v>
      </c>
      <c r="I762" s="63">
        <f>INDEX(Matériel!A:Z, MATCH(E762, Matériel!A:A, 0), MATCH(H762, INDEX(Matériel!A:Z, MATCH(E762, Matériel!A:A, 0), 0), 0) + 1)</f>
        <v>20</v>
      </c>
      <c r="J762" s="63">
        <f t="shared" si="74"/>
        <v>7</v>
      </c>
      <c r="K762" s="63">
        <f>VLOOKUP(H762,Manutention!A:E, 3, FALSE) * J762</f>
        <v>7</v>
      </c>
      <c r="L762" s="63" t="s">
        <v>164</v>
      </c>
      <c r="M762" s="63">
        <f>ROUNDUP(K762/VLOOKUP(L762,Camion!A:D, 3, FALSE),0)</f>
        <v>1</v>
      </c>
      <c r="N762" s="63">
        <f>INT(K762/VLOOKUP(L762,Camion!A:D, 3, FALSE))</f>
        <v>0</v>
      </c>
      <c r="O762" s="64">
        <f>ROUND(K762/VLOOKUP(L762,Camion!A:D, 3, FALSE) - N762,2)</f>
        <v>0.78</v>
      </c>
      <c r="P762" s="63" t="s">
        <v>129</v>
      </c>
    </row>
    <row r="763" spans="1:16" x14ac:dyDescent="0.25">
      <c r="A763" s="7">
        <v>35</v>
      </c>
      <c r="B763" s="62" t="s">
        <v>184</v>
      </c>
      <c r="C763" s="63" t="s">
        <v>1</v>
      </c>
      <c r="D763" s="63" t="s">
        <v>135</v>
      </c>
      <c r="E763" s="63" t="s">
        <v>78</v>
      </c>
      <c r="F763" s="63" t="s">
        <v>127</v>
      </c>
      <c r="G763" s="63">
        <v>2</v>
      </c>
      <c r="H763" s="63" t="s">
        <v>133</v>
      </c>
      <c r="I763" s="63">
        <f>INDEX(Matériel!A:Z, MATCH(E763, Matériel!A:A, 0), MATCH(H763, INDEX(Matériel!A:Z, MATCH(E763, Matériel!A:A, 0), 0), 0) + 1)</f>
        <v>1</v>
      </c>
      <c r="J763" s="63">
        <f t="shared" si="74"/>
        <v>2</v>
      </c>
      <c r="K763" s="63">
        <f>VLOOKUP(H763,Manutention!A:E, 3, FALSE) * J763</f>
        <v>4</v>
      </c>
      <c r="L763" s="63" t="s">
        <v>164</v>
      </c>
      <c r="M763" s="63">
        <f>ROUNDUP(K763/VLOOKUP(L763,Camion!A:D, 3, FALSE),0)</f>
        <v>1</v>
      </c>
      <c r="N763" s="63">
        <f>INT(K763/VLOOKUP(L763,Camion!A:D, 3, FALSE))</f>
        <v>0</v>
      </c>
      <c r="O763" s="64">
        <f>ROUND(K763/VLOOKUP(L763,Camion!A:D, 3, FALSE) - N763,2)</f>
        <v>0.44</v>
      </c>
      <c r="P763" s="63" t="s">
        <v>129</v>
      </c>
    </row>
    <row r="764" spans="1:16" x14ac:dyDescent="0.25">
      <c r="A764" s="7">
        <v>35</v>
      </c>
      <c r="B764" s="62" t="s">
        <v>184</v>
      </c>
      <c r="C764" s="63" t="s">
        <v>1</v>
      </c>
      <c r="D764" s="63" t="s">
        <v>135</v>
      </c>
      <c r="E764" s="63" t="s">
        <v>79</v>
      </c>
      <c r="F764" s="63" t="s">
        <v>127</v>
      </c>
      <c r="G764" s="63">
        <v>2</v>
      </c>
      <c r="H764" s="63" t="s">
        <v>133</v>
      </c>
      <c r="I764" s="63">
        <f>INDEX(Matériel!A:Z, MATCH(E764, Matériel!A:A, 0), MATCH(H764, INDEX(Matériel!A:Z, MATCH(E764, Matériel!A:A, 0), 0), 0) + 1)</f>
        <v>1</v>
      </c>
      <c r="J764" s="63">
        <f t="shared" si="74"/>
        <v>2</v>
      </c>
      <c r="K764" s="63">
        <f>VLOOKUP(H764,Manutention!A:E, 3, FALSE) * J764</f>
        <v>4</v>
      </c>
      <c r="L764" s="63" t="s">
        <v>164</v>
      </c>
      <c r="M764" s="63">
        <f>ROUNDUP(K764/VLOOKUP(L764,Camion!A:D, 3, FALSE),0)</f>
        <v>1</v>
      </c>
      <c r="N764" s="63">
        <f>INT(K764/VLOOKUP(L764,Camion!A:D, 3, FALSE))</f>
        <v>0</v>
      </c>
      <c r="O764" s="64">
        <f>ROUND(K764/VLOOKUP(L764,Camion!A:D, 3, FALSE) - N764,2)</f>
        <v>0.44</v>
      </c>
      <c r="P764" s="63" t="s">
        <v>129</v>
      </c>
    </row>
    <row r="765" spans="1:16" x14ac:dyDescent="0.25">
      <c r="A765" s="7">
        <v>35</v>
      </c>
      <c r="B765" s="62" t="s">
        <v>184</v>
      </c>
      <c r="C765" s="63" t="s">
        <v>1</v>
      </c>
      <c r="D765" s="63" t="s">
        <v>128</v>
      </c>
      <c r="E765" s="63" t="s">
        <v>81</v>
      </c>
      <c r="F765" s="63" t="s">
        <v>127</v>
      </c>
      <c r="G765" s="63">
        <v>6</v>
      </c>
      <c r="H765" s="63" t="s">
        <v>131</v>
      </c>
      <c r="I765" s="63">
        <f>INDEX(Matériel!A:Z, MATCH(E765, Matériel!A:A, 0), MATCH(H765, INDEX(Matériel!A:Z, MATCH(E765, Matériel!A:A, 0), 0), 0) + 1)</f>
        <v>100</v>
      </c>
      <c r="J765" s="63">
        <f t="shared" si="74"/>
        <v>1</v>
      </c>
      <c r="K765" s="63">
        <f>VLOOKUP(H765,Manutention!A:E, 3, FALSE) * J765</f>
        <v>1</v>
      </c>
      <c r="L765" s="63" t="s">
        <v>164</v>
      </c>
      <c r="M765" s="63">
        <f>ROUNDUP(K765/VLOOKUP(L765,Camion!A:D, 3, FALSE),0)</f>
        <v>1</v>
      </c>
      <c r="N765" s="63">
        <f>INT(K765/VLOOKUP(L765,Camion!A:D, 3, FALSE))</f>
        <v>0</v>
      </c>
      <c r="O765" s="64">
        <f>ROUND(K765/VLOOKUP(L765,Camion!A:D, 3, FALSE) - N765,2)</f>
        <v>0.11</v>
      </c>
      <c r="P765" s="63" t="s">
        <v>130</v>
      </c>
    </row>
    <row r="766" spans="1:16" x14ac:dyDescent="0.25">
      <c r="A766" s="7">
        <v>35</v>
      </c>
      <c r="B766" s="5" t="s">
        <v>184</v>
      </c>
      <c r="C766" s="65"/>
      <c r="D766" s="65"/>
      <c r="E766" s="65" t="s">
        <v>187</v>
      </c>
      <c r="F766" s="65"/>
      <c r="G766" s="65"/>
      <c r="H766" s="65" t="s">
        <v>131</v>
      </c>
      <c r="I766" s="65"/>
      <c r="J766" s="65"/>
      <c r="K766" s="65">
        <f>SUMIFS(K:K, A:A, 35, B:B, "Z1 Z2", P:P, "Oui", D:D, "Production")</f>
        <v>1</v>
      </c>
      <c r="L766" s="65" t="s">
        <v>164</v>
      </c>
      <c r="M766" s="65">
        <f>ROUNDUP(K766/VLOOKUP(L766,Camion!A:D, 3, FALSE),0)</f>
        <v>1</v>
      </c>
      <c r="N766" s="65">
        <f>INT(K766/VLOOKUP(L766,Camion!A:D, 3, FALSE))</f>
        <v>0</v>
      </c>
      <c r="O766" s="66">
        <f>ROUND(K766/VLOOKUP(L766,Camion!A:D, 3, FALSE) - N766,2)</f>
        <v>0.11</v>
      </c>
      <c r="P766" s="65"/>
    </row>
    <row r="767" spans="1:16" x14ac:dyDescent="0.25">
      <c r="A767" s="7">
        <v>35</v>
      </c>
      <c r="B767" s="5" t="s">
        <v>184</v>
      </c>
      <c r="C767" s="65"/>
      <c r="D767" s="65"/>
      <c r="E767" s="65" t="s">
        <v>188</v>
      </c>
      <c r="F767" s="65"/>
      <c r="G767" s="65"/>
      <c r="H767" s="65" t="s">
        <v>131</v>
      </c>
      <c r="I767" s="65"/>
      <c r="J767" s="65"/>
      <c r="K767" s="65">
        <f>SUMIFS(K:K, A:A, 35, B:B, "Z1 Z2", P:P, "Oui", D:D, "Terminaux")</f>
        <v>16</v>
      </c>
      <c r="L767" s="65" t="s">
        <v>166</v>
      </c>
      <c r="M767" s="65">
        <f>ROUNDUP(K767/VLOOKUP(L767,Camion!A:D, 3, FALSE),0)</f>
        <v>1</v>
      </c>
      <c r="N767" s="65">
        <f>INT(K767/VLOOKUP(L767,Camion!A:D, 3, FALSE))</f>
        <v>0</v>
      </c>
      <c r="O767" s="66">
        <f>ROUND(K767/VLOOKUP(L767,Camion!A:D, 3, FALSE) - N767,2)</f>
        <v>0.94</v>
      </c>
      <c r="P767" s="65"/>
    </row>
    <row r="768" spans="1:16" x14ac:dyDescent="0.25">
      <c r="A768" s="7">
        <v>35</v>
      </c>
      <c r="B768" s="62" t="s">
        <v>185</v>
      </c>
      <c r="C768" s="63" t="s">
        <v>1</v>
      </c>
      <c r="D768" s="63" t="s">
        <v>128</v>
      </c>
      <c r="E768" s="63" t="s">
        <v>71</v>
      </c>
      <c r="F768" s="63" t="s">
        <v>138</v>
      </c>
      <c r="G768" s="63">
        <v>202</v>
      </c>
      <c r="H768" s="63" t="s">
        <v>139</v>
      </c>
      <c r="I768" s="63">
        <f>INDEX(Matériel!A:Z, MATCH(E768, Matériel!A:A, 0), MATCH(H768, INDEX(Matériel!A:Z, MATCH(E768, Matériel!A:A, 0), 0), 0) + 1)</f>
        <v>150</v>
      </c>
      <c r="J768" s="63">
        <f t="shared" ref="J768:J775" si="75">ROUNDUP(G768 / I768, 0)</f>
        <v>2</v>
      </c>
      <c r="K768" s="63">
        <f>VLOOKUP(H768,Manutention!A:E, 3, FALSE) * J768</f>
        <v>6</v>
      </c>
      <c r="L768" s="63" t="s">
        <v>164</v>
      </c>
      <c r="M768" s="63">
        <f>ROUNDUP(K768/VLOOKUP(L768,Camion!A:D, 3, FALSE),0)</f>
        <v>1</v>
      </c>
      <c r="N768" s="63">
        <f>INT(K768/VLOOKUP(L768,Camion!A:D, 3, FALSE))</f>
        <v>0</v>
      </c>
      <c r="O768" s="64">
        <f>ROUND(K768/VLOOKUP(L768,Camion!A:D, 3, FALSE) - N768,2)</f>
        <v>0.67</v>
      </c>
      <c r="P768" s="63" t="s">
        <v>130</v>
      </c>
    </row>
    <row r="769" spans="1:16" x14ac:dyDescent="0.25">
      <c r="A769" s="7">
        <v>35</v>
      </c>
      <c r="B769" s="62" t="s">
        <v>185</v>
      </c>
      <c r="C769" s="63" t="s">
        <v>1</v>
      </c>
      <c r="D769" s="63" t="s">
        <v>135</v>
      </c>
      <c r="E769" s="63" t="s">
        <v>72</v>
      </c>
      <c r="F769" s="63" t="s">
        <v>138</v>
      </c>
      <c r="G769" s="63">
        <v>620</v>
      </c>
      <c r="H769" s="63" t="s">
        <v>143</v>
      </c>
      <c r="I769" s="63">
        <f>INDEX(Matériel!A:Z, MATCH(E769, Matériel!A:A, 0), MATCH(H769, INDEX(Matériel!A:Z, MATCH(E769, Matériel!A:A, 0), 0), 0) + 1)</f>
        <v>1000</v>
      </c>
      <c r="J769" s="63">
        <f t="shared" si="75"/>
        <v>1</v>
      </c>
      <c r="K769" s="63">
        <f>VLOOKUP(H769,Manutention!A:E, 3, FALSE) * J769</f>
        <v>1</v>
      </c>
      <c r="L769" s="63" t="s">
        <v>164</v>
      </c>
      <c r="M769" s="63">
        <f>ROUNDUP(K769/VLOOKUP(L769,Camion!A:D, 3, FALSE),0)</f>
        <v>1</v>
      </c>
      <c r="N769" s="63">
        <f>INT(K769/VLOOKUP(L769,Camion!A:D, 3, FALSE))</f>
        <v>0</v>
      </c>
      <c r="O769" s="64">
        <f>ROUND(K769/VLOOKUP(L769,Camion!A:D, 3, FALSE) - N769,2)</f>
        <v>0.11</v>
      </c>
      <c r="P769" s="63" t="s">
        <v>130</v>
      </c>
    </row>
    <row r="770" spans="1:16" x14ac:dyDescent="0.25">
      <c r="A770" s="7">
        <v>35</v>
      </c>
      <c r="B770" s="62" t="s">
        <v>185</v>
      </c>
      <c r="C770" s="63" t="s">
        <v>1</v>
      </c>
      <c r="D770" s="63" t="s">
        <v>135</v>
      </c>
      <c r="E770" s="63" t="s">
        <v>75</v>
      </c>
      <c r="F770" s="63" t="s">
        <v>127</v>
      </c>
      <c r="G770" s="63">
        <v>31</v>
      </c>
      <c r="H770" s="63" t="s">
        <v>136</v>
      </c>
      <c r="I770" s="63">
        <f>INDEX(Matériel!A:Z, MATCH(E770, Matériel!A:A, 0), MATCH(H770, INDEX(Matériel!A:Z, MATCH(E770, Matériel!A:A, 0), 0), 0) + 1)</f>
        <v>60</v>
      </c>
      <c r="J770" s="63">
        <f t="shared" si="75"/>
        <v>1</v>
      </c>
      <c r="K770" s="63">
        <f>VLOOKUP(H770,Manutention!A:E, 3, FALSE) * J770</f>
        <v>1</v>
      </c>
      <c r="L770" s="63" t="s">
        <v>164</v>
      </c>
      <c r="M770" s="63">
        <f>ROUNDUP(K770/VLOOKUP(L770,Camion!A:D, 3, FALSE),0)</f>
        <v>1</v>
      </c>
      <c r="N770" s="63">
        <f>INT(K770/VLOOKUP(L770,Camion!A:D, 3, FALSE))</f>
        <v>0</v>
      </c>
      <c r="O770" s="64">
        <f>ROUND(K770/VLOOKUP(L770,Camion!A:D, 3, FALSE) - N770,2)</f>
        <v>0.11</v>
      </c>
      <c r="P770" s="63" t="s">
        <v>129</v>
      </c>
    </row>
    <row r="771" spans="1:16" x14ac:dyDescent="0.25">
      <c r="A771" s="7">
        <v>35</v>
      </c>
      <c r="B771" s="62" t="s">
        <v>185</v>
      </c>
      <c r="C771" s="63" t="s">
        <v>1</v>
      </c>
      <c r="D771" s="63" t="s">
        <v>128</v>
      </c>
      <c r="E771" s="63" t="s">
        <v>76</v>
      </c>
      <c r="F771" s="63" t="s">
        <v>127</v>
      </c>
      <c r="G771" s="63">
        <v>15</v>
      </c>
      <c r="H771" s="63" t="s">
        <v>131</v>
      </c>
      <c r="I771" s="63">
        <f>INDEX(Matériel!A:Z, MATCH(E771, Matériel!A:A, 0), MATCH(H771, INDEX(Matériel!A:Z, MATCH(E771, Matériel!A:A, 0), 0), 0) + 1)</f>
        <v>100</v>
      </c>
      <c r="J771" s="63">
        <f t="shared" si="75"/>
        <v>1</v>
      </c>
      <c r="K771" s="63">
        <f>VLOOKUP(H771,Manutention!A:E, 3, FALSE) * J771</f>
        <v>1</v>
      </c>
      <c r="L771" s="63" t="s">
        <v>164</v>
      </c>
      <c r="M771" s="63">
        <f>ROUNDUP(K771/VLOOKUP(L771,Camion!A:D, 3, FALSE),0)</f>
        <v>1</v>
      </c>
      <c r="N771" s="63">
        <f>INT(K771/VLOOKUP(L771,Camion!A:D, 3, FALSE))</f>
        <v>0</v>
      </c>
      <c r="O771" s="64">
        <f>ROUND(K771/VLOOKUP(L771,Camion!A:D, 3, FALSE) - N771,2)</f>
        <v>0.11</v>
      </c>
      <c r="P771" s="63" t="s">
        <v>129</v>
      </c>
    </row>
    <row r="772" spans="1:16" x14ac:dyDescent="0.25">
      <c r="A772" s="7">
        <v>35</v>
      </c>
      <c r="B772" s="62" t="s">
        <v>185</v>
      </c>
      <c r="C772" s="63" t="s">
        <v>1</v>
      </c>
      <c r="D772" s="63" t="s">
        <v>135</v>
      </c>
      <c r="E772" s="63" t="s">
        <v>77</v>
      </c>
      <c r="F772" s="63" t="s">
        <v>127</v>
      </c>
      <c r="G772" s="63">
        <v>132</v>
      </c>
      <c r="H772" s="63" t="s">
        <v>131</v>
      </c>
      <c r="I772" s="63">
        <f>INDEX(Matériel!A:Z, MATCH(E772, Matériel!A:A, 0), MATCH(H772, INDEX(Matériel!A:Z, MATCH(E772, Matériel!A:A, 0), 0), 0) + 1)</f>
        <v>20</v>
      </c>
      <c r="J772" s="63">
        <f t="shared" si="75"/>
        <v>7</v>
      </c>
      <c r="K772" s="63">
        <f>VLOOKUP(H772,Manutention!A:E, 3, FALSE) * J772</f>
        <v>7</v>
      </c>
      <c r="L772" s="63" t="s">
        <v>164</v>
      </c>
      <c r="M772" s="63">
        <f>ROUNDUP(K772/VLOOKUP(L772,Camion!A:D, 3, FALSE),0)</f>
        <v>1</v>
      </c>
      <c r="N772" s="63">
        <f>INT(K772/VLOOKUP(L772,Camion!A:D, 3, FALSE))</f>
        <v>0</v>
      </c>
      <c r="O772" s="64">
        <f>ROUND(K772/VLOOKUP(L772,Camion!A:D, 3, FALSE) - N772,2)</f>
        <v>0.78</v>
      </c>
      <c r="P772" s="63" t="s">
        <v>129</v>
      </c>
    </row>
    <row r="773" spans="1:16" x14ac:dyDescent="0.25">
      <c r="A773" s="7">
        <v>35</v>
      </c>
      <c r="B773" s="62" t="s">
        <v>185</v>
      </c>
      <c r="C773" s="63" t="s">
        <v>1</v>
      </c>
      <c r="D773" s="63" t="s">
        <v>135</v>
      </c>
      <c r="E773" s="63" t="s">
        <v>78</v>
      </c>
      <c r="F773" s="63" t="s">
        <v>127</v>
      </c>
      <c r="G773" s="63">
        <v>2</v>
      </c>
      <c r="H773" s="63" t="s">
        <v>133</v>
      </c>
      <c r="I773" s="63">
        <f>INDEX(Matériel!A:Z, MATCH(E773, Matériel!A:A, 0), MATCH(H773, INDEX(Matériel!A:Z, MATCH(E773, Matériel!A:A, 0), 0), 0) + 1)</f>
        <v>1</v>
      </c>
      <c r="J773" s="63">
        <f t="shared" si="75"/>
        <v>2</v>
      </c>
      <c r="K773" s="63">
        <f>VLOOKUP(H773,Manutention!A:E, 3, FALSE) * J773</f>
        <v>4</v>
      </c>
      <c r="L773" s="63" t="s">
        <v>164</v>
      </c>
      <c r="M773" s="63">
        <f>ROUNDUP(K773/VLOOKUP(L773,Camion!A:D, 3, FALSE),0)</f>
        <v>1</v>
      </c>
      <c r="N773" s="63">
        <f>INT(K773/VLOOKUP(L773,Camion!A:D, 3, FALSE))</f>
        <v>0</v>
      </c>
      <c r="O773" s="64">
        <f>ROUND(K773/VLOOKUP(L773,Camion!A:D, 3, FALSE) - N773,2)</f>
        <v>0.44</v>
      </c>
      <c r="P773" s="63" t="s">
        <v>129</v>
      </c>
    </row>
    <row r="774" spans="1:16" x14ac:dyDescent="0.25">
      <c r="A774" s="7">
        <v>35</v>
      </c>
      <c r="B774" s="62" t="s">
        <v>185</v>
      </c>
      <c r="C774" s="63" t="s">
        <v>1</v>
      </c>
      <c r="D774" s="63" t="s">
        <v>135</v>
      </c>
      <c r="E774" s="63" t="s">
        <v>79</v>
      </c>
      <c r="F774" s="63" t="s">
        <v>127</v>
      </c>
      <c r="G774" s="63">
        <v>2</v>
      </c>
      <c r="H774" s="63" t="s">
        <v>133</v>
      </c>
      <c r="I774" s="63">
        <f>INDEX(Matériel!A:Z, MATCH(E774, Matériel!A:A, 0), MATCH(H774, INDEX(Matériel!A:Z, MATCH(E774, Matériel!A:A, 0), 0), 0) + 1)</f>
        <v>1</v>
      </c>
      <c r="J774" s="63">
        <f t="shared" si="75"/>
        <v>2</v>
      </c>
      <c r="K774" s="63">
        <f>VLOOKUP(H774,Manutention!A:E, 3, FALSE) * J774</f>
        <v>4</v>
      </c>
      <c r="L774" s="63" t="s">
        <v>164</v>
      </c>
      <c r="M774" s="63">
        <f>ROUNDUP(K774/VLOOKUP(L774,Camion!A:D, 3, FALSE),0)</f>
        <v>1</v>
      </c>
      <c r="N774" s="63">
        <f>INT(K774/VLOOKUP(L774,Camion!A:D, 3, FALSE))</f>
        <v>0</v>
      </c>
      <c r="O774" s="64">
        <f>ROUND(K774/VLOOKUP(L774,Camion!A:D, 3, FALSE) - N774,2)</f>
        <v>0.44</v>
      </c>
      <c r="P774" s="63" t="s">
        <v>129</v>
      </c>
    </row>
    <row r="775" spans="1:16" x14ac:dyDescent="0.25">
      <c r="A775" s="7">
        <v>35</v>
      </c>
      <c r="B775" s="62" t="s">
        <v>185</v>
      </c>
      <c r="C775" s="63" t="s">
        <v>1</v>
      </c>
      <c r="D775" s="63" t="s">
        <v>128</v>
      </c>
      <c r="E775" s="63" t="s">
        <v>81</v>
      </c>
      <c r="F775" s="63" t="s">
        <v>127</v>
      </c>
      <c r="G775" s="63">
        <v>6</v>
      </c>
      <c r="H775" s="63" t="s">
        <v>131</v>
      </c>
      <c r="I775" s="63">
        <f>INDEX(Matériel!A:Z, MATCH(E775, Matériel!A:A, 0), MATCH(H775, INDEX(Matériel!A:Z, MATCH(E775, Matériel!A:A, 0), 0), 0) + 1)</f>
        <v>100</v>
      </c>
      <c r="J775" s="63">
        <f t="shared" si="75"/>
        <v>1</v>
      </c>
      <c r="K775" s="63">
        <f>VLOOKUP(H775,Manutention!A:E, 3, FALSE) * J775</f>
        <v>1</v>
      </c>
      <c r="L775" s="63" t="s">
        <v>164</v>
      </c>
      <c r="M775" s="63">
        <f>ROUNDUP(K775/VLOOKUP(L775,Camion!A:D, 3, FALSE),0)</f>
        <v>1</v>
      </c>
      <c r="N775" s="63">
        <f>INT(K775/VLOOKUP(L775,Camion!A:D, 3, FALSE))</f>
        <v>0</v>
      </c>
      <c r="O775" s="64">
        <f>ROUND(K775/VLOOKUP(L775,Camion!A:D, 3, FALSE) - N775,2)</f>
        <v>0.11</v>
      </c>
      <c r="P775" s="63" t="s">
        <v>130</v>
      </c>
    </row>
    <row r="776" spans="1:16" x14ac:dyDescent="0.25">
      <c r="A776" s="7">
        <v>35</v>
      </c>
      <c r="B776" s="5" t="s">
        <v>185</v>
      </c>
      <c r="C776" s="65"/>
      <c r="D776" s="65"/>
      <c r="E776" s="65" t="s">
        <v>187</v>
      </c>
      <c r="F776" s="65"/>
      <c r="G776" s="65"/>
      <c r="H776" s="65" t="s">
        <v>131</v>
      </c>
      <c r="I776" s="65"/>
      <c r="J776" s="65"/>
      <c r="K776" s="65">
        <f>SUMIFS(K:K, A:A, 35, B:B, "Z3 Z4", P:P, "Oui", D:D, "Production")</f>
        <v>1</v>
      </c>
      <c r="L776" s="65" t="s">
        <v>164</v>
      </c>
      <c r="M776" s="65">
        <f>ROUNDUP(K776/VLOOKUP(L776,Camion!A:D, 3, FALSE),0)</f>
        <v>1</v>
      </c>
      <c r="N776" s="65">
        <f>INT(K776/VLOOKUP(L776,Camion!A:D, 3, FALSE))</f>
        <v>0</v>
      </c>
      <c r="O776" s="66">
        <f>ROUND(K776/VLOOKUP(L776,Camion!A:D, 3, FALSE) - N776,2)</f>
        <v>0.11</v>
      </c>
      <c r="P776" s="65"/>
    </row>
    <row r="777" spans="1:16" x14ac:dyDescent="0.25">
      <c r="A777" s="7">
        <v>35</v>
      </c>
      <c r="B777" s="5" t="s">
        <v>185</v>
      </c>
      <c r="C777" s="65"/>
      <c r="D777" s="65"/>
      <c r="E777" s="65" t="s">
        <v>188</v>
      </c>
      <c r="F777" s="65"/>
      <c r="G777" s="65"/>
      <c r="H777" s="65" t="s">
        <v>131</v>
      </c>
      <c r="I777" s="65"/>
      <c r="J777" s="65"/>
      <c r="K777" s="65">
        <f>SUMIFS(K:K, A:A, 35, B:B, "Z3 Z4", P:P, "Oui", D:D, "Terminaux")</f>
        <v>16</v>
      </c>
      <c r="L777" s="65" t="s">
        <v>166</v>
      </c>
      <c r="M777" s="65">
        <f>ROUNDUP(K777/VLOOKUP(L777,Camion!A:D, 3, FALSE),0)</f>
        <v>1</v>
      </c>
      <c r="N777" s="65">
        <f>INT(K777/VLOOKUP(L777,Camion!A:D, 3, FALSE))</f>
        <v>0</v>
      </c>
      <c r="O777" s="66">
        <f>ROUND(K777/VLOOKUP(L777,Camion!A:D, 3, FALSE) - N777,2)</f>
        <v>0.94</v>
      </c>
      <c r="P777" s="65"/>
    </row>
    <row r="778" spans="1:16" x14ac:dyDescent="0.25">
      <c r="A778" s="7">
        <v>36</v>
      </c>
      <c r="B778" s="62" t="s">
        <v>184</v>
      </c>
      <c r="C778" s="63" t="s">
        <v>1</v>
      </c>
      <c r="D778" s="63" t="s">
        <v>128</v>
      </c>
      <c r="E778" s="63" t="s">
        <v>71</v>
      </c>
      <c r="F778" s="63" t="s">
        <v>138</v>
      </c>
      <c r="G778" s="63">
        <v>199</v>
      </c>
      <c r="H778" s="63" t="s">
        <v>139</v>
      </c>
      <c r="I778" s="63">
        <f>INDEX(Matériel!A:Z, MATCH(E778, Matériel!A:A, 0), MATCH(H778, INDEX(Matériel!A:Z, MATCH(E778, Matériel!A:A, 0), 0), 0) + 1)</f>
        <v>150</v>
      </c>
      <c r="J778" s="63">
        <f t="shared" ref="J778:J785" si="76">ROUNDUP(G778 / I778, 0)</f>
        <v>2</v>
      </c>
      <c r="K778" s="63">
        <f>VLOOKUP(H778,Manutention!A:E, 3, FALSE) * J778</f>
        <v>6</v>
      </c>
      <c r="L778" s="63" t="s">
        <v>164</v>
      </c>
      <c r="M778" s="63">
        <f>ROUNDUP(K778/VLOOKUP(L778,Camion!A:D, 3, FALSE),0)</f>
        <v>1</v>
      </c>
      <c r="N778" s="63">
        <f>INT(K778/VLOOKUP(L778,Camion!A:D, 3, FALSE))</f>
        <v>0</v>
      </c>
      <c r="O778" s="64">
        <f>ROUND(K778/VLOOKUP(L778,Camion!A:D, 3, FALSE) - N778,2)</f>
        <v>0.67</v>
      </c>
      <c r="P778" s="63" t="s">
        <v>130</v>
      </c>
    </row>
    <row r="779" spans="1:16" x14ac:dyDescent="0.25">
      <c r="A779" s="7">
        <v>36</v>
      </c>
      <c r="B779" s="62" t="s">
        <v>184</v>
      </c>
      <c r="C779" s="63" t="s">
        <v>1</v>
      </c>
      <c r="D779" s="63" t="s">
        <v>135</v>
      </c>
      <c r="E779" s="63" t="s">
        <v>72</v>
      </c>
      <c r="F779" s="63" t="s">
        <v>138</v>
      </c>
      <c r="G779" s="63">
        <v>611</v>
      </c>
      <c r="H779" s="63" t="s">
        <v>143</v>
      </c>
      <c r="I779" s="63">
        <f>INDEX(Matériel!A:Z, MATCH(E779, Matériel!A:A, 0), MATCH(H779, INDEX(Matériel!A:Z, MATCH(E779, Matériel!A:A, 0), 0), 0) + 1)</f>
        <v>1000</v>
      </c>
      <c r="J779" s="63">
        <f t="shared" si="76"/>
        <v>1</v>
      </c>
      <c r="K779" s="63">
        <f>VLOOKUP(H779,Manutention!A:E, 3, FALSE) * J779</f>
        <v>1</v>
      </c>
      <c r="L779" s="63" t="s">
        <v>164</v>
      </c>
      <c r="M779" s="63">
        <f>ROUNDUP(K779/VLOOKUP(L779,Camion!A:D, 3, FALSE),0)</f>
        <v>1</v>
      </c>
      <c r="N779" s="63">
        <f>INT(K779/VLOOKUP(L779,Camion!A:D, 3, FALSE))</f>
        <v>0</v>
      </c>
      <c r="O779" s="64">
        <f>ROUND(K779/VLOOKUP(L779,Camion!A:D, 3, FALSE) - N779,2)</f>
        <v>0.11</v>
      </c>
      <c r="P779" s="63" t="s">
        <v>130</v>
      </c>
    </row>
    <row r="780" spans="1:16" x14ac:dyDescent="0.25">
      <c r="A780" s="7">
        <v>36</v>
      </c>
      <c r="B780" s="62" t="s">
        <v>184</v>
      </c>
      <c r="C780" s="63" t="s">
        <v>1</v>
      </c>
      <c r="D780" s="63" t="s">
        <v>135</v>
      </c>
      <c r="E780" s="63" t="s">
        <v>75</v>
      </c>
      <c r="F780" s="63" t="s">
        <v>127</v>
      </c>
      <c r="G780" s="63">
        <v>31</v>
      </c>
      <c r="H780" s="63" t="s">
        <v>136</v>
      </c>
      <c r="I780" s="63">
        <f>INDEX(Matériel!A:Z, MATCH(E780, Matériel!A:A, 0), MATCH(H780, INDEX(Matériel!A:Z, MATCH(E780, Matériel!A:A, 0), 0), 0) + 1)</f>
        <v>60</v>
      </c>
      <c r="J780" s="63">
        <f t="shared" si="76"/>
        <v>1</v>
      </c>
      <c r="K780" s="63">
        <f>VLOOKUP(H780,Manutention!A:E, 3, FALSE) * J780</f>
        <v>1</v>
      </c>
      <c r="L780" s="63" t="s">
        <v>164</v>
      </c>
      <c r="M780" s="63">
        <f>ROUNDUP(K780/VLOOKUP(L780,Camion!A:D, 3, FALSE),0)</f>
        <v>1</v>
      </c>
      <c r="N780" s="63">
        <f>INT(K780/VLOOKUP(L780,Camion!A:D, 3, FALSE))</f>
        <v>0</v>
      </c>
      <c r="O780" s="64">
        <f>ROUND(K780/VLOOKUP(L780,Camion!A:D, 3, FALSE) - N780,2)</f>
        <v>0.11</v>
      </c>
      <c r="P780" s="63" t="s">
        <v>129</v>
      </c>
    </row>
    <row r="781" spans="1:16" x14ac:dyDescent="0.25">
      <c r="A781" s="7">
        <v>36</v>
      </c>
      <c r="B781" s="62" t="s">
        <v>184</v>
      </c>
      <c r="C781" s="63" t="s">
        <v>1</v>
      </c>
      <c r="D781" s="63" t="s">
        <v>128</v>
      </c>
      <c r="E781" s="63" t="s">
        <v>76</v>
      </c>
      <c r="F781" s="63" t="s">
        <v>127</v>
      </c>
      <c r="G781" s="63">
        <v>15</v>
      </c>
      <c r="H781" s="63" t="s">
        <v>131</v>
      </c>
      <c r="I781" s="63">
        <f>INDEX(Matériel!A:Z, MATCH(E781, Matériel!A:A, 0), MATCH(H781, INDEX(Matériel!A:Z, MATCH(E781, Matériel!A:A, 0), 0), 0) + 1)</f>
        <v>100</v>
      </c>
      <c r="J781" s="63">
        <f t="shared" si="76"/>
        <v>1</v>
      </c>
      <c r="K781" s="63">
        <f>VLOOKUP(H781,Manutention!A:E, 3, FALSE) * J781</f>
        <v>1</v>
      </c>
      <c r="L781" s="63" t="s">
        <v>164</v>
      </c>
      <c r="M781" s="63">
        <f>ROUNDUP(K781/VLOOKUP(L781,Camion!A:D, 3, FALSE),0)</f>
        <v>1</v>
      </c>
      <c r="N781" s="63">
        <f>INT(K781/VLOOKUP(L781,Camion!A:D, 3, FALSE))</f>
        <v>0</v>
      </c>
      <c r="O781" s="64">
        <f>ROUND(K781/VLOOKUP(L781,Camion!A:D, 3, FALSE) - N781,2)</f>
        <v>0.11</v>
      </c>
      <c r="P781" s="63" t="s">
        <v>129</v>
      </c>
    </row>
    <row r="782" spans="1:16" x14ac:dyDescent="0.25">
      <c r="A782" s="7">
        <v>36</v>
      </c>
      <c r="B782" s="62" t="s">
        <v>184</v>
      </c>
      <c r="C782" s="63" t="s">
        <v>1</v>
      </c>
      <c r="D782" s="63" t="s">
        <v>135</v>
      </c>
      <c r="E782" s="63" t="s">
        <v>77</v>
      </c>
      <c r="F782" s="63" t="s">
        <v>127</v>
      </c>
      <c r="G782" s="63">
        <v>130</v>
      </c>
      <c r="H782" s="63" t="s">
        <v>131</v>
      </c>
      <c r="I782" s="63">
        <f>INDEX(Matériel!A:Z, MATCH(E782, Matériel!A:A, 0), MATCH(H782, INDEX(Matériel!A:Z, MATCH(E782, Matériel!A:A, 0), 0), 0) + 1)</f>
        <v>20</v>
      </c>
      <c r="J782" s="63">
        <f t="shared" si="76"/>
        <v>7</v>
      </c>
      <c r="K782" s="63">
        <f>VLOOKUP(H782,Manutention!A:E, 3, FALSE) * J782</f>
        <v>7</v>
      </c>
      <c r="L782" s="63" t="s">
        <v>164</v>
      </c>
      <c r="M782" s="63">
        <f>ROUNDUP(K782/VLOOKUP(L782,Camion!A:D, 3, FALSE),0)</f>
        <v>1</v>
      </c>
      <c r="N782" s="63">
        <f>INT(K782/VLOOKUP(L782,Camion!A:D, 3, FALSE))</f>
        <v>0</v>
      </c>
      <c r="O782" s="64">
        <f>ROUND(K782/VLOOKUP(L782,Camion!A:D, 3, FALSE) - N782,2)</f>
        <v>0.78</v>
      </c>
      <c r="P782" s="63" t="s">
        <v>129</v>
      </c>
    </row>
    <row r="783" spans="1:16" x14ac:dyDescent="0.25">
      <c r="A783" s="7">
        <v>36</v>
      </c>
      <c r="B783" s="62" t="s">
        <v>184</v>
      </c>
      <c r="C783" s="63" t="s">
        <v>1</v>
      </c>
      <c r="D783" s="63" t="s">
        <v>135</v>
      </c>
      <c r="E783" s="63" t="s">
        <v>78</v>
      </c>
      <c r="F783" s="63" t="s">
        <v>127</v>
      </c>
      <c r="G783" s="63">
        <v>2</v>
      </c>
      <c r="H783" s="63" t="s">
        <v>133</v>
      </c>
      <c r="I783" s="63">
        <f>INDEX(Matériel!A:Z, MATCH(E783, Matériel!A:A, 0), MATCH(H783, INDEX(Matériel!A:Z, MATCH(E783, Matériel!A:A, 0), 0), 0) + 1)</f>
        <v>1</v>
      </c>
      <c r="J783" s="63">
        <f t="shared" si="76"/>
        <v>2</v>
      </c>
      <c r="K783" s="63">
        <f>VLOOKUP(H783,Manutention!A:E, 3, FALSE) * J783</f>
        <v>4</v>
      </c>
      <c r="L783" s="63" t="s">
        <v>164</v>
      </c>
      <c r="M783" s="63">
        <f>ROUNDUP(K783/VLOOKUP(L783,Camion!A:D, 3, FALSE),0)</f>
        <v>1</v>
      </c>
      <c r="N783" s="63">
        <f>INT(K783/VLOOKUP(L783,Camion!A:D, 3, FALSE))</f>
        <v>0</v>
      </c>
      <c r="O783" s="64">
        <f>ROUND(K783/VLOOKUP(L783,Camion!A:D, 3, FALSE) - N783,2)</f>
        <v>0.44</v>
      </c>
      <c r="P783" s="63" t="s">
        <v>129</v>
      </c>
    </row>
    <row r="784" spans="1:16" x14ac:dyDescent="0.25">
      <c r="A784" s="7">
        <v>36</v>
      </c>
      <c r="B784" s="62" t="s">
        <v>184</v>
      </c>
      <c r="C784" s="63" t="s">
        <v>1</v>
      </c>
      <c r="D784" s="63" t="s">
        <v>135</v>
      </c>
      <c r="E784" s="63" t="s">
        <v>79</v>
      </c>
      <c r="F784" s="63" t="s">
        <v>127</v>
      </c>
      <c r="G784" s="63">
        <v>1</v>
      </c>
      <c r="H784" s="63" t="s">
        <v>133</v>
      </c>
      <c r="I784" s="63">
        <f>INDEX(Matériel!A:Z, MATCH(E784, Matériel!A:A, 0), MATCH(H784, INDEX(Matériel!A:Z, MATCH(E784, Matériel!A:A, 0), 0), 0) + 1)</f>
        <v>1</v>
      </c>
      <c r="J784" s="63">
        <f t="shared" si="76"/>
        <v>1</v>
      </c>
      <c r="K784" s="63">
        <f>VLOOKUP(H784,Manutention!A:E, 3, FALSE) * J784</f>
        <v>2</v>
      </c>
      <c r="L784" s="63" t="s">
        <v>164</v>
      </c>
      <c r="M784" s="63">
        <f>ROUNDUP(K784/VLOOKUP(L784,Camion!A:D, 3, FALSE),0)</f>
        <v>1</v>
      </c>
      <c r="N784" s="63">
        <f>INT(K784/VLOOKUP(L784,Camion!A:D, 3, FALSE))</f>
        <v>0</v>
      </c>
      <c r="O784" s="64">
        <f>ROUND(K784/VLOOKUP(L784,Camion!A:D, 3, FALSE) - N784,2)</f>
        <v>0.22</v>
      </c>
      <c r="P784" s="63" t="s">
        <v>129</v>
      </c>
    </row>
    <row r="785" spans="1:16" x14ac:dyDescent="0.25">
      <c r="A785" s="7">
        <v>36</v>
      </c>
      <c r="B785" s="62" t="s">
        <v>184</v>
      </c>
      <c r="C785" s="63" t="s">
        <v>1</v>
      </c>
      <c r="D785" s="63" t="s">
        <v>128</v>
      </c>
      <c r="E785" s="63" t="s">
        <v>81</v>
      </c>
      <c r="F785" s="63" t="s">
        <v>127</v>
      </c>
      <c r="G785" s="63">
        <v>5</v>
      </c>
      <c r="H785" s="63" t="s">
        <v>131</v>
      </c>
      <c r="I785" s="63">
        <f>INDEX(Matériel!A:Z, MATCH(E785, Matériel!A:A, 0), MATCH(H785, INDEX(Matériel!A:Z, MATCH(E785, Matériel!A:A, 0), 0), 0) + 1)</f>
        <v>100</v>
      </c>
      <c r="J785" s="63">
        <f t="shared" si="76"/>
        <v>1</v>
      </c>
      <c r="K785" s="63">
        <f>VLOOKUP(H785,Manutention!A:E, 3, FALSE) * J785</f>
        <v>1</v>
      </c>
      <c r="L785" s="63" t="s">
        <v>164</v>
      </c>
      <c r="M785" s="63">
        <f>ROUNDUP(K785/VLOOKUP(L785,Camion!A:D, 3, FALSE),0)</f>
        <v>1</v>
      </c>
      <c r="N785" s="63">
        <f>INT(K785/VLOOKUP(L785,Camion!A:D, 3, FALSE))</f>
        <v>0</v>
      </c>
      <c r="O785" s="64">
        <f>ROUND(K785/VLOOKUP(L785,Camion!A:D, 3, FALSE) - N785,2)</f>
        <v>0.11</v>
      </c>
      <c r="P785" s="63" t="s">
        <v>130</v>
      </c>
    </row>
    <row r="786" spans="1:16" x14ac:dyDescent="0.25">
      <c r="A786" s="7">
        <v>36</v>
      </c>
      <c r="B786" s="5" t="s">
        <v>184</v>
      </c>
      <c r="C786" s="65"/>
      <c r="D786" s="65"/>
      <c r="E786" s="65" t="s">
        <v>187</v>
      </c>
      <c r="F786" s="65"/>
      <c r="G786" s="65"/>
      <c r="H786" s="65" t="s">
        <v>131</v>
      </c>
      <c r="I786" s="65"/>
      <c r="J786" s="65"/>
      <c r="K786" s="65">
        <f>SUMIFS(K:K, A:A, 36, B:B, "Z1 Z2", P:P, "Oui", D:D, "Production")</f>
        <v>1</v>
      </c>
      <c r="L786" s="65" t="s">
        <v>164</v>
      </c>
      <c r="M786" s="65">
        <f>ROUNDUP(K786/VLOOKUP(L786,Camion!A:D, 3, FALSE),0)</f>
        <v>1</v>
      </c>
      <c r="N786" s="65">
        <f>INT(K786/VLOOKUP(L786,Camion!A:D, 3, FALSE))</f>
        <v>0</v>
      </c>
      <c r="O786" s="66">
        <f>ROUND(K786/VLOOKUP(L786,Camion!A:D, 3, FALSE) - N786,2)</f>
        <v>0.11</v>
      </c>
      <c r="P786" s="65"/>
    </row>
    <row r="787" spans="1:16" x14ac:dyDescent="0.25">
      <c r="A787" s="7">
        <v>36</v>
      </c>
      <c r="B787" s="5" t="s">
        <v>184</v>
      </c>
      <c r="C787" s="65"/>
      <c r="D787" s="65"/>
      <c r="E787" s="65" t="s">
        <v>188</v>
      </c>
      <c r="F787" s="65"/>
      <c r="G787" s="65"/>
      <c r="H787" s="65" t="s">
        <v>131</v>
      </c>
      <c r="I787" s="65"/>
      <c r="J787" s="65"/>
      <c r="K787" s="65">
        <f>SUMIFS(K:K, A:A, 36, B:B, "Z1 Z2", P:P, "Oui", D:D, "Terminaux")</f>
        <v>14</v>
      </c>
      <c r="L787" s="65" t="s">
        <v>166</v>
      </c>
      <c r="M787" s="65">
        <f>ROUNDUP(K787/VLOOKUP(L787,Camion!A:D, 3, FALSE),0)</f>
        <v>1</v>
      </c>
      <c r="N787" s="65">
        <f>INT(K787/VLOOKUP(L787,Camion!A:D, 3, FALSE))</f>
        <v>0</v>
      </c>
      <c r="O787" s="66">
        <f>ROUND(K787/VLOOKUP(L787,Camion!A:D, 3, FALSE) - N787,2)</f>
        <v>0.82</v>
      </c>
      <c r="P787" s="65"/>
    </row>
    <row r="788" spans="1:16" x14ac:dyDescent="0.25">
      <c r="A788" s="7">
        <v>36</v>
      </c>
      <c r="B788" s="62" t="s">
        <v>185</v>
      </c>
      <c r="C788" s="63" t="s">
        <v>1</v>
      </c>
      <c r="D788" s="63" t="s">
        <v>128</v>
      </c>
      <c r="E788" s="63" t="s">
        <v>71</v>
      </c>
      <c r="F788" s="63" t="s">
        <v>138</v>
      </c>
      <c r="G788" s="63">
        <v>196</v>
      </c>
      <c r="H788" s="63" t="s">
        <v>139</v>
      </c>
      <c r="I788" s="63">
        <f>INDEX(Matériel!A:Z, MATCH(E788, Matériel!A:A, 0), MATCH(H788, INDEX(Matériel!A:Z, MATCH(E788, Matériel!A:A, 0), 0), 0) + 1)</f>
        <v>150</v>
      </c>
      <c r="J788" s="63">
        <f t="shared" ref="J788:J795" si="77">ROUNDUP(G788 / I788, 0)</f>
        <v>2</v>
      </c>
      <c r="K788" s="63">
        <f>VLOOKUP(H788,Manutention!A:E, 3, FALSE) * J788</f>
        <v>6</v>
      </c>
      <c r="L788" s="63" t="s">
        <v>164</v>
      </c>
      <c r="M788" s="63">
        <f>ROUNDUP(K788/VLOOKUP(L788,Camion!A:D, 3, FALSE),0)</f>
        <v>1</v>
      </c>
      <c r="N788" s="63">
        <f>INT(K788/VLOOKUP(L788,Camion!A:D, 3, FALSE))</f>
        <v>0</v>
      </c>
      <c r="O788" s="64">
        <f>ROUND(K788/VLOOKUP(L788,Camion!A:D, 3, FALSE) - N788,2)</f>
        <v>0.67</v>
      </c>
      <c r="P788" s="63" t="s">
        <v>130</v>
      </c>
    </row>
    <row r="789" spans="1:16" x14ac:dyDescent="0.25">
      <c r="A789" s="7">
        <v>36</v>
      </c>
      <c r="B789" s="62" t="s">
        <v>185</v>
      </c>
      <c r="C789" s="63" t="s">
        <v>1</v>
      </c>
      <c r="D789" s="63" t="s">
        <v>135</v>
      </c>
      <c r="E789" s="63" t="s">
        <v>72</v>
      </c>
      <c r="F789" s="63" t="s">
        <v>138</v>
      </c>
      <c r="G789" s="63">
        <v>602</v>
      </c>
      <c r="H789" s="63" t="s">
        <v>143</v>
      </c>
      <c r="I789" s="63">
        <f>INDEX(Matériel!A:Z, MATCH(E789, Matériel!A:A, 0), MATCH(H789, INDEX(Matériel!A:Z, MATCH(E789, Matériel!A:A, 0), 0), 0) + 1)</f>
        <v>1000</v>
      </c>
      <c r="J789" s="63">
        <f t="shared" si="77"/>
        <v>1</v>
      </c>
      <c r="K789" s="63">
        <f>VLOOKUP(H789,Manutention!A:E, 3, FALSE) * J789</f>
        <v>1</v>
      </c>
      <c r="L789" s="63" t="s">
        <v>164</v>
      </c>
      <c r="M789" s="63">
        <f>ROUNDUP(K789/VLOOKUP(L789,Camion!A:D, 3, FALSE),0)</f>
        <v>1</v>
      </c>
      <c r="N789" s="63">
        <f>INT(K789/VLOOKUP(L789,Camion!A:D, 3, FALSE))</f>
        <v>0</v>
      </c>
      <c r="O789" s="64">
        <f>ROUND(K789/VLOOKUP(L789,Camion!A:D, 3, FALSE) - N789,2)</f>
        <v>0.11</v>
      </c>
      <c r="P789" s="63" t="s">
        <v>130</v>
      </c>
    </row>
    <row r="790" spans="1:16" x14ac:dyDescent="0.25">
      <c r="A790" s="7">
        <v>36</v>
      </c>
      <c r="B790" s="62" t="s">
        <v>185</v>
      </c>
      <c r="C790" s="63" t="s">
        <v>1</v>
      </c>
      <c r="D790" s="63" t="s">
        <v>135</v>
      </c>
      <c r="E790" s="63" t="s">
        <v>75</v>
      </c>
      <c r="F790" s="63" t="s">
        <v>127</v>
      </c>
      <c r="G790" s="63">
        <v>31</v>
      </c>
      <c r="H790" s="63" t="s">
        <v>136</v>
      </c>
      <c r="I790" s="63">
        <f>INDEX(Matériel!A:Z, MATCH(E790, Matériel!A:A, 0), MATCH(H790, INDEX(Matériel!A:Z, MATCH(E790, Matériel!A:A, 0), 0), 0) + 1)</f>
        <v>60</v>
      </c>
      <c r="J790" s="63">
        <f t="shared" si="77"/>
        <v>1</v>
      </c>
      <c r="K790" s="63">
        <f>VLOOKUP(H790,Manutention!A:E, 3, FALSE) * J790</f>
        <v>1</v>
      </c>
      <c r="L790" s="63" t="s">
        <v>164</v>
      </c>
      <c r="M790" s="63">
        <f>ROUNDUP(K790/VLOOKUP(L790,Camion!A:D, 3, FALSE),0)</f>
        <v>1</v>
      </c>
      <c r="N790" s="63">
        <f>INT(K790/VLOOKUP(L790,Camion!A:D, 3, FALSE))</f>
        <v>0</v>
      </c>
      <c r="O790" s="64">
        <f>ROUND(K790/VLOOKUP(L790,Camion!A:D, 3, FALSE) - N790,2)</f>
        <v>0.11</v>
      </c>
      <c r="P790" s="63" t="s">
        <v>129</v>
      </c>
    </row>
    <row r="791" spans="1:16" x14ac:dyDescent="0.25">
      <c r="A791" s="7">
        <v>36</v>
      </c>
      <c r="B791" s="62" t="s">
        <v>185</v>
      </c>
      <c r="C791" s="63" t="s">
        <v>1</v>
      </c>
      <c r="D791" s="63" t="s">
        <v>128</v>
      </c>
      <c r="E791" s="63" t="s">
        <v>76</v>
      </c>
      <c r="F791" s="63" t="s">
        <v>127</v>
      </c>
      <c r="G791" s="63">
        <v>15</v>
      </c>
      <c r="H791" s="63" t="s">
        <v>131</v>
      </c>
      <c r="I791" s="63">
        <f>INDEX(Matériel!A:Z, MATCH(E791, Matériel!A:A, 0), MATCH(H791, INDEX(Matériel!A:Z, MATCH(E791, Matériel!A:A, 0), 0), 0) + 1)</f>
        <v>100</v>
      </c>
      <c r="J791" s="63">
        <f t="shared" si="77"/>
        <v>1</v>
      </c>
      <c r="K791" s="63">
        <f>VLOOKUP(H791,Manutention!A:E, 3, FALSE) * J791</f>
        <v>1</v>
      </c>
      <c r="L791" s="63" t="s">
        <v>164</v>
      </c>
      <c r="M791" s="63">
        <f>ROUNDUP(K791/VLOOKUP(L791,Camion!A:D, 3, FALSE),0)</f>
        <v>1</v>
      </c>
      <c r="N791" s="63">
        <f>INT(K791/VLOOKUP(L791,Camion!A:D, 3, FALSE))</f>
        <v>0</v>
      </c>
      <c r="O791" s="64">
        <f>ROUND(K791/VLOOKUP(L791,Camion!A:D, 3, FALSE) - N791,2)</f>
        <v>0.11</v>
      </c>
      <c r="P791" s="63" t="s">
        <v>129</v>
      </c>
    </row>
    <row r="792" spans="1:16" x14ac:dyDescent="0.25">
      <c r="A792" s="7">
        <v>36</v>
      </c>
      <c r="B792" s="62" t="s">
        <v>185</v>
      </c>
      <c r="C792" s="63" t="s">
        <v>1</v>
      </c>
      <c r="D792" s="63" t="s">
        <v>135</v>
      </c>
      <c r="E792" s="63" t="s">
        <v>77</v>
      </c>
      <c r="F792" s="63" t="s">
        <v>127</v>
      </c>
      <c r="G792" s="63">
        <v>128</v>
      </c>
      <c r="H792" s="63" t="s">
        <v>131</v>
      </c>
      <c r="I792" s="63">
        <f>INDEX(Matériel!A:Z, MATCH(E792, Matériel!A:A, 0), MATCH(H792, INDEX(Matériel!A:Z, MATCH(E792, Matériel!A:A, 0), 0), 0) + 1)</f>
        <v>20</v>
      </c>
      <c r="J792" s="63">
        <f t="shared" si="77"/>
        <v>7</v>
      </c>
      <c r="K792" s="63">
        <f>VLOOKUP(H792,Manutention!A:E, 3, FALSE) * J792</f>
        <v>7</v>
      </c>
      <c r="L792" s="63" t="s">
        <v>164</v>
      </c>
      <c r="M792" s="63">
        <f>ROUNDUP(K792/VLOOKUP(L792,Camion!A:D, 3, FALSE),0)</f>
        <v>1</v>
      </c>
      <c r="N792" s="63">
        <f>INT(K792/VLOOKUP(L792,Camion!A:D, 3, FALSE))</f>
        <v>0</v>
      </c>
      <c r="O792" s="64">
        <f>ROUND(K792/VLOOKUP(L792,Camion!A:D, 3, FALSE) - N792,2)</f>
        <v>0.78</v>
      </c>
      <c r="P792" s="63" t="s">
        <v>129</v>
      </c>
    </row>
    <row r="793" spans="1:16" x14ac:dyDescent="0.25">
      <c r="A793" s="7">
        <v>36</v>
      </c>
      <c r="B793" s="62" t="s">
        <v>185</v>
      </c>
      <c r="C793" s="63" t="s">
        <v>1</v>
      </c>
      <c r="D793" s="63" t="s">
        <v>135</v>
      </c>
      <c r="E793" s="63" t="s">
        <v>78</v>
      </c>
      <c r="F793" s="63" t="s">
        <v>127</v>
      </c>
      <c r="G793" s="63">
        <v>2</v>
      </c>
      <c r="H793" s="63" t="s">
        <v>133</v>
      </c>
      <c r="I793" s="63">
        <f>INDEX(Matériel!A:Z, MATCH(E793, Matériel!A:A, 0), MATCH(H793, INDEX(Matériel!A:Z, MATCH(E793, Matériel!A:A, 0), 0), 0) + 1)</f>
        <v>1</v>
      </c>
      <c r="J793" s="63">
        <f t="shared" si="77"/>
        <v>2</v>
      </c>
      <c r="K793" s="63">
        <f>VLOOKUP(H793,Manutention!A:E, 3, FALSE) * J793</f>
        <v>4</v>
      </c>
      <c r="L793" s="63" t="s">
        <v>164</v>
      </c>
      <c r="M793" s="63">
        <f>ROUNDUP(K793/VLOOKUP(L793,Camion!A:D, 3, FALSE),0)</f>
        <v>1</v>
      </c>
      <c r="N793" s="63">
        <f>INT(K793/VLOOKUP(L793,Camion!A:D, 3, FALSE))</f>
        <v>0</v>
      </c>
      <c r="O793" s="64">
        <f>ROUND(K793/VLOOKUP(L793,Camion!A:D, 3, FALSE) - N793,2)</f>
        <v>0.44</v>
      </c>
      <c r="P793" s="63" t="s">
        <v>129</v>
      </c>
    </row>
    <row r="794" spans="1:16" x14ac:dyDescent="0.25">
      <c r="A794" s="7">
        <v>36</v>
      </c>
      <c r="B794" s="62" t="s">
        <v>185</v>
      </c>
      <c r="C794" s="63" t="s">
        <v>1</v>
      </c>
      <c r="D794" s="63" t="s">
        <v>135</v>
      </c>
      <c r="E794" s="63" t="s">
        <v>79</v>
      </c>
      <c r="F794" s="63" t="s">
        <v>127</v>
      </c>
      <c r="G794" s="63">
        <v>1</v>
      </c>
      <c r="H794" s="63" t="s">
        <v>133</v>
      </c>
      <c r="I794" s="63">
        <f>INDEX(Matériel!A:Z, MATCH(E794, Matériel!A:A, 0), MATCH(H794, INDEX(Matériel!A:Z, MATCH(E794, Matériel!A:A, 0), 0), 0) + 1)</f>
        <v>1</v>
      </c>
      <c r="J794" s="63">
        <f t="shared" si="77"/>
        <v>1</v>
      </c>
      <c r="K794" s="63">
        <f>VLOOKUP(H794,Manutention!A:E, 3, FALSE) * J794</f>
        <v>2</v>
      </c>
      <c r="L794" s="63" t="s">
        <v>164</v>
      </c>
      <c r="M794" s="63">
        <f>ROUNDUP(K794/VLOOKUP(L794,Camion!A:D, 3, FALSE),0)</f>
        <v>1</v>
      </c>
      <c r="N794" s="63">
        <f>INT(K794/VLOOKUP(L794,Camion!A:D, 3, FALSE))</f>
        <v>0</v>
      </c>
      <c r="O794" s="64">
        <f>ROUND(K794/VLOOKUP(L794,Camion!A:D, 3, FALSE) - N794,2)</f>
        <v>0.22</v>
      </c>
      <c r="P794" s="63" t="s">
        <v>129</v>
      </c>
    </row>
    <row r="795" spans="1:16" x14ac:dyDescent="0.25">
      <c r="A795" s="7">
        <v>36</v>
      </c>
      <c r="B795" s="62" t="s">
        <v>185</v>
      </c>
      <c r="C795" s="63" t="s">
        <v>1</v>
      </c>
      <c r="D795" s="63" t="s">
        <v>128</v>
      </c>
      <c r="E795" s="63" t="s">
        <v>81</v>
      </c>
      <c r="F795" s="63" t="s">
        <v>127</v>
      </c>
      <c r="G795" s="63">
        <v>5</v>
      </c>
      <c r="H795" s="63" t="s">
        <v>131</v>
      </c>
      <c r="I795" s="63">
        <f>INDEX(Matériel!A:Z, MATCH(E795, Matériel!A:A, 0), MATCH(H795, INDEX(Matériel!A:Z, MATCH(E795, Matériel!A:A, 0), 0), 0) + 1)</f>
        <v>100</v>
      </c>
      <c r="J795" s="63">
        <f t="shared" si="77"/>
        <v>1</v>
      </c>
      <c r="K795" s="63">
        <f>VLOOKUP(H795,Manutention!A:E, 3, FALSE) * J795</f>
        <v>1</v>
      </c>
      <c r="L795" s="63" t="s">
        <v>164</v>
      </c>
      <c r="M795" s="63">
        <f>ROUNDUP(K795/VLOOKUP(L795,Camion!A:D, 3, FALSE),0)</f>
        <v>1</v>
      </c>
      <c r="N795" s="63">
        <f>INT(K795/VLOOKUP(L795,Camion!A:D, 3, FALSE))</f>
        <v>0</v>
      </c>
      <c r="O795" s="64">
        <f>ROUND(K795/VLOOKUP(L795,Camion!A:D, 3, FALSE) - N795,2)</f>
        <v>0.11</v>
      </c>
      <c r="P795" s="63" t="s">
        <v>130</v>
      </c>
    </row>
    <row r="796" spans="1:16" x14ac:dyDescent="0.25">
      <c r="A796" s="7">
        <v>36</v>
      </c>
      <c r="B796" s="5" t="s">
        <v>185</v>
      </c>
      <c r="C796" s="65"/>
      <c r="D796" s="65"/>
      <c r="E796" s="65" t="s">
        <v>187</v>
      </c>
      <c r="F796" s="65"/>
      <c r="G796" s="65"/>
      <c r="H796" s="65" t="s">
        <v>131</v>
      </c>
      <c r="I796" s="65"/>
      <c r="J796" s="65"/>
      <c r="K796" s="65">
        <f>SUMIFS(K:K, A:A, 36, B:B, "Z3 Z4", P:P, "Oui", D:D, "Production")</f>
        <v>1</v>
      </c>
      <c r="L796" s="65" t="s">
        <v>164</v>
      </c>
      <c r="M796" s="65">
        <f>ROUNDUP(K796/VLOOKUP(L796,Camion!A:D, 3, FALSE),0)</f>
        <v>1</v>
      </c>
      <c r="N796" s="65">
        <f>INT(K796/VLOOKUP(L796,Camion!A:D, 3, FALSE))</f>
        <v>0</v>
      </c>
      <c r="O796" s="66">
        <f>ROUND(K796/VLOOKUP(L796,Camion!A:D, 3, FALSE) - N796,2)</f>
        <v>0.11</v>
      </c>
      <c r="P796" s="65"/>
    </row>
    <row r="797" spans="1:16" x14ac:dyDescent="0.25">
      <c r="A797" s="7">
        <v>36</v>
      </c>
      <c r="B797" s="5" t="s">
        <v>185</v>
      </c>
      <c r="C797" s="65"/>
      <c r="D797" s="65"/>
      <c r="E797" s="65" t="s">
        <v>188</v>
      </c>
      <c r="F797" s="65"/>
      <c r="G797" s="65"/>
      <c r="H797" s="65" t="s">
        <v>131</v>
      </c>
      <c r="I797" s="65"/>
      <c r="J797" s="65"/>
      <c r="K797" s="65">
        <f>SUMIFS(K:K, A:A, 36, B:B, "Z3 Z4", P:P, "Oui", D:D, "Terminaux")</f>
        <v>14</v>
      </c>
      <c r="L797" s="65" t="s">
        <v>166</v>
      </c>
      <c r="M797" s="65">
        <f>ROUNDUP(K797/VLOOKUP(L797,Camion!A:D, 3, FALSE),0)</f>
        <v>1</v>
      </c>
      <c r="N797" s="65">
        <f>INT(K797/VLOOKUP(L797,Camion!A:D, 3, FALSE))</f>
        <v>0</v>
      </c>
      <c r="O797" s="66">
        <f>ROUND(K797/VLOOKUP(L797,Camion!A:D, 3, FALSE) - N797,2)</f>
        <v>0.82</v>
      </c>
      <c r="P797" s="65"/>
    </row>
    <row r="798" spans="1:16" x14ac:dyDescent="0.25">
      <c r="A798" s="7">
        <v>37</v>
      </c>
      <c r="B798" s="62" t="s">
        <v>184</v>
      </c>
      <c r="C798" s="63" t="s">
        <v>1</v>
      </c>
      <c r="D798" s="63" t="s">
        <v>128</v>
      </c>
      <c r="E798" s="63" t="s">
        <v>71</v>
      </c>
      <c r="F798" s="63" t="s">
        <v>138</v>
      </c>
      <c r="G798" s="63">
        <v>193</v>
      </c>
      <c r="H798" s="63" t="s">
        <v>139</v>
      </c>
      <c r="I798" s="63">
        <f>INDEX(Matériel!A:Z, MATCH(E798, Matériel!A:A, 0), MATCH(H798, INDEX(Matériel!A:Z, MATCH(E798, Matériel!A:A, 0), 0), 0) + 1)</f>
        <v>150</v>
      </c>
      <c r="J798" s="63">
        <f t="shared" ref="J798:J805" si="78">ROUNDUP(G798 / I798, 0)</f>
        <v>2</v>
      </c>
      <c r="K798" s="63">
        <f>VLOOKUP(H798,Manutention!A:E, 3, FALSE) * J798</f>
        <v>6</v>
      </c>
      <c r="L798" s="63" t="s">
        <v>164</v>
      </c>
      <c r="M798" s="63">
        <f>ROUNDUP(K798/VLOOKUP(L798,Camion!A:D, 3, FALSE),0)</f>
        <v>1</v>
      </c>
      <c r="N798" s="63">
        <f>INT(K798/VLOOKUP(L798,Camion!A:D, 3, FALSE))</f>
        <v>0</v>
      </c>
      <c r="O798" s="64">
        <f>ROUND(K798/VLOOKUP(L798,Camion!A:D, 3, FALSE) - N798,2)</f>
        <v>0.67</v>
      </c>
      <c r="P798" s="63" t="s">
        <v>130</v>
      </c>
    </row>
    <row r="799" spans="1:16" x14ac:dyDescent="0.25">
      <c r="A799" s="7">
        <v>37</v>
      </c>
      <c r="B799" s="62" t="s">
        <v>184</v>
      </c>
      <c r="C799" s="63" t="s">
        <v>1</v>
      </c>
      <c r="D799" s="63" t="s">
        <v>135</v>
      </c>
      <c r="E799" s="63" t="s">
        <v>72</v>
      </c>
      <c r="F799" s="63" t="s">
        <v>138</v>
      </c>
      <c r="G799" s="63">
        <v>593</v>
      </c>
      <c r="H799" s="63" t="s">
        <v>143</v>
      </c>
      <c r="I799" s="63">
        <f>INDEX(Matériel!A:Z, MATCH(E799, Matériel!A:A, 0), MATCH(H799, INDEX(Matériel!A:Z, MATCH(E799, Matériel!A:A, 0), 0), 0) + 1)</f>
        <v>1000</v>
      </c>
      <c r="J799" s="63">
        <f t="shared" si="78"/>
        <v>1</v>
      </c>
      <c r="K799" s="63">
        <f>VLOOKUP(H799,Manutention!A:E, 3, FALSE) * J799</f>
        <v>1</v>
      </c>
      <c r="L799" s="63" t="s">
        <v>164</v>
      </c>
      <c r="M799" s="63">
        <f>ROUNDUP(K799/VLOOKUP(L799,Camion!A:D, 3, FALSE),0)</f>
        <v>1</v>
      </c>
      <c r="N799" s="63">
        <f>INT(K799/VLOOKUP(L799,Camion!A:D, 3, FALSE))</f>
        <v>0</v>
      </c>
      <c r="O799" s="64">
        <f>ROUND(K799/VLOOKUP(L799,Camion!A:D, 3, FALSE) - N799,2)</f>
        <v>0.11</v>
      </c>
      <c r="P799" s="63" t="s">
        <v>130</v>
      </c>
    </row>
    <row r="800" spans="1:16" x14ac:dyDescent="0.25">
      <c r="A800" s="7">
        <v>37</v>
      </c>
      <c r="B800" s="62" t="s">
        <v>184</v>
      </c>
      <c r="C800" s="63" t="s">
        <v>1</v>
      </c>
      <c r="D800" s="63" t="s">
        <v>135</v>
      </c>
      <c r="E800" s="63" t="s">
        <v>75</v>
      </c>
      <c r="F800" s="63" t="s">
        <v>127</v>
      </c>
      <c r="G800" s="63">
        <v>30</v>
      </c>
      <c r="H800" s="63" t="s">
        <v>136</v>
      </c>
      <c r="I800" s="63">
        <f>INDEX(Matériel!A:Z, MATCH(E800, Matériel!A:A, 0), MATCH(H800, INDEX(Matériel!A:Z, MATCH(E800, Matériel!A:A, 0), 0), 0) + 1)</f>
        <v>60</v>
      </c>
      <c r="J800" s="63">
        <f t="shared" si="78"/>
        <v>1</v>
      </c>
      <c r="K800" s="63">
        <f>VLOOKUP(H800,Manutention!A:E, 3, FALSE) * J800</f>
        <v>1</v>
      </c>
      <c r="L800" s="63" t="s">
        <v>164</v>
      </c>
      <c r="M800" s="63">
        <f>ROUNDUP(K800/VLOOKUP(L800,Camion!A:D, 3, FALSE),0)</f>
        <v>1</v>
      </c>
      <c r="N800" s="63">
        <f>INT(K800/VLOOKUP(L800,Camion!A:D, 3, FALSE))</f>
        <v>0</v>
      </c>
      <c r="O800" s="64">
        <f>ROUND(K800/VLOOKUP(L800,Camion!A:D, 3, FALSE) - N800,2)</f>
        <v>0.11</v>
      </c>
      <c r="P800" s="63" t="s">
        <v>129</v>
      </c>
    </row>
    <row r="801" spans="1:16" x14ac:dyDescent="0.25">
      <c r="A801" s="7">
        <v>37</v>
      </c>
      <c r="B801" s="62" t="s">
        <v>184</v>
      </c>
      <c r="C801" s="63" t="s">
        <v>1</v>
      </c>
      <c r="D801" s="63" t="s">
        <v>128</v>
      </c>
      <c r="E801" s="63" t="s">
        <v>76</v>
      </c>
      <c r="F801" s="63" t="s">
        <v>127</v>
      </c>
      <c r="G801" s="63">
        <v>15</v>
      </c>
      <c r="H801" s="63" t="s">
        <v>131</v>
      </c>
      <c r="I801" s="63">
        <f>INDEX(Matériel!A:Z, MATCH(E801, Matériel!A:A, 0), MATCH(H801, INDEX(Matériel!A:Z, MATCH(E801, Matériel!A:A, 0), 0), 0) + 1)</f>
        <v>100</v>
      </c>
      <c r="J801" s="63">
        <f t="shared" si="78"/>
        <v>1</v>
      </c>
      <c r="K801" s="63">
        <f>VLOOKUP(H801,Manutention!A:E, 3, FALSE) * J801</f>
        <v>1</v>
      </c>
      <c r="L801" s="63" t="s">
        <v>164</v>
      </c>
      <c r="M801" s="63">
        <f>ROUNDUP(K801/VLOOKUP(L801,Camion!A:D, 3, FALSE),0)</f>
        <v>1</v>
      </c>
      <c r="N801" s="63">
        <f>INT(K801/VLOOKUP(L801,Camion!A:D, 3, FALSE))</f>
        <v>0</v>
      </c>
      <c r="O801" s="64">
        <f>ROUND(K801/VLOOKUP(L801,Camion!A:D, 3, FALSE) - N801,2)</f>
        <v>0.11</v>
      </c>
      <c r="P801" s="63" t="s">
        <v>129</v>
      </c>
    </row>
    <row r="802" spans="1:16" x14ac:dyDescent="0.25">
      <c r="A802" s="7">
        <v>37</v>
      </c>
      <c r="B802" s="62" t="s">
        <v>184</v>
      </c>
      <c r="C802" s="63" t="s">
        <v>1</v>
      </c>
      <c r="D802" s="63" t="s">
        <v>135</v>
      </c>
      <c r="E802" s="63" t="s">
        <v>77</v>
      </c>
      <c r="F802" s="63" t="s">
        <v>127</v>
      </c>
      <c r="G802" s="63">
        <v>127</v>
      </c>
      <c r="H802" s="63" t="s">
        <v>131</v>
      </c>
      <c r="I802" s="63">
        <f>INDEX(Matériel!A:Z, MATCH(E802, Matériel!A:A, 0), MATCH(H802, INDEX(Matériel!A:Z, MATCH(E802, Matériel!A:A, 0), 0), 0) + 1)</f>
        <v>20</v>
      </c>
      <c r="J802" s="63">
        <f t="shared" si="78"/>
        <v>7</v>
      </c>
      <c r="K802" s="63">
        <f>VLOOKUP(H802,Manutention!A:E, 3, FALSE) * J802</f>
        <v>7</v>
      </c>
      <c r="L802" s="63" t="s">
        <v>164</v>
      </c>
      <c r="M802" s="63">
        <f>ROUNDUP(K802/VLOOKUP(L802,Camion!A:D, 3, FALSE),0)</f>
        <v>1</v>
      </c>
      <c r="N802" s="63">
        <f>INT(K802/VLOOKUP(L802,Camion!A:D, 3, FALSE))</f>
        <v>0</v>
      </c>
      <c r="O802" s="64">
        <f>ROUND(K802/VLOOKUP(L802,Camion!A:D, 3, FALSE) - N802,2)</f>
        <v>0.78</v>
      </c>
      <c r="P802" s="63" t="s">
        <v>129</v>
      </c>
    </row>
    <row r="803" spans="1:16" x14ac:dyDescent="0.25">
      <c r="A803" s="7">
        <v>37</v>
      </c>
      <c r="B803" s="62" t="s">
        <v>184</v>
      </c>
      <c r="C803" s="63" t="s">
        <v>1</v>
      </c>
      <c r="D803" s="63" t="s">
        <v>135</v>
      </c>
      <c r="E803" s="63" t="s">
        <v>78</v>
      </c>
      <c r="F803" s="63" t="s">
        <v>127</v>
      </c>
      <c r="G803" s="63">
        <v>2</v>
      </c>
      <c r="H803" s="63" t="s">
        <v>133</v>
      </c>
      <c r="I803" s="63">
        <f>INDEX(Matériel!A:Z, MATCH(E803, Matériel!A:A, 0), MATCH(H803, INDEX(Matériel!A:Z, MATCH(E803, Matériel!A:A, 0), 0), 0) + 1)</f>
        <v>1</v>
      </c>
      <c r="J803" s="63">
        <f t="shared" si="78"/>
        <v>2</v>
      </c>
      <c r="K803" s="63">
        <f>VLOOKUP(H803,Manutention!A:E, 3, FALSE) * J803</f>
        <v>4</v>
      </c>
      <c r="L803" s="63" t="s">
        <v>164</v>
      </c>
      <c r="M803" s="63">
        <f>ROUNDUP(K803/VLOOKUP(L803,Camion!A:D, 3, FALSE),0)</f>
        <v>1</v>
      </c>
      <c r="N803" s="63">
        <f>INT(K803/VLOOKUP(L803,Camion!A:D, 3, FALSE))</f>
        <v>0</v>
      </c>
      <c r="O803" s="64">
        <f>ROUND(K803/VLOOKUP(L803,Camion!A:D, 3, FALSE) - N803,2)</f>
        <v>0.44</v>
      </c>
      <c r="P803" s="63" t="s">
        <v>129</v>
      </c>
    </row>
    <row r="804" spans="1:16" x14ac:dyDescent="0.25">
      <c r="A804" s="7">
        <v>37</v>
      </c>
      <c r="B804" s="62" t="s">
        <v>184</v>
      </c>
      <c r="C804" s="63" t="s">
        <v>1</v>
      </c>
      <c r="D804" s="63" t="s">
        <v>135</v>
      </c>
      <c r="E804" s="63" t="s">
        <v>79</v>
      </c>
      <c r="F804" s="63" t="s">
        <v>127</v>
      </c>
      <c r="G804" s="63">
        <v>1</v>
      </c>
      <c r="H804" s="63" t="s">
        <v>133</v>
      </c>
      <c r="I804" s="63">
        <f>INDEX(Matériel!A:Z, MATCH(E804, Matériel!A:A, 0), MATCH(H804, INDEX(Matériel!A:Z, MATCH(E804, Matériel!A:A, 0), 0), 0) + 1)</f>
        <v>1</v>
      </c>
      <c r="J804" s="63">
        <f t="shared" si="78"/>
        <v>1</v>
      </c>
      <c r="K804" s="63">
        <f>VLOOKUP(H804,Manutention!A:E, 3, FALSE) * J804</f>
        <v>2</v>
      </c>
      <c r="L804" s="63" t="s">
        <v>164</v>
      </c>
      <c r="M804" s="63">
        <f>ROUNDUP(K804/VLOOKUP(L804,Camion!A:D, 3, FALSE),0)</f>
        <v>1</v>
      </c>
      <c r="N804" s="63">
        <f>INT(K804/VLOOKUP(L804,Camion!A:D, 3, FALSE))</f>
        <v>0</v>
      </c>
      <c r="O804" s="64">
        <f>ROUND(K804/VLOOKUP(L804,Camion!A:D, 3, FALSE) - N804,2)</f>
        <v>0.22</v>
      </c>
      <c r="P804" s="63" t="s">
        <v>129</v>
      </c>
    </row>
    <row r="805" spans="1:16" x14ac:dyDescent="0.25">
      <c r="A805" s="7">
        <v>37</v>
      </c>
      <c r="B805" s="62" t="s">
        <v>184</v>
      </c>
      <c r="C805" s="63" t="s">
        <v>1</v>
      </c>
      <c r="D805" s="63" t="s">
        <v>128</v>
      </c>
      <c r="E805" s="63" t="s">
        <v>81</v>
      </c>
      <c r="F805" s="63" t="s">
        <v>127</v>
      </c>
      <c r="G805" s="63">
        <v>5</v>
      </c>
      <c r="H805" s="63" t="s">
        <v>131</v>
      </c>
      <c r="I805" s="63">
        <f>INDEX(Matériel!A:Z, MATCH(E805, Matériel!A:A, 0), MATCH(H805, INDEX(Matériel!A:Z, MATCH(E805, Matériel!A:A, 0), 0), 0) + 1)</f>
        <v>100</v>
      </c>
      <c r="J805" s="63">
        <f t="shared" si="78"/>
        <v>1</v>
      </c>
      <c r="K805" s="63">
        <f>VLOOKUP(H805,Manutention!A:E, 3, FALSE) * J805</f>
        <v>1</v>
      </c>
      <c r="L805" s="63" t="s">
        <v>164</v>
      </c>
      <c r="M805" s="63">
        <f>ROUNDUP(K805/VLOOKUP(L805,Camion!A:D, 3, FALSE),0)</f>
        <v>1</v>
      </c>
      <c r="N805" s="63">
        <f>INT(K805/VLOOKUP(L805,Camion!A:D, 3, FALSE))</f>
        <v>0</v>
      </c>
      <c r="O805" s="64">
        <f>ROUND(K805/VLOOKUP(L805,Camion!A:D, 3, FALSE) - N805,2)</f>
        <v>0.11</v>
      </c>
      <c r="P805" s="63" t="s">
        <v>130</v>
      </c>
    </row>
    <row r="806" spans="1:16" x14ac:dyDescent="0.25">
      <c r="A806" s="7">
        <v>37</v>
      </c>
      <c r="B806" s="5" t="s">
        <v>184</v>
      </c>
      <c r="C806" s="65"/>
      <c r="D806" s="65"/>
      <c r="E806" s="65" t="s">
        <v>187</v>
      </c>
      <c r="F806" s="65"/>
      <c r="G806" s="65"/>
      <c r="H806" s="65" t="s">
        <v>131</v>
      </c>
      <c r="I806" s="65"/>
      <c r="J806" s="65"/>
      <c r="K806" s="65">
        <f>SUMIFS(K:K, A:A, 37, B:B, "Z1 Z2", P:P, "Oui", D:D, "Production")</f>
        <v>1</v>
      </c>
      <c r="L806" s="65" t="s">
        <v>164</v>
      </c>
      <c r="M806" s="65">
        <f>ROUNDUP(K806/VLOOKUP(L806,Camion!A:D, 3, FALSE),0)</f>
        <v>1</v>
      </c>
      <c r="N806" s="65">
        <f>INT(K806/VLOOKUP(L806,Camion!A:D, 3, FALSE))</f>
        <v>0</v>
      </c>
      <c r="O806" s="66">
        <f>ROUND(K806/VLOOKUP(L806,Camion!A:D, 3, FALSE) - N806,2)</f>
        <v>0.11</v>
      </c>
      <c r="P806" s="65"/>
    </row>
    <row r="807" spans="1:16" x14ac:dyDescent="0.25">
      <c r="A807" s="7">
        <v>37</v>
      </c>
      <c r="B807" s="5" t="s">
        <v>184</v>
      </c>
      <c r="C807" s="65"/>
      <c r="D807" s="65"/>
      <c r="E807" s="65" t="s">
        <v>188</v>
      </c>
      <c r="F807" s="65"/>
      <c r="G807" s="65"/>
      <c r="H807" s="65" t="s">
        <v>131</v>
      </c>
      <c r="I807" s="65"/>
      <c r="J807" s="65"/>
      <c r="K807" s="65">
        <f>SUMIFS(K:K, A:A, 37, B:B, "Z1 Z2", P:P, "Oui", D:D, "Terminaux")</f>
        <v>14</v>
      </c>
      <c r="L807" s="65" t="s">
        <v>166</v>
      </c>
      <c r="M807" s="65">
        <f>ROUNDUP(K807/VLOOKUP(L807,Camion!A:D, 3, FALSE),0)</f>
        <v>1</v>
      </c>
      <c r="N807" s="65">
        <f>INT(K807/VLOOKUP(L807,Camion!A:D, 3, FALSE))</f>
        <v>0</v>
      </c>
      <c r="O807" s="66">
        <f>ROUND(K807/VLOOKUP(L807,Camion!A:D, 3, FALSE) - N807,2)</f>
        <v>0.82</v>
      </c>
      <c r="P807" s="65"/>
    </row>
    <row r="808" spans="1:16" x14ac:dyDescent="0.25">
      <c r="A808" s="7">
        <v>37</v>
      </c>
      <c r="B808" s="62" t="s">
        <v>185</v>
      </c>
      <c r="C808" s="63" t="s">
        <v>1</v>
      </c>
      <c r="D808" s="63" t="s">
        <v>128</v>
      </c>
      <c r="E808" s="63" t="s">
        <v>71</v>
      </c>
      <c r="F808" s="63" t="s">
        <v>138</v>
      </c>
      <c r="G808" s="63">
        <v>190</v>
      </c>
      <c r="H808" s="63" t="s">
        <v>139</v>
      </c>
      <c r="I808" s="63">
        <f>INDEX(Matériel!A:Z, MATCH(E808, Matériel!A:A, 0), MATCH(H808, INDEX(Matériel!A:Z, MATCH(E808, Matériel!A:A, 0), 0), 0) + 1)</f>
        <v>150</v>
      </c>
      <c r="J808" s="63">
        <f t="shared" ref="J808:J815" si="79">ROUNDUP(G808 / I808, 0)</f>
        <v>2</v>
      </c>
      <c r="K808" s="63">
        <f>VLOOKUP(H808,Manutention!A:E, 3, FALSE) * J808</f>
        <v>6</v>
      </c>
      <c r="L808" s="63" t="s">
        <v>164</v>
      </c>
      <c r="M808" s="63">
        <f>ROUNDUP(K808/VLOOKUP(L808,Camion!A:D, 3, FALSE),0)</f>
        <v>1</v>
      </c>
      <c r="N808" s="63">
        <f>INT(K808/VLOOKUP(L808,Camion!A:D, 3, FALSE))</f>
        <v>0</v>
      </c>
      <c r="O808" s="64">
        <f>ROUND(K808/VLOOKUP(L808,Camion!A:D, 3, FALSE) - N808,2)</f>
        <v>0.67</v>
      </c>
      <c r="P808" s="63" t="s">
        <v>130</v>
      </c>
    </row>
    <row r="809" spans="1:16" x14ac:dyDescent="0.25">
      <c r="A809" s="7">
        <v>37</v>
      </c>
      <c r="B809" s="62" t="s">
        <v>185</v>
      </c>
      <c r="C809" s="63" t="s">
        <v>1</v>
      </c>
      <c r="D809" s="63" t="s">
        <v>135</v>
      </c>
      <c r="E809" s="63" t="s">
        <v>72</v>
      </c>
      <c r="F809" s="63" t="s">
        <v>138</v>
      </c>
      <c r="G809" s="63">
        <v>584</v>
      </c>
      <c r="H809" s="63" t="s">
        <v>143</v>
      </c>
      <c r="I809" s="63">
        <f>INDEX(Matériel!A:Z, MATCH(E809, Matériel!A:A, 0), MATCH(H809, INDEX(Matériel!A:Z, MATCH(E809, Matériel!A:A, 0), 0), 0) + 1)</f>
        <v>1000</v>
      </c>
      <c r="J809" s="63">
        <f t="shared" si="79"/>
        <v>1</v>
      </c>
      <c r="K809" s="63">
        <f>VLOOKUP(H809,Manutention!A:E, 3, FALSE) * J809</f>
        <v>1</v>
      </c>
      <c r="L809" s="63" t="s">
        <v>164</v>
      </c>
      <c r="M809" s="63">
        <f>ROUNDUP(K809/VLOOKUP(L809,Camion!A:D, 3, FALSE),0)</f>
        <v>1</v>
      </c>
      <c r="N809" s="63">
        <f>INT(K809/VLOOKUP(L809,Camion!A:D, 3, FALSE))</f>
        <v>0</v>
      </c>
      <c r="O809" s="64">
        <f>ROUND(K809/VLOOKUP(L809,Camion!A:D, 3, FALSE) - N809,2)</f>
        <v>0.11</v>
      </c>
      <c r="P809" s="63" t="s">
        <v>130</v>
      </c>
    </row>
    <row r="810" spans="1:16" x14ac:dyDescent="0.25">
      <c r="A810" s="7">
        <v>37</v>
      </c>
      <c r="B810" s="62" t="s">
        <v>185</v>
      </c>
      <c r="C810" s="63" t="s">
        <v>1</v>
      </c>
      <c r="D810" s="63" t="s">
        <v>135</v>
      </c>
      <c r="E810" s="63" t="s">
        <v>75</v>
      </c>
      <c r="F810" s="63" t="s">
        <v>127</v>
      </c>
      <c r="G810" s="63">
        <v>30</v>
      </c>
      <c r="H810" s="63" t="s">
        <v>136</v>
      </c>
      <c r="I810" s="63">
        <f>INDEX(Matériel!A:Z, MATCH(E810, Matériel!A:A, 0), MATCH(H810, INDEX(Matériel!A:Z, MATCH(E810, Matériel!A:A, 0), 0), 0) + 1)</f>
        <v>60</v>
      </c>
      <c r="J810" s="63">
        <f t="shared" si="79"/>
        <v>1</v>
      </c>
      <c r="K810" s="63">
        <f>VLOOKUP(H810,Manutention!A:E, 3, FALSE) * J810</f>
        <v>1</v>
      </c>
      <c r="L810" s="63" t="s">
        <v>164</v>
      </c>
      <c r="M810" s="63">
        <f>ROUNDUP(K810/VLOOKUP(L810,Camion!A:D, 3, FALSE),0)</f>
        <v>1</v>
      </c>
      <c r="N810" s="63">
        <f>INT(K810/VLOOKUP(L810,Camion!A:D, 3, FALSE))</f>
        <v>0</v>
      </c>
      <c r="O810" s="64">
        <f>ROUND(K810/VLOOKUP(L810,Camion!A:D, 3, FALSE) - N810,2)</f>
        <v>0.11</v>
      </c>
      <c r="P810" s="63" t="s">
        <v>129</v>
      </c>
    </row>
    <row r="811" spans="1:16" x14ac:dyDescent="0.25">
      <c r="A811" s="7">
        <v>37</v>
      </c>
      <c r="B811" s="62" t="s">
        <v>185</v>
      </c>
      <c r="C811" s="63" t="s">
        <v>1</v>
      </c>
      <c r="D811" s="63" t="s">
        <v>128</v>
      </c>
      <c r="E811" s="63" t="s">
        <v>76</v>
      </c>
      <c r="F811" s="63" t="s">
        <v>127</v>
      </c>
      <c r="G811" s="63">
        <v>15</v>
      </c>
      <c r="H811" s="63" t="s">
        <v>131</v>
      </c>
      <c r="I811" s="63">
        <f>INDEX(Matériel!A:Z, MATCH(E811, Matériel!A:A, 0), MATCH(H811, INDEX(Matériel!A:Z, MATCH(E811, Matériel!A:A, 0), 0), 0) + 1)</f>
        <v>100</v>
      </c>
      <c r="J811" s="63">
        <f t="shared" si="79"/>
        <v>1</v>
      </c>
      <c r="K811" s="63">
        <f>VLOOKUP(H811,Manutention!A:E, 3, FALSE) * J811</f>
        <v>1</v>
      </c>
      <c r="L811" s="63" t="s">
        <v>164</v>
      </c>
      <c r="M811" s="63">
        <f>ROUNDUP(K811/VLOOKUP(L811,Camion!A:D, 3, FALSE),0)</f>
        <v>1</v>
      </c>
      <c r="N811" s="63">
        <f>INT(K811/VLOOKUP(L811,Camion!A:D, 3, FALSE))</f>
        <v>0</v>
      </c>
      <c r="O811" s="64">
        <f>ROUND(K811/VLOOKUP(L811,Camion!A:D, 3, FALSE) - N811,2)</f>
        <v>0.11</v>
      </c>
      <c r="P811" s="63" t="s">
        <v>129</v>
      </c>
    </row>
    <row r="812" spans="1:16" x14ac:dyDescent="0.25">
      <c r="A812" s="7">
        <v>37</v>
      </c>
      <c r="B812" s="62" t="s">
        <v>185</v>
      </c>
      <c r="C812" s="63" t="s">
        <v>1</v>
      </c>
      <c r="D812" s="63" t="s">
        <v>135</v>
      </c>
      <c r="E812" s="63" t="s">
        <v>77</v>
      </c>
      <c r="F812" s="63" t="s">
        <v>127</v>
      </c>
      <c r="G812" s="63">
        <v>125</v>
      </c>
      <c r="H812" s="63" t="s">
        <v>131</v>
      </c>
      <c r="I812" s="63">
        <f>INDEX(Matériel!A:Z, MATCH(E812, Matériel!A:A, 0), MATCH(H812, INDEX(Matériel!A:Z, MATCH(E812, Matériel!A:A, 0), 0), 0) + 1)</f>
        <v>20</v>
      </c>
      <c r="J812" s="63">
        <f t="shared" si="79"/>
        <v>7</v>
      </c>
      <c r="K812" s="63">
        <f>VLOOKUP(H812,Manutention!A:E, 3, FALSE) * J812</f>
        <v>7</v>
      </c>
      <c r="L812" s="63" t="s">
        <v>164</v>
      </c>
      <c r="M812" s="63">
        <f>ROUNDUP(K812/VLOOKUP(L812,Camion!A:D, 3, FALSE),0)</f>
        <v>1</v>
      </c>
      <c r="N812" s="63">
        <f>INT(K812/VLOOKUP(L812,Camion!A:D, 3, FALSE))</f>
        <v>0</v>
      </c>
      <c r="O812" s="64">
        <f>ROUND(K812/VLOOKUP(L812,Camion!A:D, 3, FALSE) - N812,2)</f>
        <v>0.78</v>
      </c>
      <c r="P812" s="63" t="s">
        <v>129</v>
      </c>
    </row>
    <row r="813" spans="1:16" x14ac:dyDescent="0.25">
      <c r="A813" s="7">
        <v>37</v>
      </c>
      <c r="B813" s="62" t="s">
        <v>185</v>
      </c>
      <c r="C813" s="63" t="s">
        <v>1</v>
      </c>
      <c r="D813" s="63" t="s">
        <v>135</v>
      </c>
      <c r="E813" s="63" t="s">
        <v>78</v>
      </c>
      <c r="F813" s="63" t="s">
        <v>127</v>
      </c>
      <c r="G813" s="63">
        <v>2</v>
      </c>
      <c r="H813" s="63" t="s">
        <v>133</v>
      </c>
      <c r="I813" s="63">
        <f>INDEX(Matériel!A:Z, MATCH(E813, Matériel!A:A, 0), MATCH(H813, INDEX(Matériel!A:Z, MATCH(E813, Matériel!A:A, 0), 0), 0) + 1)</f>
        <v>1</v>
      </c>
      <c r="J813" s="63">
        <f t="shared" si="79"/>
        <v>2</v>
      </c>
      <c r="K813" s="63">
        <f>VLOOKUP(H813,Manutention!A:E, 3, FALSE) * J813</f>
        <v>4</v>
      </c>
      <c r="L813" s="63" t="s">
        <v>164</v>
      </c>
      <c r="M813" s="63">
        <f>ROUNDUP(K813/VLOOKUP(L813,Camion!A:D, 3, FALSE),0)</f>
        <v>1</v>
      </c>
      <c r="N813" s="63">
        <f>INT(K813/VLOOKUP(L813,Camion!A:D, 3, FALSE))</f>
        <v>0</v>
      </c>
      <c r="O813" s="64">
        <f>ROUND(K813/VLOOKUP(L813,Camion!A:D, 3, FALSE) - N813,2)</f>
        <v>0.44</v>
      </c>
      <c r="P813" s="63" t="s">
        <v>129</v>
      </c>
    </row>
    <row r="814" spans="1:16" x14ac:dyDescent="0.25">
      <c r="A814" s="7">
        <v>37</v>
      </c>
      <c r="B814" s="62" t="s">
        <v>185</v>
      </c>
      <c r="C814" s="63" t="s">
        <v>1</v>
      </c>
      <c r="D814" s="63" t="s">
        <v>135</v>
      </c>
      <c r="E814" s="63" t="s">
        <v>79</v>
      </c>
      <c r="F814" s="63" t="s">
        <v>127</v>
      </c>
      <c r="G814" s="63">
        <v>1</v>
      </c>
      <c r="H814" s="63" t="s">
        <v>133</v>
      </c>
      <c r="I814" s="63">
        <f>INDEX(Matériel!A:Z, MATCH(E814, Matériel!A:A, 0), MATCH(H814, INDEX(Matériel!A:Z, MATCH(E814, Matériel!A:A, 0), 0), 0) + 1)</f>
        <v>1</v>
      </c>
      <c r="J814" s="63">
        <f t="shared" si="79"/>
        <v>1</v>
      </c>
      <c r="K814" s="63">
        <f>VLOOKUP(H814,Manutention!A:E, 3, FALSE) * J814</f>
        <v>2</v>
      </c>
      <c r="L814" s="63" t="s">
        <v>164</v>
      </c>
      <c r="M814" s="63">
        <f>ROUNDUP(K814/VLOOKUP(L814,Camion!A:D, 3, FALSE),0)</f>
        <v>1</v>
      </c>
      <c r="N814" s="63">
        <f>INT(K814/VLOOKUP(L814,Camion!A:D, 3, FALSE))</f>
        <v>0</v>
      </c>
      <c r="O814" s="64">
        <f>ROUND(K814/VLOOKUP(L814,Camion!A:D, 3, FALSE) - N814,2)</f>
        <v>0.22</v>
      </c>
      <c r="P814" s="63" t="s">
        <v>129</v>
      </c>
    </row>
    <row r="815" spans="1:16" x14ac:dyDescent="0.25">
      <c r="A815" s="7">
        <v>37</v>
      </c>
      <c r="B815" s="62" t="s">
        <v>185</v>
      </c>
      <c r="C815" s="63" t="s">
        <v>1</v>
      </c>
      <c r="D815" s="63" t="s">
        <v>128</v>
      </c>
      <c r="E815" s="63" t="s">
        <v>81</v>
      </c>
      <c r="F815" s="63" t="s">
        <v>127</v>
      </c>
      <c r="G815" s="63">
        <v>5</v>
      </c>
      <c r="H815" s="63" t="s">
        <v>131</v>
      </c>
      <c r="I815" s="63">
        <f>INDEX(Matériel!A:Z, MATCH(E815, Matériel!A:A, 0), MATCH(H815, INDEX(Matériel!A:Z, MATCH(E815, Matériel!A:A, 0), 0), 0) + 1)</f>
        <v>100</v>
      </c>
      <c r="J815" s="63">
        <f t="shared" si="79"/>
        <v>1</v>
      </c>
      <c r="K815" s="63">
        <f>VLOOKUP(H815,Manutention!A:E, 3, FALSE) * J815</f>
        <v>1</v>
      </c>
      <c r="L815" s="63" t="s">
        <v>164</v>
      </c>
      <c r="M815" s="63">
        <f>ROUNDUP(K815/VLOOKUP(L815,Camion!A:D, 3, FALSE),0)</f>
        <v>1</v>
      </c>
      <c r="N815" s="63">
        <f>INT(K815/VLOOKUP(L815,Camion!A:D, 3, FALSE))</f>
        <v>0</v>
      </c>
      <c r="O815" s="64">
        <f>ROUND(K815/VLOOKUP(L815,Camion!A:D, 3, FALSE) - N815,2)</f>
        <v>0.11</v>
      </c>
      <c r="P815" s="63" t="s">
        <v>130</v>
      </c>
    </row>
    <row r="816" spans="1:16" x14ac:dyDescent="0.25">
      <c r="A816" s="7">
        <v>37</v>
      </c>
      <c r="B816" s="5" t="s">
        <v>185</v>
      </c>
      <c r="C816" s="65"/>
      <c r="D816" s="65"/>
      <c r="E816" s="65" t="s">
        <v>187</v>
      </c>
      <c r="F816" s="65"/>
      <c r="G816" s="65"/>
      <c r="H816" s="65" t="s">
        <v>131</v>
      </c>
      <c r="I816" s="65"/>
      <c r="J816" s="65"/>
      <c r="K816" s="65">
        <f>SUMIFS(K:K, A:A, 37, B:B, "Z3 Z4", P:P, "Oui", D:D, "Production")</f>
        <v>1</v>
      </c>
      <c r="L816" s="65" t="s">
        <v>164</v>
      </c>
      <c r="M816" s="65">
        <f>ROUNDUP(K816/VLOOKUP(L816,Camion!A:D, 3, FALSE),0)</f>
        <v>1</v>
      </c>
      <c r="N816" s="65">
        <f>INT(K816/VLOOKUP(L816,Camion!A:D, 3, FALSE))</f>
        <v>0</v>
      </c>
      <c r="O816" s="66">
        <f>ROUND(K816/VLOOKUP(L816,Camion!A:D, 3, FALSE) - N816,2)</f>
        <v>0.11</v>
      </c>
      <c r="P816" s="65"/>
    </row>
    <row r="817" spans="1:16" x14ac:dyDescent="0.25">
      <c r="A817" s="7">
        <v>37</v>
      </c>
      <c r="B817" s="5" t="s">
        <v>185</v>
      </c>
      <c r="C817" s="65"/>
      <c r="D817" s="65"/>
      <c r="E817" s="65" t="s">
        <v>188</v>
      </c>
      <c r="F817" s="65"/>
      <c r="G817" s="65"/>
      <c r="H817" s="65" t="s">
        <v>131</v>
      </c>
      <c r="I817" s="65"/>
      <c r="J817" s="65"/>
      <c r="K817" s="65">
        <f>SUMIFS(K:K, A:A, 37, B:B, "Z3 Z4", P:P, "Oui", D:D, "Terminaux")</f>
        <v>14</v>
      </c>
      <c r="L817" s="65" t="s">
        <v>166</v>
      </c>
      <c r="M817" s="65">
        <f>ROUNDUP(K817/VLOOKUP(L817,Camion!A:D, 3, FALSE),0)</f>
        <v>1</v>
      </c>
      <c r="N817" s="65">
        <f>INT(K817/VLOOKUP(L817,Camion!A:D, 3, FALSE))</f>
        <v>0</v>
      </c>
      <c r="O817" s="66">
        <f>ROUND(K817/VLOOKUP(L817,Camion!A:D, 3, FALSE) - N817,2)</f>
        <v>0.82</v>
      </c>
      <c r="P817" s="65"/>
    </row>
    <row r="818" spans="1:16" x14ac:dyDescent="0.25">
      <c r="A818" s="7">
        <v>38</v>
      </c>
      <c r="B818" s="62" t="s">
        <v>184</v>
      </c>
      <c r="C818" s="63" t="s">
        <v>1</v>
      </c>
      <c r="D818" s="63" t="s">
        <v>128</v>
      </c>
      <c r="E818" s="63" t="s">
        <v>71</v>
      </c>
      <c r="F818" s="63" t="s">
        <v>138</v>
      </c>
      <c r="G818" s="63">
        <v>188</v>
      </c>
      <c r="H818" s="63" t="s">
        <v>139</v>
      </c>
      <c r="I818" s="63">
        <f>INDEX(Matériel!A:Z, MATCH(E818, Matériel!A:A, 0), MATCH(H818, INDEX(Matériel!A:Z, MATCH(E818, Matériel!A:A, 0), 0), 0) + 1)</f>
        <v>150</v>
      </c>
      <c r="J818" s="63">
        <f t="shared" ref="J818:J825" si="80">ROUNDUP(G818 / I818, 0)</f>
        <v>2</v>
      </c>
      <c r="K818" s="63">
        <f>VLOOKUP(H818,Manutention!A:E, 3, FALSE) * J818</f>
        <v>6</v>
      </c>
      <c r="L818" s="63" t="s">
        <v>164</v>
      </c>
      <c r="M818" s="63">
        <f>ROUNDUP(K818/VLOOKUP(L818,Camion!A:D, 3, FALSE),0)</f>
        <v>1</v>
      </c>
      <c r="N818" s="63">
        <f>INT(K818/VLOOKUP(L818,Camion!A:D, 3, FALSE))</f>
        <v>0</v>
      </c>
      <c r="O818" s="64">
        <f>ROUND(K818/VLOOKUP(L818,Camion!A:D, 3, FALSE) - N818,2)</f>
        <v>0.67</v>
      </c>
      <c r="P818" s="63" t="s">
        <v>130</v>
      </c>
    </row>
    <row r="819" spans="1:16" x14ac:dyDescent="0.25">
      <c r="A819" s="7">
        <v>38</v>
      </c>
      <c r="B819" s="62" t="s">
        <v>184</v>
      </c>
      <c r="C819" s="63" t="s">
        <v>1</v>
      </c>
      <c r="D819" s="63" t="s">
        <v>135</v>
      </c>
      <c r="E819" s="63" t="s">
        <v>72</v>
      </c>
      <c r="F819" s="63" t="s">
        <v>138</v>
      </c>
      <c r="G819" s="63">
        <v>575</v>
      </c>
      <c r="H819" s="63" t="s">
        <v>143</v>
      </c>
      <c r="I819" s="63">
        <f>INDEX(Matériel!A:Z, MATCH(E819, Matériel!A:A, 0), MATCH(H819, INDEX(Matériel!A:Z, MATCH(E819, Matériel!A:A, 0), 0), 0) + 1)</f>
        <v>1000</v>
      </c>
      <c r="J819" s="63">
        <f t="shared" si="80"/>
        <v>1</v>
      </c>
      <c r="K819" s="63">
        <f>VLOOKUP(H819,Manutention!A:E, 3, FALSE) * J819</f>
        <v>1</v>
      </c>
      <c r="L819" s="63" t="s">
        <v>164</v>
      </c>
      <c r="M819" s="63">
        <f>ROUNDUP(K819/VLOOKUP(L819,Camion!A:D, 3, FALSE),0)</f>
        <v>1</v>
      </c>
      <c r="N819" s="63">
        <f>INT(K819/VLOOKUP(L819,Camion!A:D, 3, FALSE))</f>
        <v>0</v>
      </c>
      <c r="O819" s="64">
        <f>ROUND(K819/VLOOKUP(L819,Camion!A:D, 3, FALSE) - N819,2)</f>
        <v>0.11</v>
      </c>
      <c r="P819" s="63" t="s">
        <v>130</v>
      </c>
    </row>
    <row r="820" spans="1:16" x14ac:dyDescent="0.25">
      <c r="A820" s="7">
        <v>38</v>
      </c>
      <c r="B820" s="62" t="s">
        <v>184</v>
      </c>
      <c r="C820" s="63" t="s">
        <v>1</v>
      </c>
      <c r="D820" s="63" t="s">
        <v>135</v>
      </c>
      <c r="E820" s="63" t="s">
        <v>75</v>
      </c>
      <c r="F820" s="63" t="s">
        <v>127</v>
      </c>
      <c r="G820" s="63">
        <v>29</v>
      </c>
      <c r="H820" s="63" t="s">
        <v>136</v>
      </c>
      <c r="I820" s="63">
        <f>INDEX(Matériel!A:Z, MATCH(E820, Matériel!A:A, 0), MATCH(H820, INDEX(Matériel!A:Z, MATCH(E820, Matériel!A:A, 0), 0), 0) + 1)</f>
        <v>60</v>
      </c>
      <c r="J820" s="63">
        <f t="shared" si="80"/>
        <v>1</v>
      </c>
      <c r="K820" s="63">
        <f>VLOOKUP(H820,Manutention!A:E, 3, FALSE) * J820</f>
        <v>1</v>
      </c>
      <c r="L820" s="63" t="s">
        <v>164</v>
      </c>
      <c r="M820" s="63">
        <f>ROUNDUP(K820/VLOOKUP(L820,Camion!A:D, 3, FALSE),0)</f>
        <v>1</v>
      </c>
      <c r="N820" s="63">
        <f>INT(K820/VLOOKUP(L820,Camion!A:D, 3, FALSE))</f>
        <v>0</v>
      </c>
      <c r="O820" s="64">
        <f>ROUND(K820/VLOOKUP(L820,Camion!A:D, 3, FALSE) - N820,2)</f>
        <v>0.11</v>
      </c>
      <c r="P820" s="63" t="s">
        <v>129</v>
      </c>
    </row>
    <row r="821" spans="1:16" x14ac:dyDescent="0.25">
      <c r="A821" s="7">
        <v>38</v>
      </c>
      <c r="B821" s="62" t="s">
        <v>184</v>
      </c>
      <c r="C821" s="63" t="s">
        <v>1</v>
      </c>
      <c r="D821" s="63" t="s">
        <v>128</v>
      </c>
      <c r="E821" s="63" t="s">
        <v>76</v>
      </c>
      <c r="F821" s="63" t="s">
        <v>127</v>
      </c>
      <c r="G821" s="63">
        <v>14</v>
      </c>
      <c r="H821" s="63" t="s">
        <v>131</v>
      </c>
      <c r="I821" s="63">
        <f>INDEX(Matériel!A:Z, MATCH(E821, Matériel!A:A, 0), MATCH(H821, INDEX(Matériel!A:Z, MATCH(E821, Matériel!A:A, 0), 0), 0) + 1)</f>
        <v>100</v>
      </c>
      <c r="J821" s="63">
        <f t="shared" si="80"/>
        <v>1</v>
      </c>
      <c r="K821" s="63">
        <f>VLOOKUP(H821,Manutention!A:E, 3, FALSE) * J821</f>
        <v>1</v>
      </c>
      <c r="L821" s="63" t="s">
        <v>164</v>
      </c>
      <c r="M821" s="63">
        <f>ROUNDUP(K821/VLOOKUP(L821,Camion!A:D, 3, FALSE),0)</f>
        <v>1</v>
      </c>
      <c r="N821" s="63">
        <f>INT(K821/VLOOKUP(L821,Camion!A:D, 3, FALSE))</f>
        <v>0</v>
      </c>
      <c r="O821" s="64">
        <f>ROUND(K821/VLOOKUP(L821,Camion!A:D, 3, FALSE) - N821,2)</f>
        <v>0.11</v>
      </c>
      <c r="P821" s="63" t="s">
        <v>129</v>
      </c>
    </row>
    <row r="822" spans="1:16" x14ac:dyDescent="0.25">
      <c r="A822" s="7">
        <v>38</v>
      </c>
      <c r="B822" s="62" t="s">
        <v>184</v>
      </c>
      <c r="C822" s="63" t="s">
        <v>1</v>
      </c>
      <c r="D822" s="63" t="s">
        <v>135</v>
      </c>
      <c r="E822" s="63" t="s">
        <v>77</v>
      </c>
      <c r="F822" s="63" t="s">
        <v>127</v>
      </c>
      <c r="G822" s="63">
        <v>123</v>
      </c>
      <c r="H822" s="63" t="s">
        <v>131</v>
      </c>
      <c r="I822" s="63">
        <f>INDEX(Matériel!A:Z, MATCH(E822, Matériel!A:A, 0), MATCH(H822, INDEX(Matériel!A:Z, MATCH(E822, Matériel!A:A, 0), 0), 0) + 1)</f>
        <v>20</v>
      </c>
      <c r="J822" s="63">
        <f t="shared" si="80"/>
        <v>7</v>
      </c>
      <c r="K822" s="63">
        <f>VLOOKUP(H822,Manutention!A:E, 3, FALSE) * J822</f>
        <v>7</v>
      </c>
      <c r="L822" s="63" t="s">
        <v>164</v>
      </c>
      <c r="M822" s="63">
        <f>ROUNDUP(K822/VLOOKUP(L822,Camion!A:D, 3, FALSE),0)</f>
        <v>1</v>
      </c>
      <c r="N822" s="63">
        <f>INT(K822/VLOOKUP(L822,Camion!A:D, 3, FALSE))</f>
        <v>0</v>
      </c>
      <c r="O822" s="64">
        <f>ROUND(K822/VLOOKUP(L822,Camion!A:D, 3, FALSE) - N822,2)</f>
        <v>0.78</v>
      </c>
      <c r="P822" s="63" t="s">
        <v>129</v>
      </c>
    </row>
    <row r="823" spans="1:16" x14ac:dyDescent="0.25">
      <c r="A823" s="7">
        <v>38</v>
      </c>
      <c r="B823" s="62" t="s">
        <v>184</v>
      </c>
      <c r="C823" s="63" t="s">
        <v>1</v>
      </c>
      <c r="D823" s="63" t="s">
        <v>135</v>
      </c>
      <c r="E823" s="63" t="s">
        <v>78</v>
      </c>
      <c r="F823" s="63" t="s">
        <v>127</v>
      </c>
      <c r="G823" s="63">
        <v>2</v>
      </c>
      <c r="H823" s="63" t="s">
        <v>133</v>
      </c>
      <c r="I823" s="63">
        <f>INDEX(Matériel!A:Z, MATCH(E823, Matériel!A:A, 0), MATCH(H823, INDEX(Matériel!A:Z, MATCH(E823, Matériel!A:A, 0), 0), 0) + 1)</f>
        <v>1</v>
      </c>
      <c r="J823" s="63">
        <f t="shared" si="80"/>
        <v>2</v>
      </c>
      <c r="K823" s="63">
        <f>VLOOKUP(H823,Manutention!A:E, 3, FALSE) * J823</f>
        <v>4</v>
      </c>
      <c r="L823" s="63" t="s">
        <v>164</v>
      </c>
      <c r="M823" s="63">
        <f>ROUNDUP(K823/VLOOKUP(L823,Camion!A:D, 3, FALSE),0)</f>
        <v>1</v>
      </c>
      <c r="N823" s="63">
        <f>INT(K823/VLOOKUP(L823,Camion!A:D, 3, FALSE))</f>
        <v>0</v>
      </c>
      <c r="O823" s="64">
        <f>ROUND(K823/VLOOKUP(L823,Camion!A:D, 3, FALSE) - N823,2)</f>
        <v>0.44</v>
      </c>
      <c r="P823" s="63" t="s">
        <v>129</v>
      </c>
    </row>
    <row r="824" spans="1:16" x14ac:dyDescent="0.25">
      <c r="A824" s="7">
        <v>38</v>
      </c>
      <c r="B824" s="62" t="s">
        <v>184</v>
      </c>
      <c r="C824" s="63" t="s">
        <v>1</v>
      </c>
      <c r="D824" s="63" t="s">
        <v>135</v>
      </c>
      <c r="E824" s="63" t="s">
        <v>79</v>
      </c>
      <c r="F824" s="63" t="s">
        <v>127</v>
      </c>
      <c r="G824" s="63">
        <v>1</v>
      </c>
      <c r="H824" s="63" t="s">
        <v>133</v>
      </c>
      <c r="I824" s="63">
        <f>INDEX(Matériel!A:Z, MATCH(E824, Matériel!A:A, 0), MATCH(H824, INDEX(Matériel!A:Z, MATCH(E824, Matériel!A:A, 0), 0), 0) + 1)</f>
        <v>1</v>
      </c>
      <c r="J824" s="63">
        <f t="shared" si="80"/>
        <v>1</v>
      </c>
      <c r="K824" s="63">
        <f>VLOOKUP(H824,Manutention!A:E, 3, FALSE) * J824</f>
        <v>2</v>
      </c>
      <c r="L824" s="63" t="s">
        <v>164</v>
      </c>
      <c r="M824" s="63">
        <f>ROUNDUP(K824/VLOOKUP(L824,Camion!A:D, 3, FALSE),0)</f>
        <v>1</v>
      </c>
      <c r="N824" s="63">
        <f>INT(K824/VLOOKUP(L824,Camion!A:D, 3, FALSE))</f>
        <v>0</v>
      </c>
      <c r="O824" s="64">
        <f>ROUND(K824/VLOOKUP(L824,Camion!A:D, 3, FALSE) - N824,2)</f>
        <v>0.22</v>
      </c>
      <c r="P824" s="63" t="s">
        <v>129</v>
      </c>
    </row>
    <row r="825" spans="1:16" x14ac:dyDescent="0.25">
      <c r="A825" s="7">
        <v>38</v>
      </c>
      <c r="B825" s="62" t="s">
        <v>184</v>
      </c>
      <c r="C825" s="63" t="s">
        <v>1</v>
      </c>
      <c r="D825" s="63" t="s">
        <v>128</v>
      </c>
      <c r="E825" s="63" t="s">
        <v>81</v>
      </c>
      <c r="F825" s="63" t="s">
        <v>127</v>
      </c>
      <c r="G825" s="63">
        <v>5</v>
      </c>
      <c r="H825" s="63" t="s">
        <v>131</v>
      </c>
      <c r="I825" s="63">
        <f>INDEX(Matériel!A:Z, MATCH(E825, Matériel!A:A, 0), MATCH(H825, INDEX(Matériel!A:Z, MATCH(E825, Matériel!A:A, 0), 0), 0) + 1)</f>
        <v>100</v>
      </c>
      <c r="J825" s="63">
        <f t="shared" si="80"/>
        <v>1</v>
      </c>
      <c r="K825" s="63">
        <f>VLOOKUP(H825,Manutention!A:E, 3, FALSE) * J825</f>
        <v>1</v>
      </c>
      <c r="L825" s="63" t="s">
        <v>164</v>
      </c>
      <c r="M825" s="63">
        <f>ROUNDUP(K825/VLOOKUP(L825,Camion!A:D, 3, FALSE),0)</f>
        <v>1</v>
      </c>
      <c r="N825" s="63">
        <f>INT(K825/VLOOKUP(L825,Camion!A:D, 3, FALSE))</f>
        <v>0</v>
      </c>
      <c r="O825" s="64">
        <f>ROUND(K825/VLOOKUP(L825,Camion!A:D, 3, FALSE) - N825,2)</f>
        <v>0.11</v>
      </c>
      <c r="P825" s="63" t="s">
        <v>130</v>
      </c>
    </row>
    <row r="826" spans="1:16" x14ac:dyDescent="0.25">
      <c r="A826" s="7">
        <v>38</v>
      </c>
      <c r="B826" s="5" t="s">
        <v>184</v>
      </c>
      <c r="C826" s="65"/>
      <c r="D826" s="65"/>
      <c r="E826" s="65" t="s">
        <v>187</v>
      </c>
      <c r="F826" s="65"/>
      <c r="G826" s="65"/>
      <c r="H826" s="65" t="s">
        <v>131</v>
      </c>
      <c r="I826" s="65"/>
      <c r="J826" s="65"/>
      <c r="K826" s="65">
        <f>SUMIFS(K:K, A:A, 38, B:B, "Z1 Z2", P:P, "Oui", D:D, "Production")</f>
        <v>1</v>
      </c>
      <c r="L826" s="65" t="s">
        <v>164</v>
      </c>
      <c r="M826" s="65">
        <f>ROUNDUP(K826/VLOOKUP(L826,Camion!A:D, 3, FALSE),0)</f>
        <v>1</v>
      </c>
      <c r="N826" s="65">
        <f>INT(K826/VLOOKUP(L826,Camion!A:D, 3, FALSE))</f>
        <v>0</v>
      </c>
      <c r="O826" s="66">
        <f>ROUND(K826/VLOOKUP(L826,Camion!A:D, 3, FALSE) - N826,2)</f>
        <v>0.11</v>
      </c>
      <c r="P826" s="65"/>
    </row>
    <row r="827" spans="1:16" x14ac:dyDescent="0.25">
      <c r="A827" s="7">
        <v>38</v>
      </c>
      <c r="B827" s="5" t="s">
        <v>184</v>
      </c>
      <c r="C827" s="65"/>
      <c r="D827" s="65"/>
      <c r="E827" s="65" t="s">
        <v>188</v>
      </c>
      <c r="F827" s="65"/>
      <c r="G827" s="65"/>
      <c r="H827" s="65" t="s">
        <v>131</v>
      </c>
      <c r="I827" s="65"/>
      <c r="J827" s="65"/>
      <c r="K827" s="65">
        <f>SUMIFS(K:K, A:A, 38, B:B, "Z1 Z2", P:P, "Oui", D:D, "Terminaux")</f>
        <v>14</v>
      </c>
      <c r="L827" s="65" t="s">
        <v>166</v>
      </c>
      <c r="M827" s="65">
        <f>ROUNDUP(K827/VLOOKUP(L827,Camion!A:D, 3, FALSE),0)</f>
        <v>1</v>
      </c>
      <c r="N827" s="65">
        <f>INT(K827/VLOOKUP(L827,Camion!A:D, 3, FALSE))</f>
        <v>0</v>
      </c>
      <c r="O827" s="66">
        <f>ROUND(K827/VLOOKUP(L827,Camion!A:D, 3, FALSE) - N827,2)</f>
        <v>0.82</v>
      </c>
      <c r="P827" s="65"/>
    </row>
    <row r="828" spans="1:16" x14ac:dyDescent="0.25">
      <c r="A828" s="7">
        <v>38</v>
      </c>
      <c r="B828" s="62" t="s">
        <v>185</v>
      </c>
      <c r="C828" s="63" t="s">
        <v>1</v>
      </c>
      <c r="D828" s="63" t="s">
        <v>128</v>
      </c>
      <c r="E828" s="63" t="s">
        <v>71</v>
      </c>
      <c r="F828" s="63" t="s">
        <v>138</v>
      </c>
      <c r="G828" s="63">
        <v>185</v>
      </c>
      <c r="H828" s="63" t="s">
        <v>139</v>
      </c>
      <c r="I828" s="63">
        <f>INDEX(Matériel!A:Z, MATCH(E828, Matériel!A:A, 0), MATCH(H828, INDEX(Matériel!A:Z, MATCH(E828, Matériel!A:A, 0), 0), 0) + 1)</f>
        <v>150</v>
      </c>
      <c r="J828" s="63">
        <f t="shared" ref="J828:J835" si="81">ROUNDUP(G828 / I828, 0)</f>
        <v>2</v>
      </c>
      <c r="K828" s="63">
        <f>VLOOKUP(H828,Manutention!A:E, 3, FALSE) * J828</f>
        <v>6</v>
      </c>
      <c r="L828" s="63" t="s">
        <v>164</v>
      </c>
      <c r="M828" s="63">
        <f>ROUNDUP(K828/VLOOKUP(L828,Camion!A:D, 3, FALSE),0)</f>
        <v>1</v>
      </c>
      <c r="N828" s="63">
        <f>INT(K828/VLOOKUP(L828,Camion!A:D, 3, FALSE))</f>
        <v>0</v>
      </c>
      <c r="O828" s="64">
        <f>ROUND(K828/VLOOKUP(L828,Camion!A:D, 3, FALSE) - N828,2)</f>
        <v>0.67</v>
      </c>
      <c r="P828" s="63" t="s">
        <v>130</v>
      </c>
    </row>
    <row r="829" spans="1:16" x14ac:dyDescent="0.25">
      <c r="A829" s="7">
        <v>38</v>
      </c>
      <c r="B829" s="62" t="s">
        <v>185</v>
      </c>
      <c r="C829" s="63" t="s">
        <v>1</v>
      </c>
      <c r="D829" s="63" t="s">
        <v>135</v>
      </c>
      <c r="E829" s="63" t="s">
        <v>72</v>
      </c>
      <c r="F829" s="63" t="s">
        <v>138</v>
      </c>
      <c r="G829" s="63">
        <v>566</v>
      </c>
      <c r="H829" s="63" t="s">
        <v>143</v>
      </c>
      <c r="I829" s="63">
        <f>INDEX(Matériel!A:Z, MATCH(E829, Matériel!A:A, 0), MATCH(H829, INDEX(Matériel!A:Z, MATCH(E829, Matériel!A:A, 0), 0), 0) + 1)</f>
        <v>1000</v>
      </c>
      <c r="J829" s="63">
        <f t="shared" si="81"/>
        <v>1</v>
      </c>
      <c r="K829" s="63">
        <f>VLOOKUP(H829,Manutention!A:E, 3, FALSE) * J829</f>
        <v>1</v>
      </c>
      <c r="L829" s="63" t="s">
        <v>164</v>
      </c>
      <c r="M829" s="63">
        <f>ROUNDUP(K829/VLOOKUP(L829,Camion!A:D, 3, FALSE),0)</f>
        <v>1</v>
      </c>
      <c r="N829" s="63">
        <f>INT(K829/VLOOKUP(L829,Camion!A:D, 3, FALSE))</f>
        <v>0</v>
      </c>
      <c r="O829" s="64">
        <f>ROUND(K829/VLOOKUP(L829,Camion!A:D, 3, FALSE) - N829,2)</f>
        <v>0.11</v>
      </c>
      <c r="P829" s="63" t="s">
        <v>130</v>
      </c>
    </row>
    <row r="830" spans="1:16" x14ac:dyDescent="0.25">
      <c r="A830" s="7">
        <v>38</v>
      </c>
      <c r="B830" s="62" t="s">
        <v>185</v>
      </c>
      <c r="C830" s="63" t="s">
        <v>1</v>
      </c>
      <c r="D830" s="63" t="s">
        <v>135</v>
      </c>
      <c r="E830" s="63" t="s">
        <v>75</v>
      </c>
      <c r="F830" s="63" t="s">
        <v>127</v>
      </c>
      <c r="G830" s="63">
        <v>29</v>
      </c>
      <c r="H830" s="63" t="s">
        <v>136</v>
      </c>
      <c r="I830" s="63">
        <f>INDEX(Matériel!A:Z, MATCH(E830, Matériel!A:A, 0), MATCH(H830, INDEX(Matériel!A:Z, MATCH(E830, Matériel!A:A, 0), 0), 0) + 1)</f>
        <v>60</v>
      </c>
      <c r="J830" s="63">
        <f t="shared" si="81"/>
        <v>1</v>
      </c>
      <c r="K830" s="63">
        <f>VLOOKUP(H830,Manutention!A:E, 3, FALSE) * J830</f>
        <v>1</v>
      </c>
      <c r="L830" s="63" t="s">
        <v>164</v>
      </c>
      <c r="M830" s="63">
        <f>ROUNDUP(K830/VLOOKUP(L830,Camion!A:D, 3, FALSE),0)</f>
        <v>1</v>
      </c>
      <c r="N830" s="63">
        <f>INT(K830/VLOOKUP(L830,Camion!A:D, 3, FALSE))</f>
        <v>0</v>
      </c>
      <c r="O830" s="64">
        <f>ROUND(K830/VLOOKUP(L830,Camion!A:D, 3, FALSE) - N830,2)</f>
        <v>0.11</v>
      </c>
      <c r="P830" s="63" t="s">
        <v>129</v>
      </c>
    </row>
    <row r="831" spans="1:16" x14ac:dyDescent="0.25">
      <c r="A831" s="7">
        <v>38</v>
      </c>
      <c r="B831" s="62" t="s">
        <v>185</v>
      </c>
      <c r="C831" s="63" t="s">
        <v>1</v>
      </c>
      <c r="D831" s="63" t="s">
        <v>128</v>
      </c>
      <c r="E831" s="63" t="s">
        <v>76</v>
      </c>
      <c r="F831" s="63" t="s">
        <v>127</v>
      </c>
      <c r="G831" s="63">
        <v>14</v>
      </c>
      <c r="H831" s="63" t="s">
        <v>131</v>
      </c>
      <c r="I831" s="63">
        <f>INDEX(Matériel!A:Z, MATCH(E831, Matériel!A:A, 0), MATCH(H831, INDEX(Matériel!A:Z, MATCH(E831, Matériel!A:A, 0), 0), 0) + 1)</f>
        <v>100</v>
      </c>
      <c r="J831" s="63">
        <f t="shared" si="81"/>
        <v>1</v>
      </c>
      <c r="K831" s="63">
        <f>VLOOKUP(H831,Manutention!A:E, 3, FALSE) * J831</f>
        <v>1</v>
      </c>
      <c r="L831" s="63" t="s">
        <v>164</v>
      </c>
      <c r="M831" s="63">
        <f>ROUNDUP(K831/VLOOKUP(L831,Camion!A:D, 3, FALSE),0)</f>
        <v>1</v>
      </c>
      <c r="N831" s="63">
        <f>INT(K831/VLOOKUP(L831,Camion!A:D, 3, FALSE))</f>
        <v>0</v>
      </c>
      <c r="O831" s="64">
        <f>ROUND(K831/VLOOKUP(L831,Camion!A:D, 3, FALSE) - N831,2)</f>
        <v>0.11</v>
      </c>
      <c r="P831" s="63" t="s">
        <v>129</v>
      </c>
    </row>
    <row r="832" spans="1:16" x14ac:dyDescent="0.25">
      <c r="A832" s="7">
        <v>38</v>
      </c>
      <c r="B832" s="62" t="s">
        <v>185</v>
      </c>
      <c r="C832" s="63" t="s">
        <v>1</v>
      </c>
      <c r="D832" s="63" t="s">
        <v>135</v>
      </c>
      <c r="E832" s="63" t="s">
        <v>77</v>
      </c>
      <c r="F832" s="63" t="s">
        <v>127</v>
      </c>
      <c r="G832" s="63">
        <v>121</v>
      </c>
      <c r="H832" s="63" t="s">
        <v>131</v>
      </c>
      <c r="I832" s="63">
        <f>INDEX(Matériel!A:Z, MATCH(E832, Matériel!A:A, 0), MATCH(H832, INDEX(Matériel!A:Z, MATCH(E832, Matériel!A:A, 0), 0), 0) + 1)</f>
        <v>20</v>
      </c>
      <c r="J832" s="63">
        <f t="shared" si="81"/>
        <v>7</v>
      </c>
      <c r="K832" s="63">
        <f>VLOOKUP(H832,Manutention!A:E, 3, FALSE) * J832</f>
        <v>7</v>
      </c>
      <c r="L832" s="63" t="s">
        <v>164</v>
      </c>
      <c r="M832" s="63">
        <f>ROUNDUP(K832/VLOOKUP(L832,Camion!A:D, 3, FALSE),0)</f>
        <v>1</v>
      </c>
      <c r="N832" s="63">
        <f>INT(K832/VLOOKUP(L832,Camion!A:D, 3, FALSE))</f>
        <v>0</v>
      </c>
      <c r="O832" s="64">
        <f>ROUND(K832/VLOOKUP(L832,Camion!A:D, 3, FALSE) - N832,2)</f>
        <v>0.78</v>
      </c>
      <c r="P832" s="63" t="s">
        <v>129</v>
      </c>
    </row>
    <row r="833" spans="1:16" x14ac:dyDescent="0.25">
      <c r="A833" s="7">
        <v>38</v>
      </c>
      <c r="B833" s="62" t="s">
        <v>185</v>
      </c>
      <c r="C833" s="63" t="s">
        <v>1</v>
      </c>
      <c r="D833" s="63" t="s">
        <v>135</v>
      </c>
      <c r="E833" s="63" t="s">
        <v>78</v>
      </c>
      <c r="F833" s="63" t="s">
        <v>127</v>
      </c>
      <c r="G833" s="63">
        <v>2</v>
      </c>
      <c r="H833" s="63" t="s">
        <v>133</v>
      </c>
      <c r="I833" s="63">
        <f>INDEX(Matériel!A:Z, MATCH(E833, Matériel!A:A, 0), MATCH(H833, INDEX(Matériel!A:Z, MATCH(E833, Matériel!A:A, 0), 0), 0) + 1)</f>
        <v>1</v>
      </c>
      <c r="J833" s="63">
        <f t="shared" si="81"/>
        <v>2</v>
      </c>
      <c r="K833" s="63">
        <f>VLOOKUP(H833,Manutention!A:E, 3, FALSE) * J833</f>
        <v>4</v>
      </c>
      <c r="L833" s="63" t="s">
        <v>164</v>
      </c>
      <c r="M833" s="63">
        <f>ROUNDUP(K833/VLOOKUP(L833,Camion!A:D, 3, FALSE),0)</f>
        <v>1</v>
      </c>
      <c r="N833" s="63">
        <f>INT(K833/VLOOKUP(L833,Camion!A:D, 3, FALSE))</f>
        <v>0</v>
      </c>
      <c r="O833" s="64">
        <f>ROUND(K833/VLOOKUP(L833,Camion!A:D, 3, FALSE) - N833,2)</f>
        <v>0.44</v>
      </c>
      <c r="P833" s="63" t="s">
        <v>129</v>
      </c>
    </row>
    <row r="834" spans="1:16" x14ac:dyDescent="0.25">
      <c r="A834" s="7">
        <v>38</v>
      </c>
      <c r="B834" s="62" t="s">
        <v>185</v>
      </c>
      <c r="C834" s="63" t="s">
        <v>1</v>
      </c>
      <c r="D834" s="63" t="s">
        <v>135</v>
      </c>
      <c r="E834" s="63" t="s">
        <v>79</v>
      </c>
      <c r="F834" s="63" t="s">
        <v>127</v>
      </c>
      <c r="G834" s="63">
        <v>1</v>
      </c>
      <c r="H834" s="63" t="s">
        <v>133</v>
      </c>
      <c r="I834" s="63">
        <f>INDEX(Matériel!A:Z, MATCH(E834, Matériel!A:A, 0), MATCH(H834, INDEX(Matériel!A:Z, MATCH(E834, Matériel!A:A, 0), 0), 0) + 1)</f>
        <v>1</v>
      </c>
      <c r="J834" s="63">
        <f t="shared" si="81"/>
        <v>1</v>
      </c>
      <c r="K834" s="63">
        <f>VLOOKUP(H834,Manutention!A:E, 3, FALSE) * J834</f>
        <v>2</v>
      </c>
      <c r="L834" s="63" t="s">
        <v>164</v>
      </c>
      <c r="M834" s="63">
        <f>ROUNDUP(K834/VLOOKUP(L834,Camion!A:D, 3, FALSE),0)</f>
        <v>1</v>
      </c>
      <c r="N834" s="63">
        <f>INT(K834/VLOOKUP(L834,Camion!A:D, 3, FALSE))</f>
        <v>0</v>
      </c>
      <c r="O834" s="64">
        <f>ROUND(K834/VLOOKUP(L834,Camion!A:D, 3, FALSE) - N834,2)</f>
        <v>0.22</v>
      </c>
      <c r="P834" s="63" t="s">
        <v>129</v>
      </c>
    </row>
    <row r="835" spans="1:16" x14ac:dyDescent="0.25">
      <c r="A835" s="7">
        <v>38</v>
      </c>
      <c r="B835" s="62" t="s">
        <v>185</v>
      </c>
      <c r="C835" s="63" t="s">
        <v>1</v>
      </c>
      <c r="D835" s="63" t="s">
        <v>128</v>
      </c>
      <c r="E835" s="63" t="s">
        <v>81</v>
      </c>
      <c r="F835" s="63" t="s">
        <v>127</v>
      </c>
      <c r="G835" s="63">
        <v>5</v>
      </c>
      <c r="H835" s="63" t="s">
        <v>131</v>
      </c>
      <c r="I835" s="63">
        <f>INDEX(Matériel!A:Z, MATCH(E835, Matériel!A:A, 0), MATCH(H835, INDEX(Matériel!A:Z, MATCH(E835, Matériel!A:A, 0), 0), 0) + 1)</f>
        <v>100</v>
      </c>
      <c r="J835" s="63">
        <f t="shared" si="81"/>
        <v>1</v>
      </c>
      <c r="K835" s="63">
        <f>VLOOKUP(H835,Manutention!A:E, 3, FALSE) * J835</f>
        <v>1</v>
      </c>
      <c r="L835" s="63" t="s">
        <v>164</v>
      </c>
      <c r="M835" s="63">
        <f>ROUNDUP(K835/VLOOKUP(L835,Camion!A:D, 3, FALSE),0)</f>
        <v>1</v>
      </c>
      <c r="N835" s="63">
        <f>INT(K835/VLOOKUP(L835,Camion!A:D, 3, FALSE))</f>
        <v>0</v>
      </c>
      <c r="O835" s="64">
        <f>ROUND(K835/VLOOKUP(L835,Camion!A:D, 3, FALSE) - N835,2)</f>
        <v>0.11</v>
      </c>
      <c r="P835" s="63" t="s">
        <v>130</v>
      </c>
    </row>
    <row r="836" spans="1:16" x14ac:dyDescent="0.25">
      <c r="A836" s="7">
        <v>38</v>
      </c>
      <c r="B836" s="5" t="s">
        <v>185</v>
      </c>
      <c r="C836" s="65"/>
      <c r="D836" s="65"/>
      <c r="E836" s="65" t="s">
        <v>187</v>
      </c>
      <c r="F836" s="65"/>
      <c r="G836" s="65"/>
      <c r="H836" s="65" t="s">
        <v>131</v>
      </c>
      <c r="I836" s="65"/>
      <c r="J836" s="65"/>
      <c r="K836" s="65">
        <f>SUMIFS(K:K, A:A, 38, B:B, "Z3 Z4", P:P, "Oui", D:D, "Production")</f>
        <v>1</v>
      </c>
      <c r="L836" s="65" t="s">
        <v>164</v>
      </c>
      <c r="M836" s="65">
        <f>ROUNDUP(K836/VLOOKUP(L836,Camion!A:D, 3, FALSE),0)</f>
        <v>1</v>
      </c>
      <c r="N836" s="65">
        <f>INT(K836/VLOOKUP(L836,Camion!A:D, 3, FALSE))</f>
        <v>0</v>
      </c>
      <c r="O836" s="66">
        <f>ROUND(K836/VLOOKUP(L836,Camion!A:D, 3, FALSE) - N836,2)</f>
        <v>0.11</v>
      </c>
      <c r="P836" s="65"/>
    </row>
    <row r="837" spans="1:16" x14ac:dyDescent="0.25">
      <c r="A837" s="7">
        <v>38</v>
      </c>
      <c r="B837" s="5" t="s">
        <v>185</v>
      </c>
      <c r="C837" s="65"/>
      <c r="D837" s="65"/>
      <c r="E837" s="65" t="s">
        <v>188</v>
      </c>
      <c r="F837" s="65"/>
      <c r="G837" s="65"/>
      <c r="H837" s="65" t="s">
        <v>131</v>
      </c>
      <c r="I837" s="65"/>
      <c r="J837" s="65"/>
      <c r="K837" s="65">
        <f>SUMIFS(K:K, A:A, 38, B:B, "Z3 Z4", P:P, "Oui", D:D, "Terminaux")</f>
        <v>14</v>
      </c>
      <c r="L837" s="65" t="s">
        <v>166</v>
      </c>
      <c r="M837" s="65">
        <f>ROUNDUP(K837/VLOOKUP(L837,Camion!A:D, 3, FALSE),0)</f>
        <v>1</v>
      </c>
      <c r="N837" s="65">
        <f>INT(K837/VLOOKUP(L837,Camion!A:D, 3, FALSE))</f>
        <v>0</v>
      </c>
      <c r="O837" s="66">
        <f>ROUND(K837/VLOOKUP(L837,Camion!A:D, 3, FALSE) - N837,2)</f>
        <v>0.82</v>
      </c>
      <c r="P837" s="65"/>
    </row>
    <row r="838" spans="1:16" x14ac:dyDescent="0.25">
      <c r="A838" s="7">
        <v>39</v>
      </c>
      <c r="B838" s="62" t="s">
        <v>184</v>
      </c>
      <c r="C838" s="63" t="s">
        <v>1</v>
      </c>
      <c r="D838" s="63" t="s">
        <v>128</v>
      </c>
      <c r="E838" s="63" t="s">
        <v>71</v>
      </c>
      <c r="F838" s="63" t="s">
        <v>138</v>
      </c>
      <c r="G838" s="63">
        <v>182</v>
      </c>
      <c r="H838" s="63" t="s">
        <v>139</v>
      </c>
      <c r="I838" s="63">
        <f>INDEX(Matériel!A:Z, MATCH(E838, Matériel!A:A, 0), MATCH(H838, INDEX(Matériel!A:Z, MATCH(E838, Matériel!A:A, 0), 0), 0) + 1)</f>
        <v>150</v>
      </c>
      <c r="J838" s="63">
        <f t="shared" ref="J838:J847" si="82">ROUNDUP(G838 / I838, 0)</f>
        <v>2</v>
      </c>
      <c r="K838" s="63">
        <f>VLOOKUP(H838,Manutention!A:E, 3, FALSE) * J838</f>
        <v>6</v>
      </c>
      <c r="L838" s="63" t="s">
        <v>164</v>
      </c>
      <c r="M838" s="63">
        <f>ROUNDUP(K838/VLOOKUP(L838,Camion!A:D, 3, FALSE),0)</f>
        <v>1</v>
      </c>
      <c r="N838" s="63">
        <f>INT(K838/VLOOKUP(L838,Camion!A:D, 3, FALSE))</f>
        <v>0</v>
      </c>
      <c r="O838" s="64">
        <f>ROUND(K838/VLOOKUP(L838,Camion!A:D, 3, FALSE) - N838,2)</f>
        <v>0.67</v>
      </c>
      <c r="P838" s="63" t="s">
        <v>130</v>
      </c>
    </row>
    <row r="839" spans="1:16" x14ac:dyDescent="0.25">
      <c r="A839" s="7">
        <v>39</v>
      </c>
      <c r="B839" s="62" t="s">
        <v>184</v>
      </c>
      <c r="C839" s="63" t="s">
        <v>1</v>
      </c>
      <c r="D839" s="63" t="s">
        <v>135</v>
      </c>
      <c r="E839" s="63" t="s">
        <v>72</v>
      </c>
      <c r="F839" s="63" t="s">
        <v>138</v>
      </c>
      <c r="G839" s="63">
        <v>558</v>
      </c>
      <c r="H839" s="63" t="s">
        <v>143</v>
      </c>
      <c r="I839" s="63">
        <f>INDEX(Matériel!A:Z, MATCH(E839, Matériel!A:A, 0), MATCH(H839, INDEX(Matériel!A:Z, MATCH(E839, Matériel!A:A, 0), 0), 0) + 1)</f>
        <v>1000</v>
      </c>
      <c r="J839" s="63">
        <f t="shared" si="82"/>
        <v>1</v>
      </c>
      <c r="K839" s="63">
        <f>VLOOKUP(H839,Manutention!A:E, 3, FALSE) * J839</f>
        <v>1</v>
      </c>
      <c r="L839" s="63" t="s">
        <v>164</v>
      </c>
      <c r="M839" s="63">
        <f>ROUNDUP(K839/VLOOKUP(L839,Camion!A:D, 3, FALSE),0)</f>
        <v>1</v>
      </c>
      <c r="N839" s="63">
        <f>INT(K839/VLOOKUP(L839,Camion!A:D, 3, FALSE))</f>
        <v>0</v>
      </c>
      <c r="O839" s="64">
        <f>ROUND(K839/VLOOKUP(L839,Camion!A:D, 3, FALSE) - N839,2)</f>
        <v>0.11</v>
      </c>
      <c r="P839" s="63" t="s">
        <v>130</v>
      </c>
    </row>
    <row r="840" spans="1:16" x14ac:dyDescent="0.25">
      <c r="A840" s="7">
        <v>39</v>
      </c>
      <c r="B840" s="62" t="s">
        <v>184</v>
      </c>
      <c r="C840" s="63" t="s">
        <v>1</v>
      </c>
      <c r="D840" s="63" t="s">
        <v>128</v>
      </c>
      <c r="E840" s="63" t="s">
        <v>73</v>
      </c>
      <c r="F840" s="63" t="s">
        <v>127</v>
      </c>
      <c r="G840" s="63">
        <v>1</v>
      </c>
      <c r="H840" s="63" t="s">
        <v>133</v>
      </c>
      <c r="I840" s="63">
        <f>INDEX(Matériel!A:Z, MATCH(E840, Matériel!A:A, 0), MATCH(H840, INDEX(Matériel!A:Z, MATCH(E840, Matériel!A:A, 0), 0), 0) + 1)</f>
        <v>0.5</v>
      </c>
      <c r="J840" s="63">
        <f t="shared" si="82"/>
        <v>2</v>
      </c>
      <c r="K840" s="63">
        <f>VLOOKUP(H840,Manutention!A:E, 3, FALSE) * J840</f>
        <v>4</v>
      </c>
      <c r="L840" s="63" t="s">
        <v>164</v>
      </c>
      <c r="M840" s="63">
        <f>ROUNDUP(K840/VLOOKUP(L840,Camion!A:D, 3, FALSE),0)</f>
        <v>1</v>
      </c>
      <c r="N840" s="63">
        <f>INT(K840/VLOOKUP(L840,Camion!A:D, 3, FALSE))</f>
        <v>0</v>
      </c>
      <c r="O840" s="64">
        <f>ROUND(K840/VLOOKUP(L840,Camion!A:D, 3, FALSE) - N840,2)</f>
        <v>0.44</v>
      </c>
      <c r="P840" s="63" t="s">
        <v>130</v>
      </c>
    </row>
    <row r="841" spans="1:16" x14ac:dyDescent="0.25">
      <c r="A841" s="7">
        <v>39</v>
      </c>
      <c r="B841" s="62" t="s">
        <v>184</v>
      </c>
      <c r="C841" s="63" t="s">
        <v>1</v>
      </c>
      <c r="D841" s="63" t="s">
        <v>135</v>
      </c>
      <c r="E841" s="63" t="s">
        <v>75</v>
      </c>
      <c r="F841" s="63" t="s">
        <v>127</v>
      </c>
      <c r="G841" s="63">
        <v>28</v>
      </c>
      <c r="H841" s="63" t="s">
        <v>136</v>
      </c>
      <c r="I841" s="63">
        <f>INDEX(Matériel!A:Z, MATCH(E841, Matériel!A:A, 0), MATCH(H841, INDEX(Matériel!A:Z, MATCH(E841, Matériel!A:A, 0), 0), 0) + 1)</f>
        <v>60</v>
      </c>
      <c r="J841" s="63">
        <f t="shared" si="82"/>
        <v>1</v>
      </c>
      <c r="K841" s="63">
        <f>VLOOKUP(H841,Manutention!A:E, 3, FALSE) * J841</f>
        <v>1</v>
      </c>
      <c r="L841" s="63" t="s">
        <v>164</v>
      </c>
      <c r="M841" s="63">
        <f>ROUNDUP(K841/VLOOKUP(L841,Camion!A:D, 3, FALSE),0)</f>
        <v>1</v>
      </c>
      <c r="N841" s="63">
        <f>INT(K841/VLOOKUP(L841,Camion!A:D, 3, FALSE))</f>
        <v>0</v>
      </c>
      <c r="O841" s="64">
        <f>ROUND(K841/VLOOKUP(L841,Camion!A:D, 3, FALSE) - N841,2)</f>
        <v>0.11</v>
      </c>
      <c r="P841" s="63" t="s">
        <v>129</v>
      </c>
    </row>
    <row r="842" spans="1:16" x14ac:dyDescent="0.25">
      <c r="A842" s="7">
        <v>39</v>
      </c>
      <c r="B842" s="62" t="s">
        <v>184</v>
      </c>
      <c r="C842" s="63" t="s">
        <v>1</v>
      </c>
      <c r="D842" s="63" t="s">
        <v>128</v>
      </c>
      <c r="E842" s="63" t="s">
        <v>76</v>
      </c>
      <c r="F842" s="63" t="s">
        <v>127</v>
      </c>
      <c r="G842" s="63">
        <v>14</v>
      </c>
      <c r="H842" s="63" t="s">
        <v>131</v>
      </c>
      <c r="I842" s="63">
        <f>INDEX(Matériel!A:Z, MATCH(E842, Matériel!A:A, 0), MATCH(H842, INDEX(Matériel!A:Z, MATCH(E842, Matériel!A:A, 0), 0), 0) + 1)</f>
        <v>100</v>
      </c>
      <c r="J842" s="63">
        <f t="shared" si="82"/>
        <v>1</v>
      </c>
      <c r="K842" s="63">
        <f>VLOOKUP(H842,Manutention!A:E, 3, FALSE) * J842</f>
        <v>1</v>
      </c>
      <c r="L842" s="63" t="s">
        <v>164</v>
      </c>
      <c r="M842" s="63">
        <f>ROUNDUP(K842/VLOOKUP(L842,Camion!A:D, 3, FALSE),0)</f>
        <v>1</v>
      </c>
      <c r="N842" s="63">
        <f>INT(K842/VLOOKUP(L842,Camion!A:D, 3, FALSE))</f>
        <v>0</v>
      </c>
      <c r="O842" s="64">
        <f>ROUND(K842/VLOOKUP(L842,Camion!A:D, 3, FALSE) - N842,2)</f>
        <v>0.11</v>
      </c>
      <c r="P842" s="63" t="s">
        <v>129</v>
      </c>
    </row>
    <row r="843" spans="1:16" x14ac:dyDescent="0.25">
      <c r="A843" s="7">
        <v>39</v>
      </c>
      <c r="B843" s="62" t="s">
        <v>184</v>
      </c>
      <c r="C843" s="63" t="s">
        <v>1</v>
      </c>
      <c r="D843" s="63" t="s">
        <v>135</v>
      </c>
      <c r="E843" s="63" t="s">
        <v>77</v>
      </c>
      <c r="F843" s="63" t="s">
        <v>127</v>
      </c>
      <c r="G843" s="63">
        <v>119</v>
      </c>
      <c r="H843" s="63" t="s">
        <v>131</v>
      </c>
      <c r="I843" s="63">
        <f>INDEX(Matériel!A:Z, MATCH(E843, Matériel!A:A, 0), MATCH(H843, INDEX(Matériel!A:Z, MATCH(E843, Matériel!A:A, 0), 0), 0) + 1)</f>
        <v>20</v>
      </c>
      <c r="J843" s="63">
        <f t="shared" si="82"/>
        <v>6</v>
      </c>
      <c r="K843" s="63">
        <f>VLOOKUP(H843,Manutention!A:E, 3, FALSE) * J843</f>
        <v>6</v>
      </c>
      <c r="L843" s="63" t="s">
        <v>164</v>
      </c>
      <c r="M843" s="63">
        <f>ROUNDUP(K843/VLOOKUP(L843,Camion!A:D, 3, FALSE),0)</f>
        <v>1</v>
      </c>
      <c r="N843" s="63">
        <f>INT(K843/VLOOKUP(L843,Camion!A:D, 3, FALSE))</f>
        <v>0</v>
      </c>
      <c r="O843" s="64">
        <f>ROUND(K843/VLOOKUP(L843,Camion!A:D, 3, FALSE) - N843,2)</f>
        <v>0.67</v>
      </c>
      <c r="P843" s="63" t="s">
        <v>129</v>
      </c>
    </row>
    <row r="844" spans="1:16" x14ac:dyDescent="0.25">
      <c r="A844" s="7">
        <v>39</v>
      </c>
      <c r="B844" s="62" t="s">
        <v>184</v>
      </c>
      <c r="C844" s="63" t="s">
        <v>1</v>
      </c>
      <c r="D844" s="63" t="s">
        <v>135</v>
      </c>
      <c r="E844" s="63" t="s">
        <v>78</v>
      </c>
      <c r="F844" s="63" t="s">
        <v>127</v>
      </c>
      <c r="G844" s="63">
        <v>5</v>
      </c>
      <c r="H844" s="63" t="s">
        <v>133</v>
      </c>
      <c r="I844" s="63">
        <f>INDEX(Matériel!A:Z, MATCH(E844, Matériel!A:A, 0), MATCH(H844, INDEX(Matériel!A:Z, MATCH(E844, Matériel!A:A, 0), 0), 0) + 1)</f>
        <v>1</v>
      </c>
      <c r="J844" s="63">
        <f t="shared" si="82"/>
        <v>5</v>
      </c>
      <c r="K844" s="63">
        <f>VLOOKUP(H844,Manutention!A:E, 3, FALSE) * J844</f>
        <v>10</v>
      </c>
      <c r="L844" s="63" t="s">
        <v>165</v>
      </c>
      <c r="M844" s="63">
        <f>ROUNDUP(K844/VLOOKUP(L844,Camion!A:D, 3, FALSE),0)</f>
        <v>1</v>
      </c>
      <c r="N844" s="63">
        <f>INT(K844/VLOOKUP(L844,Camion!A:D, 3, FALSE))</f>
        <v>0</v>
      </c>
      <c r="O844" s="64">
        <f>ROUND(K844/VLOOKUP(L844,Camion!A:D, 3, FALSE) - N844,2)</f>
        <v>0.83</v>
      </c>
      <c r="P844" s="63" t="s">
        <v>129</v>
      </c>
    </row>
    <row r="845" spans="1:16" x14ac:dyDescent="0.25">
      <c r="A845" s="7">
        <v>39</v>
      </c>
      <c r="B845" s="62" t="s">
        <v>184</v>
      </c>
      <c r="C845" s="63" t="s">
        <v>1</v>
      </c>
      <c r="D845" s="63" t="s">
        <v>135</v>
      </c>
      <c r="E845" s="63" t="s">
        <v>79</v>
      </c>
      <c r="F845" s="63" t="s">
        <v>127</v>
      </c>
      <c r="G845" s="63">
        <v>4</v>
      </c>
      <c r="H845" s="63" t="s">
        <v>133</v>
      </c>
      <c r="I845" s="63">
        <f>INDEX(Matériel!A:Z, MATCH(E845, Matériel!A:A, 0), MATCH(H845, INDEX(Matériel!A:Z, MATCH(E845, Matériel!A:A, 0), 0), 0) + 1)</f>
        <v>1</v>
      </c>
      <c r="J845" s="63">
        <f t="shared" si="82"/>
        <v>4</v>
      </c>
      <c r="K845" s="63">
        <f>VLOOKUP(H845,Manutention!A:E, 3, FALSE) * J845</f>
        <v>8</v>
      </c>
      <c r="L845" s="63" t="s">
        <v>164</v>
      </c>
      <c r="M845" s="63">
        <f>ROUNDUP(K845/VLOOKUP(L845,Camion!A:D, 3, FALSE),0)</f>
        <v>1</v>
      </c>
      <c r="N845" s="63">
        <f>INT(K845/VLOOKUP(L845,Camion!A:D, 3, FALSE))</f>
        <v>0</v>
      </c>
      <c r="O845" s="64">
        <f>ROUND(K845/VLOOKUP(L845,Camion!A:D, 3, FALSE) - N845,2)</f>
        <v>0.89</v>
      </c>
      <c r="P845" s="63" t="s">
        <v>129</v>
      </c>
    </row>
    <row r="846" spans="1:16" x14ac:dyDescent="0.25">
      <c r="A846" s="7">
        <v>39</v>
      </c>
      <c r="B846" s="62" t="s">
        <v>184</v>
      </c>
      <c r="C846" s="63" t="s">
        <v>1</v>
      </c>
      <c r="D846" s="63" t="s">
        <v>128</v>
      </c>
      <c r="E846" s="63" t="s">
        <v>80</v>
      </c>
      <c r="F846" s="63" t="s">
        <v>127</v>
      </c>
      <c r="G846" s="63">
        <v>1</v>
      </c>
      <c r="H846" s="63" t="s">
        <v>133</v>
      </c>
      <c r="I846" s="63">
        <f>INDEX(Matériel!A:Z, MATCH(E846, Matériel!A:A, 0), MATCH(H846, INDEX(Matériel!A:Z, MATCH(E846, Matériel!A:A, 0), 0), 0) + 1)</f>
        <v>0.5</v>
      </c>
      <c r="J846" s="63">
        <f t="shared" si="82"/>
        <v>2</v>
      </c>
      <c r="K846" s="63">
        <f>VLOOKUP(H846,Manutention!A:E, 3, FALSE) * J846</f>
        <v>4</v>
      </c>
      <c r="L846" s="63" t="s">
        <v>164</v>
      </c>
      <c r="M846" s="63">
        <f>ROUNDUP(K846/VLOOKUP(L846,Camion!A:D, 3, FALSE),0)</f>
        <v>1</v>
      </c>
      <c r="N846" s="63">
        <f>INT(K846/VLOOKUP(L846,Camion!A:D, 3, FALSE))</f>
        <v>0</v>
      </c>
      <c r="O846" s="64">
        <f>ROUND(K846/VLOOKUP(L846,Camion!A:D, 3, FALSE) - N846,2)</f>
        <v>0.44</v>
      </c>
      <c r="P846" s="63" t="s">
        <v>130</v>
      </c>
    </row>
    <row r="847" spans="1:16" x14ac:dyDescent="0.25">
      <c r="A847" s="7">
        <v>39</v>
      </c>
      <c r="B847" s="62" t="s">
        <v>184</v>
      </c>
      <c r="C847" s="63" t="s">
        <v>1</v>
      </c>
      <c r="D847" s="63" t="s">
        <v>128</v>
      </c>
      <c r="E847" s="63" t="s">
        <v>81</v>
      </c>
      <c r="F847" s="63" t="s">
        <v>127</v>
      </c>
      <c r="G847" s="63">
        <v>5</v>
      </c>
      <c r="H847" s="63" t="s">
        <v>131</v>
      </c>
      <c r="I847" s="63">
        <f>INDEX(Matériel!A:Z, MATCH(E847, Matériel!A:A, 0), MATCH(H847, INDEX(Matériel!A:Z, MATCH(E847, Matériel!A:A, 0), 0), 0) + 1)</f>
        <v>100</v>
      </c>
      <c r="J847" s="63">
        <f t="shared" si="82"/>
        <v>1</v>
      </c>
      <c r="K847" s="63">
        <f>VLOOKUP(H847,Manutention!A:E, 3, FALSE) * J847</f>
        <v>1</v>
      </c>
      <c r="L847" s="63" t="s">
        <v>164</v>
      </c>
      <c r="M847" s="63">
        <f>ROUNDUP(K847/VLOOKUP(L847,Camion!A:D, 3, FALSE),0)</f>
        <v>1</v>
      </c>
      <c r="N847" s="63">
        <f>INT(K847/VLOOKUP(L847,Camion!A:D, 3, FALSE))</f>
        <v>0</v>
      </c>
      <c r="O847" s="64">
        <f>ROUND(K847/VLOOKUP(L847,Camion!A:D, 3, FALSE) - N847,2)</f>
        <v>0.11</v>
      </c>
      <c r="P847" s="63" t="s">
        <v>130</v>
      </c>
    </row>
    <row r="848" spans="1:16" x14ac:dyDescent="0.25">
      <c r="A848" s="7">
        <v>39</v>
      </c>
      <c r="B848" s="5" t="s">
        <v>184</v>
      </c>
      <c r="C848" s="65"/>
      <c r="D848" s="65"/>
      <c r="E848" s="65" t="s">
        <v>187</v>
      </c>
      <c r="F848" s="65"/>
      <c r="G848" s="65"/>
      <c r="H848" s="65" t="s">
        <v>131</v>
      </c>
      <c r="I848" s="65"/>
      <c r="J848" s="65"/>
      <c r="K848" s="65">
        <f>SUMIFS(K:K, A:A, 39, B:B, "Z1 Z2", P:P, "Oui", D:D, "Production")</f>
        <v>1</v>
      </c>
      <c r="L848" s="65" t="s">
        <v>164</v>
      </c>
      <c r="M848" s="65">
        <f>ROUNDUP(K848/VLOOKUP(L848,Camion!A:D, 3, FALSE),0)</f>
        <v>1</v>
      </c>
      <c r="N848" s="65">
        <f>INT(K848/VLOOKUP(L848,Camion!A:D, 3, FALSE))</f>
        <v>0</v>
      </c>
      <c r="O848" s="66">
        <f>ROUND(K848/VLOOKUP(L848,Camion!A:D, 3, FALSE) - N848,2)</f>
        <v>0.11</v>
      </c>
      <c r="P848" s="65"/>
    </row>
    <row r="849" spans="1:16" x14ac:dyDescent="0.25">
      <c r="A849" s="7">
        <v>39</v>
      </c>
      <c r="B849" s="5" t="s">
        <v>184</v>
      </c>
      <c r="C849" s="65"/>
      <c r="D849" s="65"/>
      <c r="E849" s="65" t="s">
        <v>188</v>
      </c>
      <c r="F849" s="65"/>
      <c r="G849" s="65"/>
      <c r="H849" s="65" t="s">
        <v>131</v>
      </c>
      <c r="I849" s="65"/>
      <c r="J849" s="65"/>
      <c r="K849" s="65">
        <f>SUMIFS(K:K, A:A, 39, B:B, "Z1 Z2", P:P, "Oui", D:D, "Terminaux")</f>
        <v>25</v>
      </c>
      <c r="L849" s="65" t="s">
        <v>168</v>
      </c>
      <c r="M849" s="65">
        <f>ROUNDUP(K849/VLOOKUP(L849,Camion!A:D, 3, FALSE),0)</f>
        <v>1</v>
      </c>
      <c r="N849" s="65">
        <f>INT(K849/VLOOKUP(L849,Camion!A:D, 3, FALSE))</f>
        <v>0</v>
      </c>
      <c r="O849" s="66">
        <f>ROUND(K849/VLOOKUP(L849,Camion!A:D, 3, FALSE) - N849,2)</f>
        <v>0.74</v>
      </c>
      <c r="P849" s="65"/>
    </row>
    <row r="850" spans="1:16" x14ac:dyDescent="0.25">
      <c r="A850" s="7">
        <v>39</v>
      </c>
      <c r="B850" s="62" t="s">
        <v>185</v>
      </c>
      <c r="C850" s="63" t="s">
        <v>1</v>
      </c>
      <c r="D850" s="63" t="s">
        <v>128</v>
      </c>
      <c r="E850" s="63" t="s">
        <v>71</v>
      </c>
      <c r="F850" s="63" t="s">
        <v>138</v>
      </c>
      <c r="G850" s="63">
        <v>179</v>
      </c>
      <c r="H850" s="63" t="s">
        <v>139</v>
      </c>
      <c r="I850" s="63">
        <f>INDEX(Matériel!A:Z, MATCH(E850, Matériel!A:A, 0), MATCH(H850, INDEX(Matériel!A:Z, MATCH(E850, Matériel!A:A, 0), 0), 0) + 1)</f>
        <v>150</v>
      </c>
      <c r="J850" s="63">
        <f t="shared" ref="J850:J859" si="83">ROUNDUP(G850 / I850, 0)</f>
        <v>2</v>
      </c>
      <c r="K850" s="63">
        <f>VLOOKUP(H850,Manutention!A:E, 3, FALSE) * J850</f>
        <v>6</v>
      </c>
      <c r="L850" s="63" t="s">
        <v>164</v>
      </c>
      <c r="M850" s="63">
        <f>ROUNDUP(K850/VLOOKUP(L850,Camion!A:D, 3, FALSE),0)</f>
        <v>1</v>
      </c>
      <c r="N850" s="63">
        <f>INT(K850/VLOOKUP(L850,Camion!A:D, 3, FALSE))</f>
        <v>0</v>
      </c>
      <c r="O850" s="64">
        <f>ROUND(K850/VLOOKUP(L850,Camion!A:D, 3, FALSE) - N850,2)</f>
        <v>0.67</v>
      </c>
      <c r="P850" s="63" t="s">
        <v>130</v>
      </c>
    </row>
    <row r="851" spans="1:16" x14ac:dyDescent="0.25">
      <c r="A851" s="7">
        <v>39</v>
      </c>
      <c r="B851" s="62" t="s">
        <v>185</v>
      </c>
      <c r="C851" s="63" t="s">
        <v>1</v>
      </c>
      <c r="D851" s="63" t="s">
        <v>135</v>
      </c>
      <c r="E851" s="63" t="s">
        <v>72</v>
      </c>
      <c r="F851" s="63" t="s">
        <v>138</v>
      </c>
      <c r="G851" s="63">
        <v>549</v>
      </c>
      <c r="H851" s="63" t="s">
        <v>143</v>
      </c>
      <c r="I851" s="63">
        <f>INDEX(Matériel!A:Z, MATCH(E851, Matériel!A:A, 0), MATCH(H851, INDEX(Matériel!A:Z, MATCH(E851, Matériel!A:A, 0), 0), 0) + 1)</f>
        <v>1000</v>
      </c>
      <c r="J851" s="63">
        <f t="shared" si="83"/>
        <v>1</v>
      </c>
      <c r="K851" s="63">
        <f>VLOOKUP(H851,Manutention!A:E, 3, FALSE) * J851</f>
        <v>1</v>
      </c>
      <c r="L851" s="63" t="s">
        <v>164</v>
      </c>
      <c r="M851" s="63">
        <f>ROUNDUP(K851/VLOOKUP(L851,Camion!A:D, 3, FALSE),0)</f>
        <v>1</v>
      </c>
      <c r="N851" s="63">
        <f>INT(K851/VLOOKUP(L851,Camion!A:D, 3, FALSE))</f>
        <v>0</v>
      </c>
      <c r="O851" s="64">
        <f>ROUND(K851/VLOOKUP(L851,Camion!A:D, 3, FALSE) - N851,2)</f>
        <v>0.11</v>
      </c>
      <c r="P851" s="63" t="s">
        <v>130</v>
      </c>
    </row>
    <row r="852" spans="1:16" x14ac:dyDescent="0.25">
      <c r="A852" s="7">
        <v>39</v>
      </c>
      <c r="B852" s="62" t="s">
        <v>185</v>
      </c>
      <c r="C852" s="63" t="s">
        <v>1</v>
      </c>
      <c r="D852" s="63" t="s">
        <v>128</v>
      </c>
      <c r="E852" s="63" t="s">
        <v>74</v>
      </c>
      <c r="F852" s="63" t="s">
        <v>127</v>
      </c>
      <c r="G852" s="63">
        <v>3</v>
      </c>
      <c r="H852" s="63" t="s">
        <v>131</v>
      </c>
      <c r="I852" s="63">
        <f>INDEX(Matériel!A:Z, MATCH(E852, Matériel!A:A, 0), MATCH(H852, INDEX(Matériel!A:Z, MATCH(E852, Matériel!A:A, 0), 0), 0) + 1)</f>
        <v>1</v>
      </c>
      <c r="J852" s="63">
        <f t="shared" si="83"/>
        <v>3</v>
      </c>
      <c r="K852" s="63">
        <f>VLOOKUP(H852,Manutention!A:E, 3, FALSE) * J852</f>
        <v>3</v>
      </c>
      <c r="L852" s="63" t="s">
        <v>164</v>
      </c>
      <c r="M852" s="63">
        <f>ROUNDUP(K852/VLOOKUP(L852,Camion!A:D, 3, FALSE),0)</f>
        <v>1</v>
      </c>
      <c r="N852" s="63">
        <f>INT(K852/VLOOKUP(L852,Camion!A:D, 3, FALSE))</f>
        <v>0</v>
      </c>
      <c r="O852" s="64">
        <f>ROUND(K852/VLOOKUP(L852,Camion!A:D, 3, FALSE) - N852,2)</f>
        <v>0.33</v>
      </c>
      <c r="P852" s="63" t="s">
        <v>129</v>
      </c>
    </row>
    <row r="853" spans="1:16" x14ac:dyDescent="0.25">
      <c r="A853" s="7">
        <v>39</v>
      </c>
      <c r="B853" s="62" t="s">
        <v>185</v>
      </c>
      <c r="C853" s="63" t="s">
        <v>1</v>
      </c>
      <c r="D853" s="63" t="s">
        <v>135</v>
      </c>
      <c r="E853" s="63" t="s">
        <v>75</v>
      </c>
      <c r="F853" s="63" t="s">
        <v>127</v>
      </c>
      <c r="G853" s="63">
        <v>28</v>
      </c>
      <c r="H853" s="63" t="s">
        <v>136</v>
      </c>
      <c r="I853" s="63">
        <f>INDEX(Matériel!A:Z, MATCH(E853, Matériel!A:A, 0), MATCH(H853, INDEX(Matériel!A:Z, MATCH(E853, Matériel!A:A, 0), 0), 0) + 1)</f>
        <v>60</v>
      </c>
      <c r="J853" s="63">
        <f t="shared" si="83"/>
        <v>1</v>
      </c>
      <c r="K853" s="63">
        <f>VLOOKUP(H853,Manutention!A:E, 3, FALSE) * J853</f>
        <v>1</v>
      </c>
      <c r="L853" s="63" t="s">
        <v>164</v>
      </c>
      <c r="M853" s="63">
        <f>ROUNDUP(K853/VLOOKUP(L853,Camion!A:D, 3, FALSE),0)</f>
        <v>1</v>
      </c>
      <c r="N853" s="63">
        <f>INT(K853/VLOOKUP(L853,Camion!A:D, 3, FALSE))</f>
        <v>0</v>
      </c>
      <c r="O853" s="64">
        <f>ROUND(K853/VLOOKUP(L853,Camion!A:D, 3, FALSE) - N853,2)</f>
        <v>0.11</v>
      </c>
      <c r="P853" s="63" t="s">
        <v>129</v>
      </c>
    </row>
    <row r="854" spans="1:16" x14ac:dyDescent="0.25">
      <c r="A854" s="7">
        <v>39</v>
      </c>
      <c r="B854" s="62" t="s">
        <v>185</v>
      </c>
      <c r="C854" s="63" t="s">
        <v>1</v>
      </c>
      <c r="D854" s="63" t="s">
        <v>128</v>
      </c>
      <c r="E854" s="63" t="s">
        <v>76</v>
      </c>
      <c r="F854" s="63" t="s">
        <v>127</v>
      </c>
      <c r="G854" s="63">
        <v>14</v>
      </c>
      <c r="H854" s="63" t="s">
        <v>131</v>
      </c>
      <c r="I854" s="63">
        <f>INDEX(Matériel!A:Z, MATCH(E854, Matériel!A:A, 0), MATCH(H854, INDEX(Matériel!A:Z, MATCH(E854, Matériel!A:A, 0), 0), 0) + 1)</f>
        <v>100</v>
      </c>
      <c r="J854" s="63">
        <f t="shared" si="83"/>
        <v>1</v>
      </c>
      <c r="K854" s="63">
        <f>VLOOKUP(H854,Manutention!A:E, 3, FALSE) * J854</f>
        <v>1</v>
      </c>
      <c r="L854" s="63" t="s">
        <v>164</v>
      </c>
      <c r="M854" s="63">
        <f>ROUNDUP(K854/VLOOKUP(L854,Camion!A:D, 3, FALSE),0)</f>
        <v>1</v>
      </c>
      <c r="N854" s="63">
        <f>INT(K854/VLOOKUP(L854,Camion!A:D, 3, FALSE))</f>
        <v>0</v>
      </c>
      <c r="O854" s="64">
        <f>ROUND(K854/VLOOKUP(L854,Camion!A:D, 3, FALSE) - N854,2)</f>
        <v>0.11</v>
      </c>
      <c r="P854" s="63" t="s">
        <v>129</v>
      </c>
    </row>
    <row r="855" spans="1:16" x14ac:dyDescent="0.25">
      <c r="A855" s="7">
        <v>39</v>
      </c>
      <c r="B855" s="62" t="s">
        <v>185</v>
      </c>
      <c r="C855" s="63" t="s">
        <v>1</v>
      </c>
      <c r="D855" s="63" t="s">
        <v>135</v>
      </c>
      <c r="E855" s="63" t="s">
        <v>77</v>
      </c>
      <c r="F855" s="63" t="s">
        <v>127</v>
      </c>
      <c r="G855" s="63">
        <v>117</v>
      </c>
      <c r="H855" s="63" t="s">
        <v>131</v>
      </c>
      <c r="I855" s="63">
        <f>INDEX(Matériel!A:Z, MATCH(E855, Matériel!A:A, 0), MATCH(H855, INDEX(Matériel!A:Z, MATCH(E855, Matériel!A:A, 0), 0), 0) + 1)</f>
        <v>20</v>
      </c>
      <c r="J855" s="63">
        <f t="shared" si="83"/>
        <v>6</v>
      </c>
      <c r="K855" s="63">
        <f>VLOOKUP(H855,Manutention!A:E, 3, FALSE) * J855</f>
        <v>6</v>
      </c>
      <c r="L855" s="63" t="s">
        <v>164</v>
      </c>
      <c r="M855" s="63">
        <f>ROUNDUP(K855/VLOOKUP(L855,Camion!A:D, 3, FALSE),0)</f>
        <v>1</v>
      </c>
      <c r="N855" s="63">
        <f>INT(K855/VLOOKUP(L855,Camion!A:D, 3, FALSE))</f>
        <v>0</v>
      </c>
      <c r="O855" s="64">
        <f>ROUND(K855/VLOOKUP(L855,Camion!A:D, 3, FALSE) - N855,2)</f>
        <v>0.67</v>
      </c>
      <c r="P855" s="63" t="s">
        <v>129</v>
      </c>
    </row>
    <row r="856" spans="1:16" x14ac:dyDescent="0.25">
      <c r="A856" s="7">
        <v>39</v>
      </c>
      <c r="B856" s="62" t="s">
        <v>185</v>
      </c>
      <c r="C856" s="63" t="s">
        <v>1</v>
      </c>
      <c r="D856" s="63" t="s">
        <v>135</v>
      </c>
      <c r="E856" s="63" t="s">
        <v>78</v>
      </c>
      <c r="F856" s="63" t="s">
        <v>127</v>
      </c>
      <c r="G856" s="63">
        <v>5</v>
      </c>
      <c r="H856" s="63" t="s">
        <v>133</v>
      </c>
      <c r="I856" s="63">
        <f>INDEX(Matériel!A:Z, MATCH(E856, Matériel!A:A, 0), MATCH(H856, INDEX(Matériel!A:Z, MATCH(E856, Matériel!A:A, 0), 0), 0) + 1)</f>
        <v>1</v>
      </c>
      <c r="J856" s="63">
        <f t="shared" si="83"/>
        <v>5</v>
      </c>
      <c r="K856" s="63">
        <f>VLOOKUP(H856,Manutention!A:E, 3, FALSE) * J856</f>
        <v>10</v>
      </c>
      <c r="L856" s="63" t="s">
        <v>165</v>
      </c>
      <c r="M856" s="63">
        <f>ROUNDUP(K856/VLOOKUP(L856,Camion!A:D, 3, FALSE),0)</f>
        <v>1</v>
      </c>
      <c r="N856" s="63">
        <f>INT(K856/VLOOKUP(L856,Camion!A:D, 3, FALSE))</f>
        <v>0</v>
      </c>
      <c r="O856" s="64">
        <f>ROUND(K856/VLOOKUP(L856,Camion!A:D, 3, FALSE) - N856,2)</f>
        <v>0.83</v>
      </c>
      <c r="P856" s="63" t="s">
        <v>129</v>
      </c>
    </row>
    <row r="857" spans="1:16" x14ac:dyDescent="0.25">
      <c r="A857" s="7">
        <v>39</v>
      </c>
      <c r="B857" s="62" t="s">
        <v>185</v>
      </c>
      <c r="C857" s="63" t="s">
        <v>1</v>
      </c>
      <c r="D857" s="63" t="s">
        <v>135</v>
      </c>
      <c r="E857" s="63" t="s">
        <v>79</v>
      </c>
      <c r="F857" s="63" t="s">
        <v>127</v>
      </c>
      <c r="G857" s="63">
        <v>4</v>
      </c>
      <c r="H857" s="63" t="s">
        <v>133</v>
      </c>
      <c r="I857" s="63">
        <f>INDEX(Matériel!A:Z, MATCH(E857, Matériel!A:A, 0), MATCH(H857, INDEX(Matériel!A:Z, MATCH(E857, Matériel!A:A, 0), 0), 0) + 1)</f>
        <v>1</v>
      </c>
      <c r="J857" s="63">
        <f t="shared" si="83"/>
        <v>4</v>
      </c>
      <c r="K857" s="63">
        <f>VLOOKUP(H857,Manutention!A:E, 3, FALSE) * J857</f>
        <v>8</v>
      </c>
      <c r="L857" s="63" t="s">
        <v>164</v>
      </c>
      <c r="M857" s="63">
        <f>ROUNDUP(K857/VLOOKUP(L857,Camion!A:D, 3, FALSE),0)</f>
        <v>1</v>
      </c>
      <c r="N857" s="63">
        <f>INT(K857/VLOOKUP(L857,Camion!A:D, 3, FALSE))</f>
        <v>0</v>
      </c>
      <c r="O857" s="64">
        <f>ROUND(K857/VLOOKUP(L857,Camion!A:D, 3, FALSE) - N857,2)</f>
        <v>0.89</v>
      </c>
      <c r="P857" s="63" t="s">
        <v>129</v>
      </c>
    </row>
    <row r="858" spans="1:16" x14ac:dyDescent="0.25">
      <c r="A858" s="7">
        <v>39</v>
      </c>
      <c r="B858" s="62" t="s">
        <v>185</v>
      </c>
      <c r="C858" s="63" t="s">
        <v>1</v>
      </c>
      <c r="D858" s="63" t="s">
        <v>128</v>
      </c>
      <c r="E858" s="63" t="s">
        <v>80</v>
      </c>
      <c r="F858" s="63" t="s">
        <v>127</v>
      </c>
      <c r="G858" s="63">
        <v>1</v>
      </c>
      <c r="H858" s="63" t="s">
        <v>133</v>
      </c>
      <c r="I858" s="63">
        <f>INDEX(Matériel!A:Z, MATCH(E858, Matériel!A:A, 0), MATCH(H858, INDEX(Matériel!A:Z, MATCH(E858, Matériel!A:A, 0), 0), 0) + 1)</f>
        <v>0.5</v>
      </c>
      <c r="J858" s="63">
        <f t="shared" si="83"/>
        <v>2</v>
      </c>
      <c r="K858" s="63">
        <f>VLOOKUP(H858,Manutention!A:E, 3, FALSE) * J858</f>
        <v>4</v>
      </c>
      <c r="L858" s="63" t="s">
        <v>164</v>
      </c>
      <c r="M858" s="63">
        <f>ROUNDUP(K858/VLOOKUP(L858,Camion!A:D, 3, FALSE),0)</f>
        <v>1</v>
      </c>
      <c r="N858" s="63">
        <f>INT(K858/VLOOKUP(L858,Camion!A:D, 3, FALSE))</f>
        <v>0</v>
      </c>
      <c r="O858" s="64">
        <f>ROUND(K858/VLOOKUP(L858,Camion!A:D, 3, FALSE) - N858,2)</f>
        <v>0.44</v>
      </c>
      <c r="P858" s="63" t="s">
        <v>130</v>
      </c>
    </row>
    <row r="859" spans="1:16" x14ac:dyDescent="0.25">
      <c r="A859" s="7">
        <v>39</v>
      </c>
      <c r="B859" s="62" t="s">
        <v>185</v>
      </c>
      <c r="C859" s="63" t="s">
        <v>1</v>
      </c>
      <c r="D859" s="63" t="s">
        <v>128</v>
      </c>
      <c r="E859" s="63" t="s">
        <v>81</v>
      </c>
      <c r="F859" s="63" t="s">
        <v>127</v>
      </c>
      <c r="G859" s="63">
        <v>5</v>
      </c>
      <c r="H859" s="63" t="s">
        <v>131</v>
      </c>
      <c r="I859" s="63">
        <f>INDEX(Matériel!A:Z, MATCH(E859, Matériel!A:A, 0), MATCH(H859, INDEX(Matériel!A:Z, MATCH(E859, Matériel!A:A, 0), 0), 0) + 1)</f>
        <v>100</v>
      </c>
      <c r="J859" s="63">
        <f t="shared" si="83"/>
        <v>1</v>
      </c>
      <c r="K859" s="63">
        <f>VLOOKUP(H859,Manutention!A:E, 3, FALSE) * J859</f>
        <v>1</v>
      </c>
      <c r="L859" s="63" t="s">
        <v>164</v>
      </c>
      <c r="M859" s="63">
        <f>ROUNDUP(K859/VLOOKUP(L859,Camion!A:D, 3, FALSE),0)</f>
        <v>1</v>
      </c>
      <c r="N859" s="63">
        <f>INT(K859/VLOOKUP(L859,Camion!A:D, 3, FALSE))</f>
        <v>0</v>
      </c>
      <c r="O859" s="64">
        <f>ROUND(K859/VLOOKUP(L859,Camion!A:D, 3, FALSE) - N859,2)</f>
        <v>0.11</v>
      </c>
      <c r="P859" s="63" t="s">
        <v>130</v>
      </c>
    </row>
    <row r="860" spans="1:16" x14ac:dyDescent="0.25">
      <c r="A860" s="7">
        <v>39</v>
      </c>
      <c r="B860" s="5" t="s">
        <v>185</v>
      </c>
      <c r="C860" s="65"/>
      <c r="D860" s="65"/>
      <c r="E860" s="65" t="s">
        <v>187</v>
      </c>
      <c r="F860" s="65"/>
      <c r="G860" s="65"/>
      <c r="H860" s="65" t="s">
        <v>131</v>
      </c>
      <c r="I860" s="65"/>
      <c r="J860" s="65"/>
      <c r="K860" s="65">
        <f>SUMIFS(K:K, A:A, 39, B:B, "Z3 Z4", P:P, "Oui", D:D, "Production")</f>
        <v>4</v>
      </c>
      <c r="L860" s="65" t="s">
        <v>164</v>
      </c>
      <c r="M860" s="65">
        <f>ROUNDUP(K860/VLOOKUP(L860,Camion!A:D, 3, FALSE),0)</f>
        <v>1</v>
      </c>
      <c r="N860" s="65">
        <f>INT(K860/VLOOKUP(L860,Camion!A:D, 3, FALSE))</f>
        <v>0</v>
      </c>
      <c r="O860" s="66">
        <f>ROUND(K860/VLOOKUP(L860,Camion!A:D, 3, FALSE) - N860,2)</f>
        <v>0.44</v>
      </c>
      <c r="P860" s="65"/>
    </row>
    <row r="861" spans="1:16" x14ac:dyDescent="0.25">
      <c r="A861" s="7">
        <v>39</v>
      </c>
      <c r="B861" s="5" t="s">
        <v>185</v>
      </c>
      <c r="C861" s="65"/>
      <c r="D861" s="65"/>
      <c r="E861" s="65" t="s">
        <v>188</v>
      </c>
      <c r="F861" s="65"/>
      <c r="G861" s="65"/>
      <c r="H861" s="65" t="s">
        <v>131</v>
      </c>
      <c r="I861" s="65"/>
      <c r="J861" s="65"/>
      <c r="K861" s="65">
        <f>SUMIFS(K:K, A:A, 39, B:B, "Z3 Z4", P:P, "Oui", D:D, "Terminaux")</f>
        <v>25</v>
      </c>
      <c r="L861" s="65" t="s">
        <v>168</v>
      </c>
      <c r="M861" s="65">
        <f>ROUNDUP(K861/VLOOKUP(L861,Camion!A:D, 3, FALSE),0)</f>
        <v>1</v>
      </c>
      <c r="N861" s="65">
        <f>INT(K861/VLOOKUP(L861,Camion!A:D, 3, FALSE))</f>
        <v>0</v>
      </c>
      <c r="O861" s="66">
        <f>ROUND(K861/VLOOKUP(L861,Camion!A:D, 3, FALSE) - N861,2)</f>
        <v>0.74</v>
      </c>
      <c r="P861" s="65"/>
    </row>
    <row r="862" spans="1:16" x14ac:dyDescent="0.25">
      <c r="A862" s="7">
        <v>40</v>
      </c>
      <c r="B862" s="62" t="s">
        <v>184</v>
      </c>
      <c r="C862" s="63" t="s">
        <v>1</v>
      </c>
      <c r="D862" s="63" t="s">
        <v>128</v>
      </c>
      <c r="E862" s="63" t="s">
        <v>71</v>
      </c>
      <c r="F862" s="63" t="s">
        <v>138</v>
      </c>
      <c r="G862" s="63">
        <v>177</v>
      </c>
      <c r="H862" s="63" t="s">
        <v>139</v>
      </c>
      <c r="I862" s="63">
        <f>INDEX(Matériel!A:Z, MATCH(E862, Matériel!A:A, 0), MATCH(H862, INDEX(Matériel!A:Z, MATCH(E862, Matériel!A:A, 0), 0), 0) + 1)</f>
        <v>150</v>
      </c>
      <c r="J862" s="63">
        <f t="shared" ref="J862:J872" si="84">ROUNDUP(G862 / I862, 0)</f>
        <v>2</v>
      </c>
      <c r="K862" s="63">
        <f>VLOOKUP(H862,Manutention!A:E, 3, FALSE) * J862</f>
        <v>6</v>
      </c>
      <c r="L862" s="63" t="s">
        <v>164</v>
      </c>
      <c r="M862" s="63">
        <f>ROUNDUP(K862/VLOOKUP(L862,Camion!A:D, 3, FALSE),0)</f>
        <v>1</v>
      </c>
      <c r="N862" s="63">
        <f>INT(K862/VLOOKUP(L862,Camion!A:D, 3, FALSE))</f>
        <v>0</v>
      </c>
      <c r="O862" s="64">
        <f>ROUND(K862/VLOOKUP(L862,Camion!A:D, 3, FALSE) - N862,2)</f>
        <v>0.67</v>
      </c>
      <c r="P862" s="63" t="s">
        <v>130</v>
      </c>
    </row>
    <row r="863" spans="1:16" x14ac:dyDescent="0.25">
      <c r="A863" s="7">
        <v>40</v>
      </c>
      <c r="B863" s="62" t="s">
        <v>184</v>
      </c>
      <c r="C863" s="63" t="s">
        <v>1</v>
      </c>
      <c r="D863" s="63" t="s">
        <v>135</v>
      </c>
      <c r="E863" s="63" t="s">
        <v>72</v>
      </c>
      <c r="F863" s="63" t="s">
        <v>138</v>
      </c>
      <c r="G863" s="63">
        <v>541</v>
      </c>
      <c r="H863" s="63" t="s">
        <v>143</v>
      </c>
      <c r="I863" s="63">
        <f>INDEX(Matériel!A:Z, MATCH(E863, Matériel!A:A, 0), MATCH(H863, INDEX(Matériel!A:Z, MATCH(E863, Matériel!A:A, 0), 0), 0) + 1)</f>
        <v>1000</v>
      </c>
      <c r="J863" s="63">
        <f t="shared" si="84"/>
        <v>1</v>
      </c>
      <c r="K863" s="63">
        <f>VLOOKUP(H863,Manutention!A:E, 3, FALSE) * J863</f>
        <v>1</v>
      </c>
      <c r="L863" s="63" t="s">
        <v>164</v>
      </c>
      <c r="M863" s="63">
        <f>ROUNDUP(K863/VLOOKUP(L863,Camion!A:D, 3, FALSE),0)</f>
        <v>1</v>
      </c>
      <c r="N863" s="63">
        <f>INT(K863/VLOOKUP(L863,Camion!A:D, 3, FALSE))</f>
        <v>0</v>
      </c>
      <c r="O863" s="64">
        <f>ROUND(K863/VLOOKUP(L863,Camion!A:D, 3, FALSE) - N863,2)</f>
        <v>0.11</v>
      </c>
      <c r="P863" s="63" t="s">
        <v>130</v>
      </c>
    </row>
    <row r="864" spans="1:16" x14ac:dyDescent="0.25">
      <c r="A864" s="7">
        <v>40</v>
      </c>
      <c r="B864" s="62" t="s">
        <v>184</v>
      </c>
      <c r="C864" s="63" t="s">
        <v>1</v>
      </c>
      <c r="D864" s="63" t="s">
        <v>128</v>
      </c>
      <c r="E864" s="63" t="s">
        <v>73</v>
      </c>
      <c r="F864" s="63" t="s">
        <v>127</v>
      </c>
      <c r="G864" s="63">
        <v>1</v>
      </c>
      <c r="H864" s="63" t="s">
        <v>133</v>
      </c>
      <c r="I864" s="63">
        <f>INDEX(Matériel!A:Z, MATCH(E864, Matériel!A:A, 0), MATCH(H864, INDEX(Matériel!A:Z, MATCH(E864, Matériel!A:A, 0), 0), 0) + 1)</f>
        <v>0.5</v>
      </c>
      <c r="J864" s="63">
        <f t="shared" si="84"/>
        <v>2</v>
      </c>
      <c r="K864" s="63">
        <f>VLOOKUP(H864,Manutention!A:E, 3, FALSE) * J864</f>
        <v>4</v>
      </c>
      <c r="L864" s="63" t="s">
        <v>164</v>
      </c>
      <c r="M864" s="63">
        <f>ROUNDUP(K864/VLOOKUP(L864,Camion!A:D, 3, FALSE),0)</f>
        <v>1</v>
      </c>
      <c r="N864" s="63">
        <f>INT(K864/VLOOKUP(L864,Camion!A:D, 3, FALSE))</f>
        <v>0</v>
      </c>
      <c r="O864" s="64">
        <f>ROUND(K864/VLOOKUP(L864,Camion!A:D, 3, FALSE) - N864,2)</f>
        <v>0.44</v>
      </c>
      <c r="P864" s="63" t="s">
        <v>130</v>
      </c>
    </row>
    <row r="865" spans="1:16" x14ac:dyDescent="0.25">
      <c r="A865" s="7">
        <v>40</v>
      </c>
      <c r="B865" s="62" t="s">
        <v>184</v>
      </c>
      <c r="C865" s="63" t="s">
        <v>1</v>
      </c>
      <c r="D865" s="63" t="s">
        <v>128</v>
      </c>
      <c r="E865" s="63" t="s">
        <v>74</v>
      </c>
      <c r="F865" s="63" t="s">
        <v>127</v>
      </c>
      <c r="G865" s="63">
        <v>3</v>
      </c>
      <c r="H865" s="63" t="s">
        <v>131</v>
      </c>
      <c r="I865" s="63">
        <f>INDEX(Matériel!A:Z, MATCH(E865, Matériel!A:A, 0), MATCH(H865, INDEX(Matériel!A:Z, MATCH(E865, Matériel!A:A, 0), 0), 0) + 1)</f>
        <v>1</v>
      </c>
      <c r="J865" s="63">
        <f t="shared" si="84"/>
        <v>3</v>
      </c>
      <c r="K865" s="63">
        <f>VLOOKUP(H865,Manutention!A:E, 3, FALSE) * J865</f>
        <v>3</v>
      </c>
      <c r="L865" s="63" t="s">
        <v>164</v>
      </c>
      <c r="M865" s="63">
        <f>ROUNDUP(K865/VLOOKUP(L865,Camion!A:D, 3, FALSE),0)</f>
        <v>1</v>
      </c>
      <c r="N865" s="63">
        <f>INT(K865/VLOOKUP(L865,Camion!A:D, 3, FALSE))</f>
        <v>0</v>
      </c>
      <c r="O865" s="64">
        <f>ROUND(K865/VLOOKUP(L865,Camion!A:D, 3, FALSE) - N865,2)</f>
        <v>0.33</v>
      </c>
      <c r="P865" s="63" t="s">
        <v>129</v>
      </c>
    </row>
    <row r="866" spans="1:16" x14ac:dyDescent="0.25">
      <c r="A866" s="7">
        <v>40</v>
      </c>
      <c r="B866" s="62" t="s">
        <v>184</v>
      </c>
      <c r="C866" s="63" t="s">
        <v>1</v>
      </c>
      <c r="D866" s="63" t="s">
        <v>135</v>
      </c>
      <c r="E866" s="63" t="s">
        <v>75</v>
      </c>
      <c r="F866" s="63" t="s">
        <v>127</v>
      </c>
      <c r="G866" s="63">
        <v>27</v>
      </c>
      <c r="H866" s="63" t="s">
        <v>136</v>
      </c>
      <c r="I866" s="63">
        <f>INDEX(Matériel!A:Z, MATCH(E866, Matériel!A:A, 0), MATCH(H866, INDEX(Matériel!A:Z, MATCH(E866, Matériel!A:A, 0), 0), 0) + 1)</f>
        <v>60</v>
      </c>
      <c r="J866" s="63">
        <f t="shared" si="84"/>
        <v>1</v>
      </c>
      <c r="K866" s="63">
        <f>VLOOKUP(H866,Manutention!A:E, 3, FALSE) * J866</f>
        <v>1</v>
      </c>
      <c r="L866" s="63" t="s">
        <v>164</v>
      </c>
      <c r="M866" s="63">
        <f>ROUNDUP(K866/VLOOKUP(L866,Camion!A:D, 3, FALSE),0)</f>
        <v>1</v>
      </c>
      <c r="N866" s="63">
        <f>INT(K866/VLOOKUP(L866,Camion!A:D, 3, FALSE))</f>
        <v>0</v>
      </c>
      <c r="O866" s="64">
        <f>ROUND(K866/VLOOKUP(L866,Camion!A:D, 3, FALSE) - N866,2)</f>
        <v>0.11</v>
      </c>
      <c r="P866" s="63" t="s">
        <v>129</v>
      </c>
    </row>
    <row r="867" spans="1:16" x14ac:dyDescent="0.25">
      <c r="A867" s="7">
        <v>40</v>
      </c>
      <c r="B867" s="62" t="s">
        <v>184</v>
      </c>
      <c r="C867" s="63" t="s">
        <v>1</v>
      </c>
      <c r="D867" s="63" t="s">
        <v>128</v>
      </c>
      <c r="E867" s="63" t="s">
        <v>76</v>
      </c>
      <c r="F867" s="63" t="s">
        <v>127</v>
      </c>
      <c r="G867" s="63">
        <v>13</v>
      </c>
      <c r="H867" s="63" t="s">
        <v>131</v>
      </c>
      <c r="I867" s="63">
        <f>INDEX(Matériel!A:Z, MATCH(E867, Matériel!A:A, 0), MATCH(H867, INDEX(Matériel!A:Z, MATCH(E867, Matériel!A:A, 0), 0), 0) + 1)</f>
        <v>100</v>
      </c>
      <c r="J867" s="63">
        <f t="shared" si="84"/>
        <v>1</v>
      </c>
      <c r="K867" s="63">
        <f>VLOOKUP(H867,Manutention!A:E, 3, FALSE) * J867</f>
        <v>1</v>
      </c>
      <c r="L867" s="63" t="s">
        <v>164</v>
      </c>
      <c r="M867" s="63">
        <f>ROUNDUP(K867/VLOOKUP(L867,Camion!A:D, 3, FALSE),0)</f>
        <v>1</v>
      </c>
      <c r="N867" s="63">
        <f>INT(K867/VLOOKUP(L867,Camion!A:D, 3, FALSE))</f>
        <v>0</v>
      </c>
      <c r="O867" s="64">
        <f>ROUND(K867/VLOOKUP(L867,Camion!A:D, 3, FALSE) - N867,2)</f>
        <v>0.11</v>
      </c>
      <c r="P867" s="63" t="s">
        <v>129</v>
      </c>
    </row>
    <row r="868" spans="1:16" x14ac:dyDescent="0.25">
      <c r="A868" s="7">
        <v>40</v>
      </c>
      <c r="B868" s="62" t="s">
        <v>184</v>
      </c>
      <c r="C868" s="63" t="s">
        <v>1</v>
      </c>
      <c r="D868" s="63" t="s">
        <v>135</v>
      </c>
      <c r="E868" s="63" t="s">
        <v>77</v>
      </c>
      <c r="F868" s="63" t="s">
        <v>127</v>
      </c>
      <c r="G868" s="63">
        <v>115</v>
      </c>
      <c r="H868" s="63" t="s">
        <v>131</v>
      </c>
      <c r="I868" s="63">
        <f>INDEX(Matériel!A:Z, MATCH(E868, Matériel!A:A, 0), MATCH(H868, INDEX(Matériel!A:Z, MATCH(E868, Matériel!A:A, 0), 0), 0) + 1)</f>
        <v>20</v>
      </c>
      <c r="J868" s="63">
        <f t="shared" si="84"/>
        <v>6</v>
      </c>
      <c r="K868" s="63">
        <f>VLOOKUP(H868,Manutention!A:E, 3, FALSE) * J868</f>
        <v>6</v>
      </c>
      <c r="L868" s="63" t="s">
        <v>164</v>
      </c>
      <c r="M868" s="63">
        <f>ROUNDUP(K868/VLOOKUP(L868,Camion!A:D, 3, FALSE),0)</f>
        <v>1</v>
      </c>
      <c r="N868" s="63">
        <f>INT(K868/VLOOKUP(L868,Camion!A:D, 3, FALSE))</f>
        <v>0</v>
      </c>
      <c r="O868" s="64">
        <f>ROUND(K868/VLOOKUP(L868,Camion!A:D, 3, FALSE) - N868,2)</f>
        <v>0.67</v>
      </c>
      <c r="P868" s="63" t="s">
        <v>129</v>
      </c>
    </row>
    <row r="869" spans="1:16" x14ac:dyDescent="0.25">
      <c r="A869" s="7">
        <v>40</v>
      </c>
      <c r="B869" s="62" t="s">
        <v>184</v>
      </c>
      <c r="C869" s="63" t="s">
        <v>1</v>
      </c>
      <c r="D869" s="63" t="s">
        <v>135</v>
      </c>
      <c r="E869" s="63" t="s">
        <v>78</v>
      </c>
      <c r="F869" s="63" t="s">
        <v>127</v>
      </c>
      <c r="G869" s="63">
        <v>5</v>
      </c>
      <c r="H869" s="63" t="s">
        <v>133</v>
      </c>
      <c r="I869" s="63">
        <f>INDEX(Matériel!A:Z, MATCH(E869, Matériel!A:A, 0), MATCH(H869, INDEX(Matériel!A:Z, MATCH(E869, Matériel!A:A, 0), 0), 0) + 1)</f>
        <v>1</v>
      </c>
      <c r="J869" s="63">
        <f t="shared" si="84"/>
        <v>5</v>
      </c>
      <c r="K869" s="63">
        <f>VLOOKUP(H869,Manutention!A:E, 3, FALSE) * J869</f>
        <v>10</v>
      </c>
      <c r="L869" s="63" t="s">
        <v>165</v>
      </c>
      <c r="M869" s="63">
        <f>ROUNDUP(K869/VLOOKUP(L869,Camion!A:D, 3, FALSE),0)</f>
        <v>1</v>
      </c>
      <c r="N869" s="63">
        <f>INT(K869/VLOOKUP(L869,Camion!A:D, 3, FALSE))</f>
        <v>0</v>
      </c>
      <c r="O869" s="64">
        <f>ROUND(K869/VLOOKUP(L869,Camion!A:D, 3, FALSE) - N869,2)</f>
        <v>0.83</v>
      </c>
      <c r="P869" s="63" t="s">
        <v>129</v>
      </c>
    </row>
    <row r="870" spans="1:16" x14ac:dyDescent="0.25">
      <c r="A870" s="7">
        <v>40</v>
      </c>
      <c r="B870" s="62" t="s">
        <v>184</v>
      </c>
      <c r="C870" s="63" t="s">
        <v>1</v>
      </c>
      <c r="D870" s="63" t="s">
        <v>135</v>
      </c>
      <c r="E870" s="63" t="s">
        <v>79</v>
      </c>
      <c r="F870" s="63" t="s">
        <v>127</v>
      </c>
      <c r="G870" s="63">
        <v>4</v>
      </c>
      <c r="H870" s="63" t="s">
        <v>133</v>
      </c>
      <c r="I870" s="63">
        <f>INDEX(Matériel!A:Z, MATCH(E870, Matériel!A:A, 0), MATCH(H870, INDEX(Matériel!A:Z, MATCH(E870, Matériel!A:A, 0), 0), 0) + 1)</f>
        <v>1</v>
      </c>
      <c r="J870" s="63">
        <f t="shared" si="84"/>
        <v>4</v>
      </c>
      <c r="K870" s="63">
        <f>VLOOKUP(H870,Manutention!A:E, 3, FALSE) * J870</f>
        <v>8</v>
      </c>
      <c r="L870" s="63" t="s">
        <v>164</v>
      </c>
      <c r="M870" s="63">
        <f>ROUNDUP(K870/VLOOKUP(L870,Camion!A:D, 3, FALSE),0)</f>
        <v>1</v>
      </c>
      <c r="N870" s="63">
        <f>INT(K870/VLOOKUP(L870,Camion!A:D, 3, FALSE))</f>
        <v>0</v>
      </c>
      <c r="O870" s="64">
        <f>ROUND(K870/VLOOKUP(L870,Camion!A:D, 3, FALSE) - N870,2)</f>
        <v>0.89</v>
      </c>
      <c r="P870" s="63" t="s">
        <v>129</v>
      </c>
    </row>
    <row r="871" spans="1:16" x14ac:dyDescent="0.25">
      <c r="A871" s="7">
        <v>40</v>
      </c>
      <c r="B871" s="62" t="s">
        <v>184</v>
      </c>
      <c r="C871" s="63" t="s">
        <v>1</v>
      </c>
      <c r="D871" s="63" t="s">
        <v>128</v>
      </c>
      <c r="E871" s="63" t="s">
        <v>80</v>
      </c>
      <c r="F871" s="63" t="s">
        <v>127</v>
      </c>
      <c r="G871" s="63">
        <v>1</v>
      </c>
      <c r="H871" s="63" t="s">
        <v>133</v>
      </c>
      <c r="I871" s="63">
        <f>INDEX(Matériel!A:Z, MATCH(E871, Matériel!A:A, 0), MATCH(H871, INDEX(Matériel!A:Z, MATCH(E871, Matériel!A:A, 0), 0), 0) + 1)</f>
        <v>0.5</v>
      </c>
      <c r="J871" s="63">
        <f t="shared" si="84"/>
        <v>2</v>
      </c>
      <c r="K871" s="63">
        <f>VLOOKUP(H871,Manutention!A:E, 3, FALSE) * J871</f>
        <v>4</v>
      </c>
      <c r="L871" s="63" t="s">
        <v>164</v>
      </c>
      <c r="M871" s="63">
        <f>ROUNDUP(K871/VLOOKUP(L871,Camion!A:D, 3, FALSE),0)</f>
        <v>1</v>
      </c>
      <c r="N871" s="63">
        <f>INT(K871/VLOOKUP(L871,Camion!A:D, 3, FALSE))</f>
        <v>0</v>
      </c>
      <c r="O871" s="64">
        <f>ROUND(K871/VLOOKUP(L871,Camion!A:D, 3, FALSE) - N871,2)</f>
        <v>0.44</v>
      </c>
      <c r="P871" s="63" t="s">
        <v>130</v>
      </c>
    </row>
    <row r="872" spans="1:16" x14ac:dyDescent="0.25">
      <c r="A872" s="7">
        <v>40</v>
      </c>
      <c r="B872" s="62" t="s">
        <v>184</v>
      </c>
      <c r="C872" s="63" t="s">
        <v>1</v>
      </c>
      <c r="D872" s="63" t="s">
        <v>128</v>
      </c>
      <c r="E872" s="63" t="s">
        <v>81</v>
      </c>
      <c r="F872" s="63" t="s">
        <v>127</v>
      </c>
      <c r="G872" s="63">
        <v>5</v>
      </c>
      <c r="H872" s="63" t="s">
        <v>131</v>
      </c>
      <c r="I872" s="63">
        <f>INDEX(Matériel!A:Z, MATCH(E872, Matériel!A:A, 0), MATCH(H872, INDEX(Matériel!A:Z, MATCH(E872, Matériel!A:A, 0), 0), 0) + 1)</f>
        <v>100</v>
      </c>
      <c r="J872" s="63">
        <f t="shared" si="84"/>
        <v>1</v>
      </c>
      <c r="K872" s="63">
        <f>VLOOKUP(H872,Manutention!A:E, 3, FALSE) * J872</f>
        <v>1</v>
      </c>
      <c r="L872" s="63" t="s">
        <v>164</v>
      </c>
      <c r="M872" s="63">
        <f>ROUNDUP(K872/VLOOKUP(L872,Camion!A:D, 3, FALSE),0)</f>
        <v>1</v>
      </c>
      <c r="N872" s="63">
        <f>INT(K872/VLOOKUP(L872,Camion!A:D, 3, FALSE))</f>
        <v>0</v>
      </c>
      <c r="O872" s="64">
        <f>ROUND(K872/VLOOKUP(L872,Camion!A:D, 3, FALSE) - N872,2)</f>
        <v>0.11</v>
      </c>
      <c r="P872" s="63" t="s">
        <v>130</v>
      </c>
    </row>
    <row r="873" spans="1:16" x14ac:dyDescent="0.25">
      <c r="A873" s="7">
        <v>40</v>
      </c>
      <c r="B873" s="5" t="s">
        <v>184</v>
      </c>
      <c r="C873" s="65"/>
      <c r="D873" s="65"/>
      <c r="E873" s="65" t="s">
        <v>187</v>
      </c>
      <c r="F873" s="65"/>
      <c r="G873" s="65"/>
      <c r="H873" s="65" t="s">
        <v>131</v>
      </c>
      <c r="I873" s="65"/>
      <c r="J873" s="65"/>
      <c r="K873" s="65">
        <f>SUMIFS(K:K, A:A, 40, B:B, "Z1 Z2", P:P, "Oui", D:D, "Production")</f>
        <v>4</v>
      </c>
      <c r="L873" s="65" t="s">
        <v>164</v>
      </c>
      <c r="M873" s="65">
        <f>ROUNDUP(K873/VLOOKUP(L873,Camion!A:D, 3, FALSE),0)</f>
        <v>1</v>
      </c>
      <c r="N873" s="65">
        <f>INT(K873/VLOOKUP(L873,Camion!A:D, 3, FALSE))</f>
        <v>0</v>
      </c>
      <c r="O873" s="66">
        <f>ROUND(K873/VLOOKUP(L873,Camion!A:D, 3, FALSE) - N873,2)</f>
        <v>0.44</v>
      </c>
      <c r="P873" s="65"/>
    </row>
    <row r="874" spans="1:16" x14ac:dyDescent="0.25">
      <c r="A874" s="7">
        <v>40</v>
      </c>
      <c r="B874" s="5" t="s">
        <v>184</v>
      </c>
      <c r="C874" s="65"/>
      <c r="D874" s="65"/>
      <c r="E874" s="65" t="s">
        <v>188</v>
      </c>
      <c r="F874" s="65"/>
      <c r="G874" s="65"/>
      <c r="H874" s="65" t="s">
        <v>131</v>
      </c>
      <c r="I874" s="65"/>
      <c r="J874" s="65"/>
      <c r="K874" s="65">
        <f>SUMIFS(K:K, A:A, 40, B:B, "Z1 Z2", P:P, "Oui", D:D, "Terminaux")</f>
        <v>25</v>
      </c>
      <c r="L874" s="65" t="s">
        <v>168</v>
      </c>
      <c r="M874" s="65">
        <f>ROUNDUP(K874/VLOOKUP(L874,Camion!A:D, 3, FALSE),0)</f>
        <v>1</v>
      </c>
      <c r="N874" s="65">
        <f>INT(K874/VLOOKUP(L874,Camion!A:D, 3, FALSE))</f>
        <v>0</v>
      </c>
      <c r="O874" s="66">
        <f>ROUND(K874/VLOOKUP(L874,Camion!A:D, 3, FALSE) - N874,2)</f>
        <v>0.74</v>
      </c>
      <c r="P874" s="65"/>
    </row>
    <row r="875" spans="1:16" x14ac:dyDescent="0.25">
      <c r="A875" s="7">
        <v>40</v>
      </c>
      <c r="B875" s="62" t="s">
        <v>185</v>
      </c>
      <c r="C875" s="63" t="s">
        <v>1</v>
      </c>
      <c r="D875" s="63" t="s">
        <v>128</v>
      </c>
      <c r="E875" s="63" t="s">
        <v>71</v>
      </c>
      <c r="F875" s="63" t="s">
        <v>138</v>
      </c>
      <c r="G875" s="63">
        <v>174</v>
      </c>
      <c r="H875" s="63" t="s">
        <v>139</v>
      </c>
      <c r="I875" s="63">
        <f>INDEX(Matériel!A:Z, MATCH(E875, Matériel!A:A, 0), MATCH(H875, INDEX(Matériel!A:Z, MATCH(E875, Matériel!A:A, 0), 0), 0) + 1)</f>
        <v>150</v>
      </c>
      <c r="J875" s="63">
        <f t="shared" ref="J875:J884" si="85">ROUNDUP(G875 / I875, 0)</f>
        <v>2</v>
      </c>
      <c r="K875" s="63">
        <f>VLOOKUP(H875,Manutention!A:E, 3, FALSE) * J875</f>
        <v>6</v>
      </c>
      <c r="L875" s="63" t="s">
        <v>164</v>
      </c>
      <c r="M875" s="63">
        <f>ROUNDUP(K875/VLOOKUP(L875,Camion!A:D, 3, FALSE),0)</f>
        <v>1</v>
      </c>
      <c r="N875" s="63">
        <f>INT(K875/VLOOKUP(L875,Camion!A:D, 3, FALSE))</f>
        <v>0</v>
      </c>
      <c r="O875" s="64">
        <f>ROUND(K875/VLOOKUP(L875,Camion!A:D, 3, FALSE) - N875,2)</f>
        <v>0.67</v>
      </c>
      <c r="P875" s="63" t="s">
        <v>130</v>
      </c>
    </row>
    <row r="876" spans="1:16" x14ac:dyDescent="0.25">
      <c r="A876" s="7">
        <v>40</v>
      </c>
      <c r="B876" s="62" t="s">
        <v>185</v>
      </c>
      <c r="C876" s="63" t="s">
        <v>1</v>
      </c>
      <c r="D876" s="63" t="s">
        <v>135</v>
      </c>
      <c r="E876" s="63" t="s">
        <v>72</v>
      </c>
      <c r="F876" s="63" t="s">
        <v>138</v>
      </c>
      <c r="G876" s="63">
        <v>533</v>
      </c>
      <c r="H876" s="63" t="s">
        <v>143</v>
      </c>
      <c r="I876" s="63">
        <f>INDEX(Matériel!A:Z, MATCH(E876, Matériel!A:A, 0), MATCH(H876, INDEX(Matériel!A:Z, MATCH(E876, Matériel!A:A, 0), 0), 0) + 1)</f>
        <v>1000</v>
      </c>
      <c r="J876" s="63">
        <f t="shared" si="85"/>
        <v>1</v>
      </c>
      <c r="K876" s="63">
        <f>VLOOKUP(H876,Manutention!A:E, 3, FALSE) * J876</f>
        <v>1</v>
      </c>
      <c r="L876" s="63" t="s">
        <v>164</v>
      </c>
      <c r="M876" s="63">
        <f>ROUNDUP(K876/VLOOKUP(L876,Camion!A:D, 3, FALSE),0)</f>
        <v>1</v>
      </c>
      <c r="N876" s="63">
        <f>INT(K876/VLOOKUP(L876,Camion!A:D, 3, FALSE))</f>
        <v>0</v>
      </c>
      <c r="O876" s="64">
        <f>ROUND(K876/VLOOKUP(L876,Camion!A:D, 3, FALSE) - N876,2)</f>
        <v>0.11</v>
      </c>
      <c r="P876" s="63" t="s">
        <v>130</v>
      </c>
    </row>
    <row r="877" spans="1:16" x14ac:dyDescent="0.25">
      <c r="A877" s="7">
        <v>40</v>
      </c>
      <c r="B877" s="62" t="s">
        <v>185</v>
      </c>
      <c r="C877" s="63" t="s">
        <v>1</v>
      </c>
      <c r="D877" s="63" t="s">
        <v>128</v>
      </c>
      <c r="E877" s="63" t="s">
        <v>74</v>
      </c>
      <c r="F877" s="63" t="s">
        <v>127</v>
      </c>
      <c r="G877" s="63">
        <v>3</v>
      </c>
      <c r="H877" s="63" t="s">
        <v>131</v>
      </c>
      <c r="I877" s="63">
        <f>INDEX(Matériel!A:Z, MATCH(E877, Matériel!A:A, 0), MATCH(H877, INDEX(Matériel!A:Z, MATCH(E877, Matériel!A:A, 0), 0), 0) + 1)</f>
        <v>1</v>
      </c>
      <c r="J877" s="63">
        <f t="shared" si="85"/>
        <v>3</v>
      </c>
      <c r="K877" s="63">
        <f>VLOOKUP(H877,Manutention!A:E, 3, FALSE) * J877</f>
        <v>3</v>
      </c>
      <c r="L877" s="63" t="s">
        <v>164</v>
      </c>
      <c r="M877" s="63">
        <f>ROUNDUP(K877/VLOOKUP(L877,Camion!A:D, 3, FALSE),0)</f>
        <v>1</v>
      </c>
      <c r="N877" s="63">
        <f>INT(K877/VLOOKUP(L877,Camion!A:D, 3, FALSE))</f>
        <v>0</v>
      </c>
      <c r="O877" s="64">
        <f>ROUND(K877/VLOOKUP(L877,Camion!A:D, 3, FALSE) - N877,2)</f>
        <v>0.33</v>
      </c>
      <c r="P877" s="63" t="s">
        <v>129</v>
      </c>
    </row>
    <row r="878" spans="1:16" x14ac:dyDescent="0.25">
      <c r="A878" s="7">
        <v>40</v>
      </c>
      <c r="B878" s="62" t="s">
        <v>185</v>
      </c>
      <c r="C878" s="63" t="s">
        <v>1</v>
      </c>
      <c r="D878" s="63" t="s">
        <v>135</v>
      </c>
      <c r="E878" s="63" t="s">
        <v>75</v>
      </c>
      <c r="F878" s="63" t="s">
        <v>127</v>
      </c>
      <c r="G878" s="63">
        <v>27</v>
      </c>
      <c r="H878" s="63" t="s">
        <v>136</v>
      </c>
      <c r="I878" s="63">
        <f>INDEX(Matériel!A:Z, MATCH(E878, Matériel!A:A, 0), MATCH(H878, INDEX(Matériel!A:Z, MATCH(E878, Matériel!A:A, 0), 0), 0) + 1)</f>
        <v>60</v>
      </c>
      <c r="J878" s="63">
        <f t="shared" si="85"/>
        <v>1</v>
      </c>
      <c r="K878" s="63">
        <f>VLOOKUP(H878,Manutention!A:E, 3, FALSE) * J878</f>
        <v>1</v>
      </c>
      <c r="L878" s="63" t="s">
        <v>164</v>
      </c>
      <c r="M878" s="63">
        <f>ROUNDUP(K878/VLOOKUP(L878,Camion!A:D, 3, FALSE),0)</f>
        <v>1</v>
      </c>
      <c r="N878" s="63">
        <f>INT(K878/VLOOKUP(L878,Camion!A:D, 3, FALSE))</f>
        <v>0</v>
      </c>
      <c r="O878" s="64">
        <f>ROUND(K878/VLOOKUP(L878,Camion!A:D, 3, FALSE) - N878,2)</f>
        <v>0.11</v>
      </c>
      <c r="P878" s="63" t="s">
        <v>129</v>
      </c>
    </row>
    <row r="879" spans="1:16" x14ac:dyDescent="0.25">
      <c r="A879" s="7">
        <v>40</v>
      </c>
      <c r="B879" s="62" t="s">
        <v>185</v>
      </c>
      <c r="C879" s="63" t="s">
        <v>1</v>
      </c>
      <c r="D879" s="63" t="s">
        <v>128</v>
      </c>
      <c r="E879" s="63" t="s">
        <v>76</v>
      </c>
      <c r="F879" s="63" t="s">
        <v>127</v>
      </c>
      <c r="G879" s="63">
        <v>13</v>
      </c>
      <c r="H879" s="63" t="s">
        <v>131</v>
      </c>
      <c r="I879" s="63">
        <f>INDEX(Matériel!A:Z, MATCH(E879, Matériel!A:A, 0), MATCH(H879, INDEX(Matériel!A:Z, MATCH(E879, Matériel!A:A, 0), 0), 0) + 1)</f>
        <v>100</v>
      </c>
      <c r="J879" s="63">
        <f t="shared" si="85"/>
        <v>1</v>
      </c>
      <c r="K879" s="63">
        <f>VLOOKUP(H879,Manutention!A:E, 3, FALSE) * J879</f>
        <v>1</v>
      </c>
      <c r="L879" s="63" t="s">
        <v>164</v>
      </c>
      <c r="M879" s="63">
        <f>ROUNDUP(K879/VLOOKUP(L879,Camion!A:D, 3, FALSE),0)</f>
        <v>1</v>
      </c>
      <c r="N879" s="63">
        <f>INT(K879/VLOOKUP(L879,Camion!A:D, 3, FALSE))</f>
        <v>0</v>
      </c>
      <c r="O879" s="64">
        <f>ROUND(K879/VLOOKUP(L879,Camion!A:D, 3, FALSE) - N879,2)</f>
        <v>0.11</v>
      </c>
      <c r="P879" s="63" t="s">
        <v>129</v>
      </c>
    </row>
    <row r="880" spans="1:16" x14ac:dyDescent="0.25">
      <c r="A880" s="7">
        <v>40</v>
      </c>
      <c r="B880" s="62" t="s">
        <v>185</v>
      </c>
      <c r="C880" s="63" t="s">
        <v>1</v>
      </c>
      <c r="D880" s="63" t="s">
        <v>135</v>
      </c>
      <c r="E880" s="63" t="s">
        <v>77</v>
      </c>
      <c r="F880" s="63" t="s">
        <v>127</v>
      </c>
      <c r="G880" s="63">
        <v>114</v>
      </c>
      <c r="H880" s="63" t="s">
        <v>131</v>
      </c>
      <c r="I880" s="63">
        <f>INDEX(Matériel!A:Z, MATCH(E880, Matériel!A:A, 0), MATCH(H880, INDEX(Matériel!A:Z, MATCH(E880, Matériel!A:A, 0), 0), 0) + 1)</f>
        <v>20</v>
      </c>
      <c r="J880" s="63">
        <f t="shared" si="85"/>
        <v>6</v>
      </c>
      <c r="K880" s="63">
        <f>VLOOKUP(H880,Manutention!A:E, 3, FALSE) * J880</f>
        <v>6</v>
      </c>
      <c r="L880" s="63" t="s">
        <v>164</v>
      </c>
      <c r="M880" s="63">
        <f>ROUNDUP(K880/VLOOKUP(L880,Camion!A:D, 3, FALSE),0)</f>
        <v>1</v>
      </c>
      <c r="N880" s="63">
        <f>INT(K880/VLOOKUP(L880,Camion!A:D, 3, FALSE))</f>
        <v>0</v>
      </c>
      <c r="O880" s="64">
        <f>ROUND(K880/VLOOKUP(L880,Camion!A:D, 3, FALSE) - N880,2)</f>
        <v>0.67</v>
      </c>
      <c r="P880" s="63" t="s">
        <v>129</v>
      </c>
    </row>
    <row r="881" spans="1:16" x14ac:dyDescent="0.25">
      <c r="A881" s="7">
        <v>40</v>
      </c>
      <c r="B881" s="62" t="s">
        <v>185</v>
      </c>
      <c r="C881" s="63" t="s">
        <v>1</v>
      </c>
      <c r="D881" s="63" t="s">
        <v>135</v>
      </c>
      <c r="E881" s="63" t="s">
        <v>78</v>
      </c>
      <c r="F881" s="63" t="s">
        <v>127</v>
      </c>
      <c r="G881" s="63">
        <v>5</v>
      </c>
      <c r="H881" s="63" t="s">
        <v>133</v>
      </c>
      <c r="I881" s="63">
        <f>INDEX(Matériel!A:Z, MATCH(E881, Matériel!A:A, 0), MATCH(H881, INDEX(Matériel!A:Z, MATCH(E881, Matériel!A:A, 0), 0), 0) + 1)</f>
        <v>1</v>
      </c>
      <c r="J881" s="63">
        <f t="shared" si="85"/>
        <v>5</v>
      </c>
      <c r="K881" s="63">
        <f>VLOOKUP(H881,Manutention!A:E, 3, FALSE) * J881</f>
        <v>10</v>
      </c>
      <c r="L881" s="63" t="s">
        <v>165</v>
      </c>
      <c r="M881" s="63">
        <f>ROUNDUP(K881/VLOOKUP(L881,Camion!A:D, 3, FALSE),0)</f>
        <v>1</v>
      </c>
      <c r="N881" s="63">
        <f>INT(K881/VLOOKUP(L881,Camion!A:D, 3, FALSE))</f>
        <v>0</v>
      </c>
      <c r="O881" s="64">
        <f>ROUND(K881/VLOOKUP(L881,Camion!A:D, 3, FALSE) - N881,2)</f>
        <v>0.83</v>
      </c>
      <c r="P881" s="63" t="s">
        <v>129</v>
      </c>
    </row>
    <row r="882" spans="1:16" x14ac:dyDescent="0.25">
      <c r="A882" s="7">
        <v>40</v>
      </c>
      <c r="B882" s="62" t="s">
        <v>185</v>
      </c>
      <c r="C882" s="63" t="s">
        <v>1</v>
      </c>
      <c r="D882" s="63" t="s">
        <v>135</v>
      </c>
      <c r="E882" s="63" t="s">
        <v>79</v>
      </c>
      <c r="F882" s="63" t="s">
        <v>127</v>
      </c>
      <c r="G882" s="63">
        <v>4</v>
      </c>
      <c r="H882" s="63" t="s">
        <v>133</v>
      </c>
      <c r="I882" s="63">
        <f>INDEX(Matériel!A:Z, MATCH(E882, Matériel!A:A, 0), MATCH(H882, INDEX(Matériel!A:Z, MATCH(E882, Matériel!A:A, 0), 0), 0) + 1)</f>
        <v>1</v>
      </c>
      <c r="J882" s="63">
        <f t="shared" si="85"/>
        <v>4</v>
      </c>
      <c r="K882" s="63">
        <f>VLOOKUP(H882,Manutention!A:E, 3, FALSE) * J882</f>
        <v>8</v>
      </c>
      <c r="L882" s="63" t="s">
        <v>164</v>
      </c>
      <c r="M882" s="63">
        <f>ROUNDUP(K882/VLOOKUP(L882,Camion!A:D, 3, FALSE),0)</f>
        <v>1</v>
      </c>
      <c r="N882" s="63">
        <f>INT(K882/VLOOKUP(L882,Camion!A:D, 3, FALSE))</f>
        <v>0</v>
      </c>
      <c r="O882" s="64">
        <f>ROUND(K882/VLOOKUP(L882,Camion!A:D, 3, FALSE) - N882,2)</f>
        <v>0.89</v>
      </c>
      <c r="P882" s="63" t="s">
        <v>129</v>
      </c>
    </row>
    <row r="883" spans="1:16" x14ac:dyDescent="0.25">
      <c r="A883" s="7">
        <v>40</v>
      </c>
      <c r="B883" s="62" t="s">
        <v>185</v>
      </c>
      <c r="C883" s="63" t="s">
        <v>1</v>
      </c>
      <c r="D883" s="63" t="s">
        <v>128</v>
      </c>
      <c r="E883" s="63" t="s">
        <v>80</v>
      </c>
      <c r="F883" s="63" t="s">
        <v>127</v>
      </c>
      <c r="G883" s="63">
        <v>1</v>
      </c>
      <c r="H883" s="63" t="s">
        <v>133</v>
      </c>
      <c r="I883" s="63">
        <f>INDEX(Matériel!A:Z, MATCH(E883, Matériel!A:A, 0), MATCH(H883, INDEX(Matériel!A:Z, MATCH(E883, Matériel!A:A, 0), 0), 0) + 1)</f>
        <v>0.5</v>
      </c>
      <c r="J883" s="63">
        <f t="shared" si="85"/>
        <v>2</v>
      </c>
      <c r="K883" s="63">
        <f>VLOOKUP(H883,Manutention!A:E, 3, FALSE) * J883</f>
        <v>4</v>
      </c>
      <c r="L883" s="63" t="s">
        <v>164</v>
      </c>
      <c r="M883" s="63">
        <f>ROUNDUP(K883/VLOOKUP(L883,Camion!A:D, 3, FALSE),0)</f>
        <v>1</v>
      </c>
      <c r="N883" s="63">
        <f>INT(K883/VLOOKUP(L883,Camion!A:D, 3, FALSE))</f>
        <v>0</v>
      </c>
      <c r="O883" s="64">
        <f>ROUND(K883/VLOOKUP(L883,Camion!A:D, 3, FALSE) - N883,2)</f>
        <v>0.44</v>
      </c>
      <c r="P883" s="63" t="s">
        <v>130</v>
      </c>
    </row>
    <row r="884" spans="1:16" x14ac:dyDescent="0.25">
      <c r="A884" s="7">
        <v>40</v>
      </c>
      <c r="B884" s="62" t="s">
        <v>185</v>
      </c>
      <c r="C884" s="63" t="s">
        <v>1</v>
      </c>
      <c r="D884" s="63" t="s">
        <v>128</v>
      </c>
      <c r="E884" s="63" t="s">
        <v>81</v>
      </c>
      <c r="F884" s="63" t="s">
        <v>127</v>
      </c>
      <c r="G884" s="63">
        <v>5</v>
      </c>
      <c r="H884" s="63" t="s">
        <v>131</v>
      </c>
      <c r="I884" s="63">
        <f>INDEX(Matériel!A:Z, MATCH(E884, Matériel!A:A, 0), MATCH(H884, INDEX(Matériel!A:Z, MATCH(E884, Matériel!A:A, 0), 0), 0) + 1)</f>
        <v>100</v>
      </c>
      <c r="J884" s="63">
        <f t="shared" si="85"/>
        <v>1</v>
      </c>
      <c r="K884" s="63">
        <f>VLOOKUP(H884,Manutention!A:E, 3, FALSE) * J884</f>
        <v>1</v>
      </c>
      <c r="L884" s="63" t="s">
        <v>164</v>
      </c>
      <c r="M884" s="63">
        <f>ROUNDUP(K884/VLOOKUP(L884,Camion!A:D, 3, FALSE),0)</f>
        <v>1</v>
      </c>
      <c r="N884" s="63">
        <f>INT(K884/VLOOKUP(L884,Camion!A:D, 3, FALSE))</f>
        <v>0</v>
      </c>
      <c r="O884" s="64">
        <f>ROUND(K884/VLOOKUP(L884,Camion!A:D, 3, FALSE) - N884,2)</f>
        <v>0.11</v>
      </c>
      <c r="P884" s="63" t="s">
        <v>130</v>
      </c>
    </row>
    <row r="885" spans="1:16" x14ac:dyDescent="0.25">
      <c r="A885" s="7">
        <v>40</v>
      </c>
      <c r="B885" s="5" t="s">
        <v>185</v>
      </c>
      <c r="C885" s="65"/>
      <c r="D885" s="65"/>
      <c r="E885" s="65" t="s">
        <v>187</v>
      </c>
      <c r="F885" s="65"/>
      <c r="G885" s="65"/>
      <c r="H885" s="65" t="s">
        <v>131</v>
      </c>
      <c r="I885" s="65"/>
      <c r="J885" s="65"/>
      <c r="K885" s="65">
        <f>SUMIFS(K:K, A:A, 40, B:B, "Z3 Z4", P:P, "Oui", D:D, "Production")</f>
        <v>4</v>
      </c>
      <c r="L885" s="65" t="s">
        <v>164</v>
      </c>
      <c r="M885" s="65">
        <f>ROUNDUP(K885/VLOOKUP(L885,Camion!A:D, 3, FALSE),0)</f>
        <v>1</v>
      </c>
      <c r="N885" s="65">
        <f>INT(K885/VLOOKUP(L885,Camion!A:D, 3, FALSE))</f>
        <v>0</v>
      </c>
      <c r="O885" s="66">
        <f>ROUND(K885/VLOOKUP(L885,Camion!A:D, 3, FALSE) - N885,2)</f>
        <v>0.44</v>
      </c>
      <c r="P885" s="65"/>
    </row>
    <row r="886" spans="1:16" x14ac:dyDescent="0.25">
      <c r="A886" s="7">
        <v>40</v>
      </c>
      <c r="B886" s="5" t="s">
        <v>185</v>
      </c>
      <c r="C886" s="65"/>
      <c r="D886" s="65"/>
      <c r="E886" s="65" t="s">
        <v>188</v>
      </c>
      <c r="F886" s="65"/>
      <c r="G886" s="65"/>
      <c r="H886" s="65" t="s">
        <v>131</v>
      </c>
      <c r="I886" s="65"/>
      <c r="J886" s="65"/>
      <c r="K886" s="65">
        <f>SUMIFS(K:K, A:A, 40, B:B, "Z3 Z4", P:P, "Oui", D:D, "Terminaux")</f>
        <v>25</v>
      </c>
      <c r="L886" s="65" t="s">
        <v>168</v>
      </c>
      <c r="M886" s="65">
        <f>ROUNDUP(K886/VLOOKUP(L886,Camion!A:D, 3, FALSE),0)</f>
        <v>1</v>
      </c>
      <c r="N886" s="65">
        <f>INT(K886/VLOOKUP(L886,Camion!A:D, 3, FALSE))</f>
        <v>0</v>
      </c>
      <c r="O886" s="66">
        <f>ROUND(K886/VLOOKUP(L886,Camion!A:D, 3, FALSE) - N886,2)</f>
        <v>0.74</v>
      </c>
      <c r="P886" s="65"/>
    </row>
    <row r="887" spans="1:16" x14ac:dyDescent="0.25">
      <c r="A887" s="7">
        <v>41</v>
      </c>
      <c r="B887" s="62" t="s">
        <v>184</v>
      </c>
      <c r="C887" s="63" t="s">
        <v>1</v>
      </c>
      <c r="D887" s="63" t="s">
        <v>128</v>
      </c>
      <c r="E887" s="63" t="s">
        <v>71</v>
      </c>
      <c r="F887" s="63" t="s">
        <v>138</v>
      </c>
      <c r="G887" s="63">
        <v>171</v>
      </c>
      <c r="H887" s="63" t="s">
        <v>139</v>
      </c>
      <c r="I887" s="63">
        <f>INDEX(Matériel!A:Z, MATCH(E887, Matériel!A:A, 0), MATCH(H887, INDEX(Matériel!A:Z, MATCH(E887, Matériel!A:A, 0), 0), 0) + 1)</f>
        <v>150</v>
      </c>
      <c r="J887" s="63">
        <f t="shared" ref="J887:J897" si="86">ROUNDUP(G887 / I887, 0)</f>
        <v>2</v>
      </c>
      <c r="K887" s="63">
        <f>VLOOKUP(H887,Manutention!A:E, 3, FALSE) * J887</f>
        <v>6</v>
      </c>
      <c r="L887" s="63" t="s">
        <v>164</v>
      </c>
      <c r="M887" s="63">
        <f>ROUNDUP(K887/VLOOKUP(L887,Camion!A:D, 3, FALSE),0)</f>
        <v>1</v>
      </c>
      <c r="N887" s="63">
        <f>INT(K887/VLOOKUP(L887,Camion!A:D, 3, FALSE))</f>
        <v>0</v>
      </c>
      <c r="O887" s="64">
        <f>ROUND(K887/VLOOKUP(L887,Camion!A:D, 3, FALSE) - N887,2)</f>
        <v>0.67</v>
      </c>
      <c r="P887" s="63" t="s">
        <v>130</v>
      </c>
    </row>
    <row r="888" spans="1:16" x14ac:dyDescent="0.25">
      <c r="A888" s="7">
        <v>41</v>
      </c>
      <c r="B888" s="62" t="s">
        <v>184</v>
      </c>
      <c r="C888" s="63" t="s">
        <v>1</v>
      </c>
      <c r="D888" s="63" t="s">
        <v>135</v>
      </c>
      <c r="E888" s="63" t="s">
        <v>72</v>
      </c>
      <c r="F888" s="63" t="s">
        <v>138</v>
      </c>
      <c r="G888" s="63">
        <v>525</v>
      </c>
      <c r="H888" s="63" t="s">
        <v>143</v>
      </c>
      <c r="I888" s="63">
        <f>INDEX(Matériel!A:Z, MATCH(E888, Matériel!A:A, 0), MATCH(H888, INDEX(Matériel!A:Z, MATCH(E888, Matériel!A:A, 0), 0), 0) + 1)</f>
        <v>1000</v>
      </c>
      <c r="J888" s="63">
        <f t="shared" si="86"/>
        <v>1</v>
      </c>
      <c r="K888" s="63">
        <f>VLOOKUP(H888,Manutention!A:E, 3, FALSE) * J888</f>
        <v>1</v>
      </c>
      <c r="L888" s="63" t="s">
        <v>164</v>
      </c>
      <c r="M888" s="63">
        <f>ROUNDUP(K888/VLOOKUP(L888,Camion!A:D, 3, FALSE),0)</f>
        <v>1</v>
      </c>
      <c r="N888" s="63">
        <f>INT(K888/VLOOKUP(L888,Camion!A:D, 3, FALSE))</f>
        <v>0</v>
      </c>
      <c r="O888" s="64">
        <f>ROUND(K888/VLOOKUP(L888,Camion!A:D, 3, FALSE) - N888,2)</f>
        <v>0.11</v>
      </c>
      <c r="P888" s="63" t="s">
        <v>130</v>
      </c>
    </row>
    <row r="889" spans="1:16" x14ac:dyDescent="0.25">
      <c r="A889" s="7">
        <v>41</v>
      </c>
      <c r="B889" s="62" t="s">
        <v>184</v>
      </c>
      <c r="C889" s="63" t="s">
        <v>1</v>
      </c>
      <c r="D889" s="63" t="s">
        <v>128</v>
      </c>
      <c r="E889" s="63" t="s">
        <v>73</v>
      </c>
      <c r="F889" s="63" t="s">
        <v>127</v>
      </c>
      <c r="G889" s="63">
        <v>1</v>
      </c>
      <c r="H889" s="63" t="s">
        <v>133</v>
      </c>
      <c r="I889" s="63">
        <f>INDEX(Matériel!A:Z, MATCH(E889, Matériel!A:A, 0), MATCH(H889, INDEX(Matériel!A:Z, MATCH(E889, Matériel!A:A, 0), 0), 0) + 1)</f>
        <v>0.5</v>
      </c>
      <c r="J889" s="63">
        <f t="shared" si="86"/>
        <v>2</v>
      </c>
      <c r="K889" s="63">
        <f>VLOOKUP(H889,Manutention!A:E, 3, FALSE) * J889</f>
        <v>4</v>
      </c>
      <c r="L889" s="63" t="s">
        <v>164</v>
      </c>
      <c r="M889" s="63">
        <f>ROUNDUP(K889/VLOOKUP(L889,Camion!A:D, 3, FALSE),0)</f>
        <v>1</v>
      </c>
      <c r="N889" s="63">
        <f>INT(K889/VLOOKUP(L889,Camion!A:D, 3, FALSE))</f>
        <v>0</v>
      </c>
      <c r="O889" s="64">
        <f>ROUND(K889/VLOOKUP(L889,Camion!A:D, 3, FALSE) - N889,2)</f>
        <v>0.44</v>
      </c>
      <c r="P889" s="63" t="s">
        <v>130</v>
      </c>
    </row>
    <row r="890" spans="1:16" x14ac:dyDescent="0.25">
      <c r="A890" s="7">
        <v>41</v>
      </c>
      <c r="B890" s="62" t="s">
        <v>184</v>
      </c>
      <c r="C890" s="63" t="s">
        <v>1</v>
      </c>
      <c r="D890" s="63" t="s">
        <v>128</v>
      </c>
      <c r="E890" s="63" t="s">
        <v>74</v>
      </c>
      <c r="F890" s="63" t="s">
        <v>127</v>
      </c>
      <c r="G890" s="63">
        <v>3</v>
      </c>
      <c r="H890" s="63" t="s">
        <v>131</v>
      </c>
      <c r="I890" s="63">
        <f>INDEX(Matériel!A:Z, MATCH(E890, Matériel!A:A, 0), MATCH(H890, INDEX(Matériel!A:Z, MATCH(E890, Matériel!A:A, 0), 0), 0) + 1)</f>
        <v>1</v>
      </c>
      <c r="J890" s="63">
        <f t="shared" si="86"/>
        <v>3</v>
      </c>
      <c r="K890" s="63">
        <f>VLOOKUP(H890,Manutention!A:E, 3, FALSE) * J890</f>
        <v>3</v>
      </c>
      <c r="L890" s="63" t="s">
        <v>164</v>
      </c>
      <c r="M890" s="63">
        <f>ROUNDUP(K890/VLOOKUP(L890,Camion!A:D, 3, FALSE),0)</f>
        <v>1</v>
      </c>
      <c r="N890" s="63">
        <f>INT(K890/VLOOKUP(L890,Camion!A:D, 3, FALSE))</f>
        <v>0</v>
      </c>
      <c r="O890" s="64">
        <f>ROUND(K890/VLOOKUP(L890,Camion!A:D, 3, FALSE) - N890,2)</f>
        <v>0.33</v>
      </c>
      <c r="P890" s="63" t="s">
        <v>129</v>
      </c>
    </row>
    <row r="891" spans="1:16" x14ac:dyDescent="0.25">
      <c r="A891" s="7">
        <v>41</v>
      </c>
      <c r="B891" s="62" t="s">
        <v>184</v>
      </c>
      <c r="C891" s="63" t="s">
        <v>1</v>
      </c>
      <c r="D891" s="63" t="s">
        <v>135</v>
      </c>
      <c r="E891" s="63" t="s">
        <v>75</v>
      </c>
      <c r="F891" s="63" t="s">
        <v>127</v>
      </c>
      <c r="G891" s="63">
        <v>27</v>
      </c>
      <c r="H891" s="63" t="s">
        <v>136</v>
      </c>
      <c r="I891" s="63">
        <f>INDEX(Matériel!A:Z, MATCH(E891, Matériel!A:A, 0), MATCH(H891, INDEX(Matériel!A:Z, MATCH(E891, Matériel!A:A, 0), 0), 0) + 1)</f>
        <v>60</v>
      </c>
      <c r="J891" s="63">
        <f t="shared" si="86"/>
        <v>1</v>
      </c>
      <c r="K891" s="63">
        <f>VLOOKUP(H891,Manutention!A:E, 3, FALSE) * J891</f>
        <v>1</v>
      </c>
      <c r="L891" s="63" t="s">
        <v>164</v>
      </c>
      <c r="M891" s="63">
        <f>ROUNDUP(K891/VLOOKUP(L891,Camion!A:D, 3, FALSE),0)</f>
        <v>1</v>
      </c>
      <c r="N891" s="63">
        <f>INT(K891/VLOOKUP(L891,Camion!A:D, 3, FALSE))</f>
        <v>0</v>
      </c>
      <c r="O891" s="64">
        <f>ROUND(K891/VLOOKUP(L891,Camion!A:D, 3, FALSE) - N891,2)</f>
        <v>0.11</v>
      </c>
      <c r="P891" s="63" t="s">
        <v>129</v>
      </c>
    </row>
    <row r="892" spans="1:16" x14ac:dyDescent="0.25">
      <c r="A892" s="7">
        <v>41</v>
      </c>
      <c r="B892" s="62" t="s">
        <v>184</v>
      </c>
      <c r="C892" s="63" t="s">
        <v>1</v>
      </c>
      <c r="D892" s="63" t="s">
        <v>128</v>
      </c>
      <c r="E892" s="63" t="s">
        <v>76</v>
      </c>
      <c r="F892" s="63" t="s">
        <v>127</v>
      </c>
      <c r="G892" s="63">
        <v>13</v>
      </c>
      <c r="H892" s="63" t="s">
        <v>131</v>
      </c>
      <c r="I892" s="63">
        <f>INDEX(Matériel!A:Z, MATCH(E892, Matériel!A:A, 0), MATCH(H892, INDEX(Matériel!A:Z, MATCH(E892, Matériel!A:A, 0), 0), 0) + 1)</f>
        <v>100</v>
      </c>
      <c r="J892" s="63">
        <f t="shared" si="86"/>
        <v>1</v>
      </c>
      <c r="K892" s="63">
        <f>VLOOKUP(H892,Manutention!A:E, 3, FALSE) * J892</f>
        <v>1</v>
      </c>
      <c r="L892" s="63" t="s">
        <v>164</v>
      </c>
      <c r="M892" s="63">
        <f>ROUNDUP(K892/VLOOKUP(L892,Camion!A:D, 3, FALSE),0)</f>
        <v>1</v>
      </c>
      <c r="N892" s="63">
        <f>INT(K892/VLOOKUP(L892,Camion!A:D, 3, FALSE))</f>
        <v>0</v>
      </c>
      <c r="O892" s="64">
        <f>ROUND(K892/VLOOKUP(L892,Camion!A:D, 3, FALSE) - N892,2)</f>
        <v>0.11</v>
      </c>
      <c r="P892" s="63" t="s">
        <v>129</v>
      </c>
    </row>
    <row r="893" spans="1:16" x14ac:dyDescent="0.25">
      <c r="A893" s="7">
        <v>41</v>
      </c>
      <c r="B893" s="62" t="s">
        <v>184</v>
      </c>
      <c r="C893" s="63" t="s">
        <v>1</v>
      </c>
      <c r="D893" s="63" t="s">
        <v>135</v>
      </c>
      <c r="E893" s="63" t="s">
        <v>77</v>
      </c>
      <c r="F893" s="63" t="s">
        <v>127</v>
      </c>
      <c r="G893" s="63">
        <v>112</v>
      </c>
      <c r="H893" s="63" t="s">
        <v>131</v>
      </c>
      <c r="I893" s="63">
        <f>INDEX(Matériel!A:Z, MATCH(E893, Matériel!A:A, 0), MATCH(H893, INDEX(Matériel!A:Z, MATCH(E893, Matériel!A:A, 0), 0), 0) + 1)</f>
        <v>20</v>
      </c>
      <c r="J893" s="63">
        <f t="shared" si="86"/>
        <v>6</v>
      </c>
      <c r="K893" s="63">
        <f>VLOOKUP(H893,Manutention!A:E, 3, FALSE) * J893</f>
        <v>6</v>
      </c>
      <c r="L893" s="63" t="s">
        <v>164</v>
      </c>
      <c r="M893" s="63">
        <f>ROUNDUP(K893/VLOOKUP(L893,Camion!A:D, 3, FALSE),0)</f>
        <v>1</v>
      </c>
      <c r="N893" s="63">
        <f>INT(K893/VLOOKUP(L893,Camion!A:D, 3, FALSE))</f>
        <v>0</v>
      </c>
      <c r="O893" s="64">
        <f>ROUND(K893/VLOOKUP(L893,Camion!A:D, 3, FALSE) - N893,2)</f>
        <v>0.67</v>
      </c>
      <c r="P893" s="63" t="s">
        <v>129</v>
      </c>
    </row>
    <row r="894" spans="1:16" x14ac:dyDescent="0.25">
      <c r="A894" s="7">
        <v>41</v>
      </c>
      <c r="B894" s="62" t="s">
        <v>184</v>
      </c>
      <c r="C894" s="63" t="s">
        <v>1</v>
      </c>
      <c r="D894" s="63" t="s">
        <v>135</v>
      </c>
      <c r="E894" s="63" t="s">
        <v>78</v>
      </c>
      <c r="F894" s="63" t="s">
        <v>127</v>
      </c>
      <c r="G894" s="63">
        <v>5</v>
      </c>
      <c r="H894" s="63" t="s">
        <v>133</v>
      </c>
      <c r="I894" s="63">
        <f>INDEX(Matériel!A:Z, MATCH(E894, Matériel!A:A, 0), MATCH(H894, INDEX(Matériel!A:Z, MATCH(E894, Matériel!A:A, 0), 0), 0) + 1)</f>
        <v>1</v>
      </c>
      <c r="J894" s="63">
        <f t="shared" si="86"/>
        <v>5</v>
      </c>
      <c r="K894" s="63">
        <f>VLOOKUP(H894,Manutention!A:E, 3, FALSE) * J894</f>
        <v>10</v>
      </c>
      <c r="L894" s="63" t="s">
        <v>165</v>
      </c>
      <c r="M894" s="63">
        <f>ROUNDUP(K894/VLOOKUP(L894,Camion!A:D, 3, FALSE),0)</f>
        <v>1</v>
      </c>
      <c r="N894" s="63">
        <f>INT(K894/VLOOKUP(L894,Camion!A:D, 3, FALSE))</f>
        <v>0</v>
      </c>
      <c r="O894" s="64">
        <f>ROUND(K894/VLOOKUP(L894,Camion!A:D, 3, FALSE) - N894,2)</f>
        <v>0.83</v>
      </c>
      <c r="P894" s="63" t="s">
        <v>129</v>
      </c>
    </row>
    <row r="895" spans="1:16" x14ac:dyDescent="0.25">
      <c r="A895" s="7">
        <v>41</v>
      </c>
      <c r="B895" s="62" t="s">
        <v>184</v>
      </c>
      <c r="C895" s="63" t="s">
        <v>1</v>
      </c>
      <c r="D895" s="63" t="s">
        <v>135</v>
      </c>
      <c r="E895" s="63" t="s">
        <v>79</v>
      </c>
      <c r="F895" s="63" t="s">
        <v>127</v>
      </c>
      <c r="G895" s="63">
        <v>4</v>
      </c>
      <c r="H895" s="63" t="s">
        <v>133</v>
      </c>
      <c r="I895" s="63">
        <f>INDEX(Matériel!A:Z, MATCH(E895, Matériel!A:A, 0), MATCH(H895, INDEX(Matériel!A:Z, MATCH(E895, Matériel!A:A, 0), 0), 0) + 1)</f>
        <v>1</v>
      </c>
      <c r="J895" s="63">
        <f t="shared" si="86"/>
        <v>4</v>
      </c>
      <c r="K895" s="63">
        <f>VLOOKUP(H895,Manutention!A:E, 3, FALSE) * J895</f>
        <v>8</v>
      </c>
      <c r="L895" s="63" t="s">
        <v>164</v>
      </c>
      <c r="M895" s="63">
        <f>ROUNDUP(K895/VLOOKUP(L895,Camion!A:D, 3, FALSE),0)</f>
        <v>1</v>
      </c>
      <c r="N895" s="63">
        <f>INT(K895/VLOOKUP(L895,Camion!A:D, 3, FALSE))</f>
        <v>0</v>
      </c>
      <c r="O895" s="64">
        <f>ROUND(K895/VLOOKUP(L895,Camion!A:D, 3, FALSE) - N895,2)</f>
        <v>0.89</v>
      </c>
      <c r="P895" s="63" t="s">
        <v>129</v>
      </c>
    </row>
    <row r="896" spans="1:16" x14ac:dyDescent="0.25">
      <c r="A896" s="7">
        <v>41</v>
      </c>
      <c r="B896" s="62" t="s">
        <v>184</v>
      </c>
      <c r="C896" s="63" t="s">
        <v>1</v>
      </c>
      <c r="D896" s="63" t="s">
        <v>128</v>
      </c>
      <c r="E896" s="63" t="s">
        <v>80</v>
      </c>
      <c r="F896" s="63" t="s">
        <v>127</v>
      </c>
      <c r="G896" s="63">
        <v>1</v>
      </c>
      <c r="H896" s="63" t="s">
        <v>133</v>
      </c>
      <c r="I896" s="63">
        <f>INDEX(Matériel!A:Z, MATCH(E896, Matériel!A:A, 0), MATCH(H896, INDEX(Matériel!A:Z, MATCH(E896, Matériel!A:A, 0), 0), 0) + 1)</f>
        <v>0.5</v>
      </c>
      <c r="J896" s="63">
        <f t="shared" si="86"/>
        <v>2</v>
      </c>
      <c r="K896" s="63">
        <f>VLOOKUP(H896,Manutention!A:E, 3, FALSE) * J896</f>
        <v>4</v>
      </c>
      <c r="L896" s="63" t="s">
        <v>164</v>
      </c>
      <c r="M896" s="63">
        <f>ROUNDUP(K896/VLOOKUP(L896,Camion!A:D, 3, FALSE),0)</f>
        <v>1</v>
      </c>
      <c r="N896" s="63">
        <f>INT(K896/VLOOKUP(L896,Camion!A:D, 3, FALSE))</f>
        <v>0</v>
      </c>
      <c r="O896" s="64">
        <f>ROUND(K896/VLOOKUP(L896,Camion!A:D, 3, FALSE) - N896,2)</f>
        <v>0.44</v>
      </c>
      <c r="P896" s="63" t="s">
        <v>130</v>
      </c>
    </row>
    <row r="897" spans="1:16" x14ac:dyDescent="0.25">
      <c r="A897" s="7">
        <v>41</v>
      </c>
      <c r="B897" s="62" t="s">
        <v>184</v>
      </c>
      <c r="C897" s="63" t="s">
        <v>1</v>
      </c>
      <c r="D897" s="63" t="s">
        <v>128</v>
      </c>
      <c r="E897" s="63" t="s">
        <v>81</v>
      </c>
      <c r="F897" s="63" t="s">
        <v>127</v>
      </c>
      <c r="G897" s="63">
        <v>5</v>
      </c>
      <c r="H897" s="63" t="s">
        <v>131</v>
      </c>
      <c r="I897" s="63">
        <f>INDEX(Matériel!A:Z, MATCH(E897, Matériel!A:A, 0), MATCH(H897, INDEX(Matériel!A:Z, MATCH(E897, Matériel!A:A, 0), 0), 0) + 1)</f>
        <v>100</v>
      </c>
      <c r="J897" s="63">
        <f t="shared" si="86"/>
        <v>1</v>
      </c>
      <c r="K897" s="63">
        <f>VLOOKUP(H897,Manutention!A:E, 3, FALSE) * J897</f>
        <v>1</v>
      </c>
      <c r="L897" s="63" t="s">
        <v>164</v>
      </c>
      <c r="M897" s="63">
        <f>ROUNDUP(K897/VLOOKUP(L897,Camion!A:D, 3, FALSE),0)</f>
        <v>1</v>
      </c>
      <c r="N897" s="63">
        <f>INT(K897/VLOOKUP(L897,Camion!A:D, 3, FALSE))</f>
        <v>0</v>
      </c>
      <c r="O897" s="64">
        <f>ROUND(K897/VLOOKUP(L897,Camion!A:D, 3, FALSE) - N897,2)</f>
        <v>0.11</v>
      </c>
      <c r="P897" s="63" t="s">
        <v>130</v>
      </c>
    </row>
    <row r="898" spans="1:16" x14ac:dyDescent="0.25">
      <c r="A898" s="7">
        <v>41</v>
      </c>
      <c r="B898" s="5" t="s">
        <v>184</v>
      </c>
      <c r="C898" s="65"/>
      <c r="D898" s="65"/>
      <c r="E898" s="65" t="s">
        <v>187</v>
      </c>
      <c r="F898" s="65"/>
      <c r="G898" s="65"/>
      <c r="H898" s="65" t="s">
        <v>131</v>
      </c>
      <c r="I898" s="65"/>
      <c r="J898" s="65"/>
      <c r="K898" s="65">
        <f>SUMIFS(K:K, A:A, 41, B:B, "Z1 Z2", P:P, "Oui", D:D, "Production")</f>
        <v>4</v>
      </c>
      <c r="L898" s="65" t="s">
        <v>164</v>
      </c>
      <c r="M898" s="65">
        <f>ROUNDUP(K898/VLOOKUP(L898,Camion!A:D, 3, FALSE),0)</f>
        <v>1</v>
      </c>
      <c r="N898" s="65">
        <f>INT(K898/VLOOKUP(L898,Camion!A:D, 3, FALSE))</f>
        <v>0</v>
      </c>
      <c r="O898" s="66">
        <f>ROUND(K898/VLOOKUP(L898,Camion!A:D, 3, FALSE) - N898,2)</f>
        <v>0.44</v>
      </c>
      <c r="P898" s="65"/>
    </row>
    <row r="899" spans="1:16" x14ac:dyDescent="0.25">
      <c r="A899" s="7">
        <v>41</v>
      </c>
      <c r="B899" s="5" t="s">
        <v>184</v>
      </c>
      <c r="C899" s="65"/>
      <c r="D899" s="65"/>
      <c r="E899" s="65" t="s">
        <v>188</v>
      </c>
      <c r="F899" s="65"/>
      <c r="G899" s="65"/>
      <c r="H899" s="65" t="s">
        <v>131</v>
      </c>
      <c r="I899" s="65"/>
      <c r="J899" s="65"/>
      <c r="K899" s="65">
        <f>SUMIFS(K:K, A:A, 41, B:B, "Z1 Z2", P:P, "Oui", D:D, "Terminaux")</f>
        <v>25</v>
      </c>
      <c r="L899" s="65" t="s">
        <v>168</v>
      </c>
      <c r="M899" s="65">
        <f>ROUNDUP(K899/VLOOKUP(L899,Camion!A:D, 3, FALSE),0)</f>
        <v>1</v>
      </c>
      <c r="N899" s="65">
        <f>INT(K899/VLOOKUP(L899,Camion!A:D, 3, FALSE))</f>
        <v>0</v>
      </c>
      <c r="O899" s="66">
        <f>ROUND(K899/VLOOKUP(L899,Camion!A:D, 3, FALSE) - N899,2)</f>
        <v>0.74</v>
      </c>
      <c r="P899" s="65"/>
    </row>
    <row r="900" spans="1:16" x14ac:dyDescent="0.25">
      <c r="A900" s="7">
        <v>41</v>
      </c>
      <c r="B900" s="62" t="s">
        <v>185</v>
      </c>
      <c r="C900" s="63" t="s">
        <v>1</v>
      </c>
      <c r="D900" s="63" t="s">
        <v>128</v>
      </c>
      <c r="E900" s="63" t="s">
        <v>71</v>
      </c>
      <c r="F900" s="63" t="s">
        <v>138</v>
      </c>
      <c r="G900" s="63">
        <v>169</v>
      </c>
      <c r="H900" s="63" t="s">
        <v>139</v>
      </c>
      <c r="I900" s="63">
        <f>INDEX(Matériel!A:Z, MATCH(E900, Matériel!A:A, 0), MATCH(H900, INDEX(Matériel!A:Z, MATCH(E900, Matériel!A:A, 0), 0), 0) + 1)</f>
        <v>150</v>
      </c>
      <c r="J900" s="63">
        <f t="shared" ref="J900:J909" si="87">ROUNDUP(G900 / I900, 0)</f>
        <v>2</v>
      </c>
      <c r="K900" s="63">
        <f>VLOOKUP(H900,Manutention!A:E, 3, FALSE) * J900</f>
        <v>6</v>
      </c>
      <c r="L900" s="63" t="s">
        <v>164</v>
      </c>
      <c r="M900" s="63">
        <f>ROUNDUP(K900/VLOOKUP(L900,Camion!A:D, 3, FALSE),0)</f>
        <v>1</v>
      </c>
      <c r="N900" s="63">
        <f>INT(K900/VLOOKUP(L900,Camion!A:D, 3, FALSE))</f>
        <v>0</v>
      </c>
      <c r="O900" s="64">
        <f>ROUND(K900/VLOOKUP(L900,Camion!A:D, 3, FALSE) - N900,2)</f>
        <v>0.67</v>
      </c>
      <c r="P900" s="63" t="s">
        <v>130</v>
      </c>
    </row>
    <row r="901" spans="1:16" x14ac:dyDescent="0.25">
      <c r="A901" s="7">
        <v>41</v>
      </c>
      <c r="B901" s="62" t="s">
        <v>185</v>
      </c>
      <c r="C901" s="63" t="s">
        <v>1</v>
      </c>
      <c r="D901" s="63" t="s">
        <v>135</v>
      </c>
      <c r="E901" s="63" t="s">
        <v>72</v>
      </c>
      <c r="F901" s="63" t="s">
        <v>138</v>
      </c>
      <c r="G901" s="63">
        <v>517</v>
      </c>
      <c r="H901" s="63" t="s">
        <v>143</v>
      </c>
      <c r="I901" s="63">
        <f>INDEX(Matériel!A:Z, MATCH(E901, Matériel!A:A, 0), MATCH(H901, INDEX(Matériel!A:Z, MATCH(E901, Matériel!A:A, 0), 0), 0) + 1)</f>
        <v>1000</v>
      </c>
      <c r="J901" s="63">
        <f t="shared" si="87"/>
        <v>1</v>
      </c>
      <c r="K901" s="63">
        <f>VLOOKUP(H901,Manutention!A:E, 3, FALSE) * J901</f>
        <v>1</v>
      </c>
      <c r="L901" s="63" t="s">
        <v>164</v>
      </c>
      <c r="M901" s="63">
        <f>ROUNDUP(K901/VLOOKUP(L901,Camion!A:D, 3, FALSE),0)</f>
        <v>1</v>
      </c>
      <c r="N901" s="63">
        <f>INT(K901/VLOOKUP(L901,Camion!A:D, 3, FALSE))</f>
        <v>0</v>
      </c>
      <c r="O901" s="64">
        <f>ROUND(K901/VLOOKUP(L901,Camion!A:D, 3, FALSE) - N901,2)</f>
        <v>0.11</v>
      </c>
      <c r="P901" s="63" t="s">
        <v>130</v>
      </c>
    </row>
    <row r="902" spans="1:16" x14ac:dyDescent="0.25">
      <c r="A902" s="7">
        <v>41</v>
      </c>
      <c r="B902" s="62" t="s">
        <v>185</v>
      </c>
      <c r="C902" s="63" t="s">
        <v>1</v>
      </c>
      <c r="D902" s="63" t="s">
        <v>128</v>
      </c>
      <c r="E902" s="63" t="s">
        <v>74</v>
      </c>
      <c r="F902" s="63" t="s">
        <v>127</v>
      </c>
      <c r="G902" s="63">
        <v>3</v>
      </c>
      <c r="H902" s="63" t="s">
        <v>131</v>
      </c>
      <c r="I902" s="63">
        <f>INDEX(Matériel!A:Z, MATCH(E902, Matériel!A:A, 0), MATCH(H902, INDEX(Matériel!A:Z, MATCH(E902, Matériel!A:A, 0), 0), 0) + 1)</f>
        <v>1</v>
      </c>
      <c r="J902" s="63">
        <f t="shared" si="87"/>
        <v>3</v>
      </c>
      <c r="K902" s="63">
        <f>VLOOKUP(H902,Manutention!A:E, 3, FALSE) * J902</f>
        <v>3</v>
      </c>
      <c r="L902" s="63" t="s">
        <v>164</v>
      </c>
      <c r="M902" s="63">
        <f>ROUNDUP(K902/VLOOKUP(L902,Camion!A:D, 3, FALSE),0)</f>
        <v>1</v>
      </c>
      <c r="N902" s="63">
        <f>INT(K902/VLOOKUP(L902,Camion!A:D, 3, FALSE))</f>
        <v>0</v>
      </c>
      <c r="O902" s="64">
        <f>ROUND(K902/VLOOKUP(L902,Camion!A:D, 3, FALSE) - N902,2)</f>
        <v>0.33</v>
      </c>
      <c r="P902" s="63" t="s">
        <v>129</v>
      </c>
    </row>
    <row r="903" spans="1:16" x14ac:dyDescent="0.25">
      <c r="A903" s="7">
        <v>41</v>
      </c>
      <c r="B903" s="62" t="s">
        <v>185</v>
      </c>
      <c r="C903" s="63" t="s">
        <v>1</v>
      </c>
      <c r="D903" s="63" t="s">
        <v>135</v>
      </c>
      <c r="E903" s="63" t="s">
        <v>75</v>
      </c>
      <c r="F903" s="63" t="s">
        <v>127</v>
      </c>
      <c r="G903" s="63">
        <v>26</v>
      </c>
      <c r="H903" s="63" t="s">
        <v>136</v>
      </c>
      <c r="I903" s="63">
        <f>INDEX(Matériel!A:Z, MATCH(E903, Matériel!A:A, 0), MATCH(H903, INDEX(Matériel!A:Z, MATCH(E903, Matériel!A:A, 0), 0), 0) + 1)</f>
        <v>60</v>
      </c>
      <c r="J903" s="63">
        <f t="shared" si="87"/>
        <v>1</v>
      </c>
      <c r="K903" s="63">
        <f>VLOOKUP(H903,Manutention!A:E, 3, FALSE) * J903</f>
        <v>1</v>
      </c>
      <c r="L903" s="63" t="s">
        <v>164</v>
      </c>
      <c r="M903" s="63">
        <f>ROUNDUP(K903/VLOOKUP(L903,Camion!A:D, 3, FALSE),0)</f>
        <v>1</v>
      </c>
      <c r="N903" s="63">
        <f>INT(K903/VLOOKUP(L903,Camion!A:D, 3, FALSE))</f>
        <v>0</v>
      </c>
      <c r="O903" s="64">
        <f>ROUND(K903/VLOOKUP(L903,Camion!A:D, 3, FALSE) - N903,2)</f>
        <v>0.11</v>
      </c>
      <c r="P903" s="63" t="s">
        <v>129</v>
      </c>
    </row>
    <row r="904" spans="1:16" x14ac:dyDescent="0.25">
      <c r="A904" s="7">
        <v>41</v>
      </c>
      <c r="B904" s="62" t="s">
        <v>185</v>
      </c>
      <c r="C904" s="63" t="s">
        <v>1</v>
      </c>
      <c r="D904" s="63" t="s">
        <v>128</v>
      </c>
      <c r="E904" s="63" t="s">
        <v>76</v>
      </c>
      <c r="F904" s="63" t="s">
        <v>127</v>
      </c>
      <c r="G904" s="63">
        <v>13</v>
      </c>
      <c r="H904" s="63" t="s">
        <v>131</v>
      </c>
      <c r="I904" s="63">
        <f>INDEX(Matériel!A:Z, MATCH(E904, Matériel!A:A, 0), MATCH(H904, INDEX(Matériel!A:Z, MATCH(E904, Matériel!A:A, 0), 0), 0) + 1)</f>
        <v>100</v>
      </c>
      <c r="J904" s="63">
        <f t="shared" si="87"/>
        <v>1</v>
      </c>
      <c r="K904" s="63">
        <f>VLOOKUP(H904,Manutention!A:E, 3, FALSE) * J904</f>
        <v>1</v>
      </c>
      <c r="L904" s="63" t="s">
        <v>164</v>
      </c>
      <c r="M904" s="63">
        <f>ROUNDUP(K904/VLOOKUP(L904,Camion!A:D, 3, FALSE),0)</f>
        <v>1</v>
      </c>
      <c r="N904" s="63">
        <f>INT(K904/VLOOKUP(L904,Camion!A:D, 3, FALSE))</f>
        <v>0</v>
      </c>
      <c r="O904" s="64">
        <f>ROUND(K904/VLOOKUP(L904,Camion!A:D, 3, FALSE) - N904,2)</f>
        <v>0.11</v>
      </c>
      <c r="P904" s="63" t="s">
        <v>129</v>
      </c>
    </row>
    <row r="905" spans="1:16" x14ac:dyDescent="0.25">
      <c r="A905" s="7">
        <v>41</v>
      </c>
      <c r="B905" s="62" t="s">
        <v>185</v>
      </c>
      <c r="C905" s="63" t="s">
        <v>1</v>
      </c>
      <c r="D905" s="63" t="s">
        <v>135</v>
      </c>
      <c r="E905" s="63" t="s">
        <v>77</v>
      </c>
      <c r="F905" s="63" t="s">
        <v>127</v>
      </c>
      <c r="G905" s="63">
        <v>110</v>
      </c>
      <c r="H905" s="63" t="s">
        <v>131</v>
      </c>
      <c r="I905" s="63">
        <f>INDEX(Matériel!A:Z, MATCH(E905, Matériel!A:A, 0), MATCH(H905, INDEX(Matériel!A:Z, MATCH(E905, Matériel!A:A, 0), 0), 0) + 1)</f>
        <v>20</v>
      </c>
      <c r="J905" s="63">
        <f t="shared" si="87"/>
        <v>6</v>
      </c>
      <c r="K905" s="63">
        <f>VLOOKUP(H905,Manutention!A:E, 3, FALSE) * J905</f>
        <v>6</v>
      </c>
      <c r="L905" s="63" t="s">
        <v>164</v>
      </c>
      <c r="M905" s="63">
        <f>ROUNDUP(K905/VLOOKUP(L905,Camion!A:D, 3, FALSE),0)</f>
        <v>1</v>
      </c>
      <c r="N905" s="63">
        <f>INT(K905/VLOOKUP(L905,Camion!A:D, 3, FALSE))</f>
        <v>0</v>
      </c>
      <c r="O905" s="64">
        <f>ROUND(K905/VLOOKUP(L905,Camion!A:D, 3, FALSE) - N905,2)</f>
        <v>0.67</v>
      </c>
      <c r="P905" s="63" t="s">
        <v>129</v>
      </c>
    </row>
    <row r="906" spans="1:16" x14ac:dyDescent="0.25">
      <c r="A906" s="7">
        <v>41</v>
      </c>
      <c r="B906" s="62" t="s">
        <v>185</v>
      </c>
      <c r="C906" s="63" t="s">
        <v>1</v>
      </c>
      <c r="D906" s="63" t="s">
        <v>135</v>
      </c>
      <c r="E906" s="63" t="s">
        <v>78</v>
      </c>
      <c r="F906" s="63" t="s">
        <v>127</v>
      </c>
      <c r="G906" s="63">
        <v>5</v>
      </c>
      <c r="H906" s="63" t="s">
        <v>133</v>
      </c>
      <c r="I906" s="63">
        <f>INDEX(Matériel!A:Z, MATCH(E906, Matériel!A:A, 0), MATCH(H906, INDEX(Matériel!A:Z, MATCH(E906, Matériel!A:A, 0), 0), 0) + 1)</f>
        <v>1</v>
      </c>
      <c r="J906" s="63">
        <f t="shared" si="87"/>
        <v>5</v>
      </c>
      <c r="K906" s="63">
        <f>VLOOKUP(H906,Manutention!A:E, 3, FALSE) * J906</f>
        <v>10</v>
      </c>
      <c r="L906" s="63" t="s">
        <v>165</v>
      </c>
      <c r="M906" s="63">
        <f>ROUNDUP(K906/VLOOKUP(L906,Camion!A:D, 3, FALSE),0)</f>
        <v>1</v>
      </c>
      <c r="N906" s="63">
        <f>INT(K906/VLOOKUP(L906,Camion!A:D, 3, FALSE))</f>
        <v>0</v>
      </c>
      <c r="O906" s="64">
        <f>ROUND(K906/VLOOKUP(L906,Camion!A:D, 3, FALSE) - N906,2)</f>
        <v>0.83</v>
      </c>
      <c r="P906" s="63" t="s">
        <v>129</v>
      </c>
    </row>
    <row r="907" spans="1:16" x14ac:dyDescent="0.25">
      <c r="A907" s="7">
        <v>41</v>
      </c>
      <c r="B907" s="62" t="s">
        <v>185</v>
      </c>
      <c r="C907" s="63" t="s">
        <v>1</v>
      </c>
      <c r="D907" s="63" t="s">
        <v>135</v>
      </c>
      <c r="E907" s="63" t="s">
        <v>79</v>
      </c>
      <c r="F907" s="63" t="s">
        <v>127</v>
      </c>
      <c r="G907" s="63">
        <v>4</v>
      </c>
      <c r="H907" s="63" t="s">
        <v>133</v>
      </c>
      <c r="I907" s="63">
        <f>INDEX(Matériel!A:Z, MATCH(E907, Matériel!A:A, 0), MATCH(H907, INDEX(Matériel!A:Z, MATCH(E907, Matériel!A:A, 0), 0), 0) + 1)</f>
        <v>1</v>
      </c>
      <c r="J907" s="63">
        <f t="shared" si="87"/>
        <v>4</v>
      </c>
      <c r="K907" s="63">
        <f>VLOOKUP(H907,Manutention!A:E, 3, FALSE) * J907</f>
        <v>8</v>
      </c>
      <c r="L907" s="63" t="s">
        <v>164</v>
      </c>
      <c r="M907" s="63">
        <f>ROUNDUP(K907/VLOOKUP(L907,Camion!A:D, 3, FALSE),0)</f>
        <v>1</v>
      </c>
      <c r="N907" s="63">
        <f>INT(K907/VLOOKUP(L907,Camion!A:D, 3, FALSE))</f>
        <v>0</v>
      </c>
      <c r="O907" s="64">
        <f>ROUND(K907/VLOOKUP(L907,Camion!A:D, 3, FALSE) - N907,2)</f>
        <v>0.89</v>
      </c>
      <c r="P907" s="63" t="s">
        <v>129</v>
      </c>
    </row>
    <row r="908" spans="1:16" x14ac:dyDescent="0.25">
      <c r="A908" s="7">
        <v>41</v>
      </c>
      <c r="B908" s="62" t="s">
        <v>185</v>
      </c>
      <c r="C908" s="63" t="s">
        <v>1</v>
      </c>
      <c r="D908" s="63" t="s">
        <v>128</v>
      </c>
      <c r="E908" s="63" t="s">
        <v>80</v>
      </c>
      <c r="F908" s="63" t="s">
        <v>127</v>
      </c>
      <c r="G908" s="63">
        <v>1</v>
      </c>
      <c r="H908" s="63" t="s">
        <v>133</v>
      </c>
      <c r="I908" s="63">
        <f>INDEX(Matériel!A:Z, MATCH(E908, Matériel!A:A, 0), MATCH(H908, INDEX(Matériel!A:Z, MATCH(E908, Matériel!A:A, 0), 0), 0) + 1)</f>
        <v>0.5</v>
      </c>
      <c r="J908" s="63">
        <f t="shared" si="87"/>
        <v>2</v>
      </c>
      <c r="K908" s="63">
        <f>VLOOKUP(H908,Manutention!A:E, 3, FALSE) * J908</f>
        <v>4</v>
      </c>
      <c r="L908" s="63" t="s">
        <v>164</v>
      </c>
      <c r="M908" s="63">
        <f>ROUNDUP(K908/VLOOKUP(L908,Camion!A:D, 3, FALSE),0)</f>
        <v>1</v>
      </c>
      <c r="N908" s="63">
        <f>INT(K908/VLOOKUP(L908,Camion!A:D, 3, FALSE))</f>
        <v>0</v>
      </c>
      <c r="O908" s="64">
        <f>ROUND(K908/VLOOKUP(L908,Camion!A:D, 3, FALSE) - N908,2)</f>
        <v>0.44</v>
      </c>
      <c r="P908" s="63" t="s">
        <v>130</v>
      </c>
    </row>
    <row r="909" spans="1:16" x14ac:dyDescent="0.25">
      <c r="A909" s="7">
        <v>41</v>
      </c>
      <c r="B909" s="62" t="s">
        <v>185</v>
      </c>
      <c r="C909" s="63" t="s">
        <v>1</v>
      </c>
      <c r="D909" s="63" t="s">
        <v>128</v>
      </c>
      <c r="E909" s="63" t="s">
        <v>81</v>
      </c>
      <c r="F909" s="63" t="s">
        <v>127</v>
      </c>
      <c r="G909" s="63">
        <v>5</v>
      </c>
      <c r="H909" s="63" t="s">
        <v>131</v>
      </c>
      <c r="I909" s="63">
        <f>INDEX(Matériel!A:Z, MATCH(E909, Matériel!A:A, 0), MATCH(H909, INDEX(Matériel!A:Z, MATCH(E909, Matériel!A:A, 0), 0), 0) + 1)</f>
        <v>100</v>
      </c>
      <c r="J909" s="63">
        <f t="shared" si="87"/>
        <v>1</v>
      </c>
      <c r="K909" s="63">
        <f>VLOOKUP(H909,Manutention!A:E, 3, FALSE) * J909</f>
        <v>1</v>
      </c>
      <c r="L909" s="63" t="s">
        <v>164</v>
      </c>
      <c r="M909" s="63">
        <f>ROUNDUP(K909/VLOOKUP(L909,Camion!A:D, 3, FALSE),0)</f>
        <v>1</v>
      </c>
      <c r="N909" s="63">
        <f>INT(K909/VLOOKUP(L909,Camion!A:D, 3, FALSE))</f>
        <v>0</v>
      </c>
      <c r="O909" s="64">
        <f>ROUND(K909/VLOOKUP(L909,Camion!A:D, 3, FALSE) - N909,2)</f>
        <v>0.11</v>
      </c>
      <c r="P909" s="63" t="s">
        <v>130</v>
      </c>
    </row>
    <row r="910" spans="1:16" x14ac:dyDescent="0.25">
      <c r="A910" s="7">
        <v>41</v>
      </c>
      <c r="B910" s="5" t="s">
        <v>185</v>
      </c>
      <c r="C910" s="65"/>
      <c r="D910" s="65"/>
      <c r="E910" s="65" t="s">
        <v>187</v>
      </c>
      <c r="F910" s="65"/>
      <c r="G910" s="65"/>
      <c r="H910" s="65" t="s">
        <v>131</v>
      </c>
      <c r="I910" s="65"/>
      <c r="J910" s="65"/>
      <c r="K910" s="65">
        <f>SUMIFS(K:K, A:A, 41, B:B, "Z3 Z4", P:P, "Oui", D:D, "Production")</f>
        <v>4</v>
      </c>
      <c r="L910" s="65" t="s">
        <v>164</v>
      </c>
      <c r="M910" s="65">
        <f>ROUNDUP(K910/VLOOKUP(L910,Camion!A:D, 3, FALSE),0)</f>
        <v>1</v>
      </c>
      <c r="N910" s="65">
        <f>INT(K910/VLOOKUP(L910,Camion!A:D, 3, FALSE))</f>
        <v>0</v>
      </c>
      <c r="O910" s="66">
        <f>ROUND(K910/VLOOKUP(L910,Camion!A:D, 3, FALSE) - N910,2)</f>
        <v>0.44</v>
      </c>
      <c r="P910" s="65"/>
    </row>
    <row r="911" spans="1:16" x14ac:dyDescent="0.25">
      <c r="A911" s="7">
        <v>41</v>
      </c>
      <c r="B911" s="5" t="s">
        <v>185</v>
      </c>
      <c r="C911" s="65"/>
      <c r="D911" s="65"/>
      <c r="E911" s="65" t="s">
        <v>188</v>
      </c>
      <c r="F911" s="65"/>
      <c r="G911" s="65"/>
      <c r="H911" s="65" t="s">
        <v>131</v>
      </c>
      <c r="I911" s="65"/>
      <c r="J911" s="65"/>
      <c r="K911" s="65">
        <f>SUMIFS(K:K, A:A, 41, B:B, "Z3 Z4", P:P, "Oui", D:D, "Terminaux")</f>
        <v>25</v>
      </c>
      <c r="L911" s="65" t="s">
        <v>168</v>
      </c>
      <c r="M911" s="65">
        <f>ROUNDUP(K911/VLOOKUP(L911,Camion!A:D, 3, FALSE),0)</f>
        <v>1</v>
      </c>
      <c r="N911" s="65">
        <f>INT(K911/VLOOKUP(L911,Camion!A:D, 3, FALSE))</f>
        <v>0</v>
      </c>
      <c r="O911" s="66">
        <f>ROUND(K911/VLOOKUP(L911,Camion!A:D, 3, FALSE) - N911,2)</f>
        <v>0.74</v>
      </c>
      <c r="P911" s="65"/>
    </row>
  </sheetData>
  <autoFilter ref="A1:P911" xr:uid="{00000000-0001-0000-0200-000000000000}"/>
  <conditionalFormatting sqref="P1:P1048576">
    <cfRule type="containsText" dxfId="1" priority="1" stopIfTrue="1" operator="containsText" text="Oui">
      <formula>NOT(ISERROR(SEARCH("Oui",P1)))</formula>
    </cfRule>
    <cfRule type="containsText" dxfId="0" priority="2" stopIfTrue="1" operator="containsText" text="Non">
      <formula>NOT(ISERROR(SEARCH("Non",P1)))</formula>
    </cfRule>
  </conditionalFormatting>
  <conditionalFormatting sqref="O1:O1048576">
    <cfRule type="dataBar" priority="3">
      <dataBar>
        <cfvo type="num" val="0"/>
        <cfvo type="num" val="1"/>
        <color rgb="FF4472C4"/>
      </dataBar>
      <extLst>
        <ext xmlns:x14="http://schemas.microsoft.com/office/spreadsheetml/2009/9/main" uri="{B025F937-C7B1-47D3-B67F-A62EFF666E3E}">
          <x14:id>{A112A764-E5C0-4C65-9B08-842C5DE112D4}</x14:id>
        </ext>
      </extLst>
    </cfRule>
  </conditionalFormatting>
  <dataValidations count="2">
    <dataValidation type="list" allowBlank="1" showInputMessage="1" showErrorMessage="1" sqref="P2 P3 P4 P5 P6 P7 P8 P9 P10 P11 P12 P15 P16 P17 P18 P19 P20 P21 P22 P23 P24 P27 P28 P29 P30 P31 P32 P33 P34 P35 P36 P37 P40 P41 P42 P43 P44 P45 P46 P47 P48 P49 P52 P53 P54 P55 P56 P57 P58 P59 P62 P63 P64 P65 P66 P67 P68 P69 P72 P73 P74 P75 P76 P77 P78 P79 P82 P83 P84 P85 P86 P87 P88 P89 P92 P93 P94 P95 P96 P97 P98 P99 P102 P103 P104 P105 P106 P107 P108 P109 P112 P113 P114 P115 P116 P117 P118 P119 P122 P123 P124 P125 P126 P127 P128 P129 P132 P133 P134 P135 P136 P137 P138 P139 P142 P143 P144 P145 P146 P147 P148 P149 P152 P153 P154 P155 P156 P157 P158 P159 P162 P163 P164 P165 P166 P167 P168 P169 P172 P173 P174 P175 P176 P177 P178 P179 P182 P183 P184 P185 P186 P187 P188 P189 P192 P193 P194 P195 P196 P197 P198 P199 P202 P203 P204 P205 P206 P207 P208 P209 P212 P213 P214 P215 P216 P217 P218 P219 P222 P223 P224 P225 P226 P227 P228 P229 P232 P233 P234 P235 P236 P237 P238 P239 P242 P243 P244 P245 P246 P247 P248 P249 P252 P253 P254 P255 P256 P257 P258 P259 P262 P263 P264 P265 P266 P267 P268 P269 P272 P273 P274 P275 P276 P277 P278 P279 P282 P283 P284 P285 P286 P287 P288 P289 P292 P293 P294 P295 P296 P297 P298 P299 P302 P303 P304 P305 P306 P307 P308 P309 P312 P313 P314 P315 P316 P317 P318 P319 P322 P323 P324 P325 P326 P327 P328 P329 P332 P333 P334 P335 P336 P337 P338 P339 P342 P343 P344 P345 P346 P347 P348 P349 P352 P353 P354 P355 P356 P357 P358 P359 P362 P363 P364 P365 P366 P367 P368 P369 P372 P373 P374 P375 P376 P377 P378 P379 P382 P383 P384 P385 P386 P387 P388 P389 P392 P393 P394 P395 P396 P397 P398 P399 P402 P403 P404 P405 P406 P407 P408 P409 P412 P413 P414 P415 P416 P417 P418 P419 P422 P423 P424 P425 P426 P427 P428 P429 P432 P433 P434 P435 P436 P437 P438 P439 P442 P443 P444 P445 P446 P447 P448 P449 P452 P453 P454 P455 P456 P457 P458 P459 P462 P463 P464 P465 P466 P467 P468 P469 P472 P473 P474 P475 P476 P477 P478 P479 P482 P483 P484 P485 P486 P487 P488 P489 P492 P493 P494 P495 P496 P497 P498 P499 P502 P503 P504 P505 P506 P507 P508 P509 P512 P513 P514 P515 P516 P517 P518 P519 P522 P523 P524 P525 P526 P527 P528 P529 P532 P533 P534 P535 P536 P537 P538 P539 P542 P543 P544 P545 P546 P547 P548 P549 P552 P553 P554 P555 P556 P557 P558 P559 P562 P563 P564 P565 P566 P567 P568 P569 P572 P573 P574 P575 P576 P577 P578 P579 P582 P583 P584 P585 P586 P587 P588 P589 P592 P593 P594 P595 P596 P597 P598 P599 P602 P603 P604 P605 P606 P607 P608 P609 P612 P613 P614 P615 P616 P617 P618 P619 P622 P623 P624 P625 P626 P627 P628 P629 P632 P633 P634 P635 P636 P637 P638 P639 P642 P643 P644 P645 P646 P647 P648 P649 P652 P653 P654 P655 P656 P657 P658 P659 P662 P663 P664 P665 P666 P667 P668 P669 P672 P673 P674 P675 P676 P677 P678 P679 P682 P683 P684 P685 P686 P687 P688 P689 P692 P693 P694 P695 P696 P697 P698 P699 P702 P703 P704 P705 P706 P707 P708 P709 P712 P713 P714 P715 P716 P717 P718 P719 P720 P721 P722 P725 P726 P727 P728 P729 P730 P731 P732 P733 P734 P735 P738 P739 P740 P741 P742 P743 P744 P745 P748 P749 P750 P751 P752 P753 P754 P755 P758 P759 P760 P761 P762 P763 P764 P765 P768 P769 P770 P771 P772 P773 P774 P775 P778 P779 P780 P781 P782 P783 P784 P785 P788 P789 P790 P791 P792 P793 P794 P795 P798 P799 P800 P801 P802 P803 P804 P805 P808 P809 P810 P811 P812 P813 P814 P815 P818 P819 P820 P821 P822 P823 P824 P825 P828 P829 P830 P831 P832 P833 P834 P835 P838 P839 P840 P841 P842 P843 P844 P845 P846 P847 P850 P851 P852 P853 P854 P855 P856 P857 P858 P859 P862 P863 P864 P865 P866 P867 P868 P869 P870 P871 P872 P875 P876 P877 P878 P879 P880 P881 P882 P883 P884 P887 P888 P889 P890 P891 P892 P893 P894 P895 P896 P897 P900 P901 P902 P903 P904 P905 P906 P907 P908 P909" xr:uid="{00000000-0002-0000-0200-000000000000}">
      <formula1>"Oui,Non"</formula1>
    </dataValidation>
    <dataValidation type="list" allowBlank="1" showInputMessage="1" showErrorMessage="1" sqref="L2 L3 L4 L5 L6 L7 L8 L9 L10 L11 L12 L15 L16 L17 L18 L19 L20 L21 L22 L23 L24 L27 L28 L29 L30 L31 L32 L33 L34 L35 L36 L37 L40 L41 L42 L43 L44 L45 L46 L47 L48 L49 L52 L53 L54 L55 L56 L57 L58 L59 L62 L63 L64 L65 L66 L67 L68 L69 L72 L73 L74 L75 L76 L77 L78 L79 L82 L83 L84 L85 L86 L87 L88 L89 L92 L93 L94 L95 L96 L97 L98 L99 L102 L103 L104 L105 L106 L107 L108 L109 L112 L113 L114 L115 L116 L117 L118 L119 L122 L123 L124 L125 L126 L127 L128 L129 L132 L133 L134 L135 L136 L137 L138 L139 L142 L143 L144 L145 L146 L147 L148 L149 L152 L153 L154 L155 L156 L157 L158 L159 L162 L163 L164 L165 L166 L167 L168 L169 L172 L173 L174 L175 L176 L177 L178 L179 L182 L183 L184 L185 L186 L187 L188 L189 L192 L193 L194 L195 L196 L197 L198 L199 L202 L203 L204 L205 L206 L207 L208 L209 L212 L213 L214 L215 L216 L217 L218 L219 L222 L223 L224 L225 L226 L227 L228 L229 L232 L233 L234 L235 L236 L237 L238 L239 L242 L243 L244 L245 L246 L247 L248 L249 L252 L253 L254 L255 L256 L257 L258 L259 L262 L263 L264 L265 L266 L267 L268 L269 L272 L273 L274 L275 L276 L277 L278 L279 L282 L283 L284 L285 L286 L287 L288 L289 L292 L293 L294 L295 L296 L297 L298 L299 L302 L303 L304 L305 L306 L307 L308 L309 L312 L313 L314 L315 L316 L317 L318 L319 L322 L323 L324 L325 L326 L327 L328 L329 L332 L333 L334 L335 L336 L337 L338 L339 L342 L343 L344 L345 L346 L347 L348 L349 L352 L353 L354 L355 L356 L357 L358 L359 L362 L363 L364 L365 L366 L367 L368 L369 L372 L373 L374 L375 L376 L377 L378 L379 L382 L383 L384 L385 L386 L387 L388 L389 L392 L393 L394 L395 L396 L397 L398 L399 L402 L403 L404 L405 L406 L407 L408 L409 L412 L413 L414 L415 L416 L417 L418 L419 L422 L423 L424 L425 L426 L427 L428 L429 L432 L433 L434 L435 L436 L437 L438 L439 L442 L443 L444 L445 L446 L447 L448 L449 L452 L453 L454 L455 L456 L457 L458 L459 L462 L463 L464 L465 L466 L467 L468 L469 L472 L473 L474 L475 L476 L477 L478 L479 L482 L483 L484 L485 L486 L487 L488 L489 L492 L493 L494 L495 L496 L497 L498 L499 L502 L503 L504 L505 L506 L507 L508 L509 L512 L513 L514 L515 L516 L517 L518 L519 L522 L523 L524 L525 L526 L527 L528 L529 L532 L533 L534 L535 L536 L537 L538 L539 L542 L543 L544 L545 L546 L547 L548 L549 L552 L553 L554 L555 L556 L557 L558 L559 L562 L563 L564 L565 L566 L567 L568 L569 L572 L573 L574 L575 L576 L577 L578 L579 L582 L583 L584 L585 L586 L587 L588 L589 L592 L593 L594 L595 L596 L597 L598 L599 L602 L603 L604 L605 L606 L607 L608 L609 L612 L613 L614 L615 L616 L617 L618 L619 L622 L623 L624 L625 L626 L627 L628 L629 L632 L633 L634 L635 L636 L637 L638 L639 L642 L643 L644 L645 L646 L647 L648 L649 L652 L653 L654 L655 L656 L657 L658 L659 L662 L663 L664 L665 L666 L667 L668 L669 L672 L673 L674 L675 L676 L677 L678 L679 L682 L683 L684 L685 L686 L687 L688 L689 L692 L693 L694 L695 L696 L697 L698 L699 L702 L703 L704 L705 L706 L707 L708 L709 L712 L713 L714 L715 L716 L717 L718 L719 L720 L721 L722 L725 L726 L727 L728 L729 L730 L731 L732 L733 L734 L735 L738 L739 L740 L741 L742 L743 L744 L745 L748 L749 L750 L751 L752 L753 L754 L755 L758 L759 L760 L761 L762 L763 L764 L765 L768 L769 L770 L771 L772 L773 L774 L775 L778 L779 L780 L781 L782 L783 L784 L785 L788 L789 L790 L791 L792 L793 L794 L795 L798 L799 L800 L801 L802 L803 L804 L805 L808 L809 L810 L811 L812 L813 L814 L815 L818 L819 L820 L821 L822 L823 L824 L825 L828 L829 L830 L831 L832 L833 L834 L835 L838 L839 L840 L841 L842 L843 L844 L845 L846 L847 L850 L851 L852 L853 L854 L855 L856 L857 L858 L859 L862 L863 L864 L865 L866 L867 L868 L869 L870 L871 L872 L875 L876 L877 L878 L879 L880 L881 L882 L883 L884 L887 L888 L889 L890 L891 L892 L893 L894 L895 L896 L897 L900 L901 L902 L903 L904 L905 L906 L907 L908 L909" xr:uid="{A0A29368-575E-4830-8ED1-A615569AFBE9}">
      <formula1>"Camion 20-22 m3,Camion 30 m3,Porteur 12 tonnes,Porteur 19 tonnes,Semi-remorque 90 m3"</formula1>
    </dataValidation>
  </dataValidations>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CreerBilanZones">
                <anchor moveWithCells="1" sizeWithCells="1">
                  <from>
                    <xdr:col>16</xdr:col>
                    <xdr:colOff>200025</xdr:colOff>
                    <xdr:row>0</xdr:row>
                    <xdr:rowOff>171450</xdr:rowOff>
                  </from>
                  <to>
                    <xdr:col>18</xdr:col>
                    <xdr:colOff>9525</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A112A764-E5C0-4C65-9B08-842C5DE112D4}">
            <x14:dataBar minLength="0" maxLength="100" gradient="0" negativeBarColorSameAsPositive="1" axisPosition="none">
              <x14:cfvo type="num">
                <xm:f>0</xm:f>
              </x14:cfvo>
              <x14:cfvo type="num">
                <xm:f>1</xm:f>
              </x14:cfvo>
            </x14:dataBar>
          </x14:cfRule>
          <xm:sqref>O1:O1048576</xm:sqref>
        </x14:conditionalFormatting>
      </x14:conditionalFormattings>
    </ext>
    <ext xmlns:x14="http://schemas.microsoft.com/office/spreadsheetml/2009/9/main" uri="{CCE6A557-97BC-4b89-ADB6-D9C93CAAB3DF}">
      <x14:dataValidations xmlns:xm="http://schemas.microsoft.com/office/excel/2006/main" count="910">
        <x14:dataValidation type="list" allowBlank="1" showInputMessage="1" showErrorMessage="1" xr:uid="{A863D45C-42BF-4AB1-8EC3-32CD16370C8B}">
          <x14:formula1>
            <xm:f>Manutention!A2:A11</xm:f>
          </x14:formula1>
          <xm:sqref>H2</xm:sqref>
        </x14:dataValidation>
        <x14:dataValidation type="list" allowBlank="1" showInputMessage="1" showErrorMessage="1" xr:uid="{5A60B477-ADD0-491A-AD93-B2D1F375D5E2}">
          <x14:formula1>
            <xm:f>Manutention!A2:A11</xm:f>
          </x14:formula1>
          <xm:sqref>H3</xm:sqref>
        </x14:dataValidation>
        <x14:dataValidation type="list" allowBlank="1" showInputMessage="1" showErrorMessage="1" xr:uid="{745DE6C7-D51E-413F-BD1A-BF653D99FA9E}">
          <x14:formula1>
            <xm:f>Manutention!A2:A11</xm:f>
          </x14:formula1>
          <xm:sqref>H4</xm:sqref>
        </x14:dataValidation>
        <x14:dataValidation type="list" allowBlank="1" showInputMessage="1" showErrorMessage="1" xr:uid="{8A5D6368-7B10-483E-96DD-B70E680D1046}">
          <x14:formula1>
            <xm:f>Manutention!A2:A11</xm:f>
          </x14:formula1>
          <xm:sqref>H5</xm:sqref>
        </x14:dataValidation>
        <x14:dataValidation type="list" allowBlank="1" showInputMessage="1" showErrorMessage="1" xr:uid="{2763A03A-4662-4E04-BD3A-12A4A1A0108B}">
          <x14:formula1>
            <xm:f>Manutention!A2:A11</xm:f>
          </x14:formula1>
          <xm:sqref>H6</xm:sqref>
        </x14:dataValidation>
        <x14:dataValidation type="list" allowBlank="1" showInputMessage="1" showErrorMessage="1" xr:uid="{682EABC6-BE4D-4BD4-BF19-BB5B5774E34F}">
          <x14:formula1>
            <xm:f>Manutention!A2:A11</xm:f>
          </x14:formula1>
          <xm:sqref>H7</xm:sqref>
        </x14:dataValidation>
        <x14:dataValidation type="list" allowBlank="1" showInputMessage="1" showErrorMessage="1" xr:uid="{9D026A81-7209-4A3B-97AA-1E98C5D8DB5D}">
          <x14:formula1>
            <xm:f>Manutention!A2:A11</xm:f>
          </x14:formula1>
          <xm:sqref>H8</xm:sqref>
        </x14:dataValidation>
        <x14:dataValidation type="list" allowBlank="1" showInputMessage="1" showErrorMessage="1" xr:uid="{69D83313-CC62-4E35-A02C-7AF39545E238}">
          <x14:formula1>
            <xm:f>Manutention!A2:A11</xm:f>
          </x14:formula1>
          <xm:sqref>H9</xm:sqref>
        </x14:dataValidation>
        <x14:dataValidation type="list" allowBlank="1" showInputMessage="1" showErrorMessage="1" xr:uid="{4756B10C-3725-47BE-97AF-83DD93AE2FF0}">
          <x14:formula1>
            <xm:f>Manutention!A2:A11</xm:f>
          </x14:formula1>
          <xm:sqref>H10</xm:sqref>
        </x14:dataValidation>
        <x14:dataValidation type="list" allowBlank="1" showInputMessage="1" showErrorMessage="1" xr:uid="{F56FEBF0-D7D2-4468-9A75-1D4C7829AAA0}">
          <x14:formula1>
            <xm:f>Manutention!A2:A11</xm:f>
          </x14:formula1>
          <xm:sqref>H11</xm:sqref>
        </x14:dataValidation>
        <x14:dataValidation type="list" allowBlank="1" showInputMessage="1" showErrorMessage="1" xr:uid="{D831AD65-838D-4B88-8B28-B5957F0B0782}">
          <x14:formula1>
            <xm:f>Manutention!A2:A11</xm:f>
          </x14:formula1>
          <xm:sqref>H12</xm:sqref>
        </x14:dataValidation>
        <x14:dataValidation type="list" allowBlank="1" showInputMessage="1" showErrorMessage="1" xr:uid="{390EC736-FA60-4F47-B29D-103A43906AAB}">
          <x14:formula1>
            <xm:f>Camion!A2:A11</xm:f>
          </x14:formula1>
          <xm:sqref>L13</xm:sqref>
        </x14:dataValidation>
        <x14:dataValidation type="list" allowBlank="1" showInputMessage="1" showErrorMessage="1" xr:uid="{05653C9E-FD06-4955-A7DA-C636E0EFD528}">
          <x14:formula1>
            <xm:f>Camion!A2:A11</xm:f>
          </x14:formula1>
          <xm:sqref>L14</xm:sqref>
        </x14:dataValidation>
        <x14:dataValidation type="list" allowBlank="1" showInputMessage="1" showErrorMessage="1" xr:uid="{EDCE2872-D2FF-45E8-B330-146522FCF581}">
          <x14:formula1>
            <xm:f>Manutention!A2:A11</xm:f>
          </x14:formula1>
          <xm:sqref>H15</xm:sqref>
        </x14:dataValidation>
        <x14:dataValidation type="list" allowBlank="1" showInputMessage="1" showErrorMessage="1" xr:uid="{43CEF321-936D-4B6F-9737-932F1CF38358}">
          <x14:formula1>
            <xm:f>Manutention!A2:A11</xm:f>
          </x14:formula1>
          <xm:sqref>H16</xm:sqref>
        </x14:dataValidation>
        <x14:dataValidation type="list" allowBlank="1" showInputMessage="1" showErrorMessage="1" xr:uid="{BC66F943-A270-4760-9FA6-D067E71E479A}">
          <x14:formula1>
            <xm:f>Manutention!A2:A11</xm:f>
          </x14:formula1>
          <xm:sqref>H17</xm:sqref>
        </x14:dataValidation>
        <x14:dataValidation type="list" allowBlank="1" showInputMessage="1" showErrorMessage="1" xr:uid="{A7378F25-199A-48D6-8070-8AA122E9057B}">
          <x14:formula1>
            <xm:f>Manutention!A2:A11</xm:f>
          </x14:formula1>
          <xm:sqref>H18</xm:sqref>
        </x14:dataValidation>
        <x14:dataValidation type="list" allowBlank="1" showInputMessage="1" showErrorMessage="1" xr:uid="{5D61F9ED-A4DE-49FA-9BDE-F6E1108767DC}">
          <x14:formula1>
            <xm:f>Manutention!A2:A11</xm:f>
          </x14:formula1>
          <xm:sqref>H19</xm:sqref>
        </x14:dataValidation>
        <x14:dataValidation type="list" allowBlank="1" showInputMessage="1" showErrorMessage="1" xr:uid="{E2716CB3-A600-48BE-B465-2A0A057451D8}">
          <x14:formula1>
            <xm:f>Manutention!A2:A11</xm:f>
          </x14:formula1>
          <xm:sqref>H20</xm:sqref>
        </x14:dataValidation>
        <x14:dataValidation type="list" allowBlank="1" showInputMessage="1" showErrorMessage="1" xr:uid="{A04346AF-5D56-4631-8ABA-E8BE84034E9E}">
          <x14:formula1>
            <xm:f>Manutention!A2:A11</xm:f>
          </x14:formula1>
          <xm:sqref>H21</xm:sqref>
        </x14:dataValidation>
        <x14:dataValidation type="list" allowBlank="1" showInputMessage="1" showErrorMessage="1" xr:uid="{202991AE-D140-48AF-BDA7-CEDFFA89F24A}">
          <x14:formula1>
            <xm:f>Manutention!A2:A11</xm:f>
          </x14:formula1>
          <xm:sqref>H22</xm:sqref>
        </x14:dataValidation>
        <x14:dataValidation type="list" allowBlank="1" showInputMessage="1" showErrorMessage="1" xr:uid="{63299FFF-75F8-4EF5-B28A-E7FC92B3DB34}">
          <x14:formula1>
            <xm:f>Manutention!A2:A11</xm:f>
          </x14:formula1>
          <xm:sqref>H23</xm:sqref>
        </x14:dataValidation>
        <x14:dataValidation type="list" allowBlank="1" showInputMessage="1" showErrorMessage="1" xr:uid="{70B8E38D-FF90-493D-8CB2-CA3EA5A64AA7}">
          <x14:formula1>
            <xm:f>Manutention!A2:A11</xm:f>
          </x14:formula1>
          <xm:sqref>H24</xm:sqref>
        </x14:dataValidation>
        <x14:dataValidation type="list" allowBlank="1" showInputMessage="1" showErrorMessage="1" xr:uid="{A9FF12AE-0F82-4466-9DDF-57A8881C8B42}">
          <x14:formula1>
            <xm:f>Camion!A2:A11</xm:f>
          </x14:formula1>
          <xm:sqref>L25</xm:sqref>
        </x14:dataValidation>
        <x14:dataValidation type="list" allowBlank="1" showInputMessage="1" showErrorMessage="1" xr:uid="{A2B6FF14-B613-4191-B3AC-DAB17C659C20}">
          <x14:formula1>
            <xm:f>Camion!A2:A11</xm:f>
          </x14:formula1>
          <xm:sqref>L26</xm:sqref>
        </x14:dataValidation>
        <x14:dataValidation type="list" allowBlank="1" showInputMessage="1" showErrorMessage="1" xr:uid="{6652A2D9-1542-4784-9F84-64E6D913D9A0}">
          <x14:formula1>
            <xm:f>Manutention!A2:A11</xm:f>
          </x14:formula1>
          <xm:sqref>H27</xm:sqref>
        </x14:dataValidation>
        <x14:dataValidation type="list" allowBlank="1" showInputMessage="1" showErrorMessage="1" xr:uid="{E0007C4A-633B-42E6-80D4-2B7AB3F8E3E5}">
          <x14:formula1>
            <xm:f>Manutention!A2:A11</xm:f>
          </x14:formula1>
          <xm:sqref>H28</xm:sqref>
        </x14:dataValidation>
        <x14:dataValidation type="list" allowBlank="1" showInputMessage="1" showErrorMessage="1" xr:uid="{0E66A13B-C913-4F53-8DC8-21562F89C405}">
          <x14:formula1>
            <xm:f>Manutention!A2:A11</xm:f>
          </x14:formula1>
          <xm:sqref>H29</xm:sqref>
        </x14:dataValidation>
        <x14:dataValidation type="list" allowBlank="1" showInputMessage="1" showErrorMessage="1" xr:uid="{7C57E87C-DC90-45E1-A54A-25351E60699F}">
          <x14:formula1>
            <xm:f>Manutention!A2:A11</xm:f>
          </x14:formula1>
          <xm:sqref>H30</xm:sqref>
        </x14:dataValidation>
        <x14:dataValidation type="list" allowBlank="1" showInputMessage="1" showErrorMessage="1" xr:uid="{E18FAD08-2B3A-4146-AB14-57D94DE11AF9}">
          <x14:formula1>
            <xm:f>Manutention!A2:A11</xm:f>
          </x14:formula1>
          <xm:sqref>H31</xm:sqref>
        </x14:dataValidation>
        <x14:dataValidation type="list" allowBlank="1" showInputMessage="1" showErrorMessage="1" xr:uid="{9E4FC341-EBCF-443A-B547-CC568A55E5AF}">
          <x14:formula1>
            <xm:f>Manutention!A2:A11</xm:f>
          </x14:formula1>
          <xm:sqref>H32</xm:sqref>
        </x14:dataValidation>
        <x14:dataValidation type="list" allowBlank="1" showInputMessage="1" showErrorMessage="1" xr:uid="{6AC6F6E2-EAE5-468A-9A0D-6AC72A7CEC65}">
          <x14:formula1>
            <xm:f>Manutention!A2:A11</xm:f>
          </x14:formula1>
          <xm:sqref>H33</xm:sqref>
        </x14:dataValidation>
        <x14:dataValidation type="list" allowBlank="1" showInputMessage="1" showErrorMessage="1" xr:uid="{C5FFB895-98C4-4F8F-834F-B8D0659046E6}">
          <x14:formula1>
            <xm:f>Manutention!A2:A11</xm:f>
          </x14:formula1>
          <xm:sqref>H34</xm:sqref>
        </x14:dataValidation>
        <x14:dataValidation type="list" allowBlank="1" showInputMessage="1" showErrorMessage="1" xr:uid="{977939ED-BB0B-4EDB-B41E-D5BAC77F7E29}">
          <x14:formula1>
            <xm:f>Manutention!A2:A11</xm:f>
          </x14:formula1>
          <xm:sqref>H35</xm:sqref>
        </x14:dataValidation>
        <x14:dataValidation type="list" allowBlank="1" showInputMessage="1" showErrorMessage="1" xr:uid="{4482B7F8-1C16-4C87-B982-2C5579F9868B}">
          <x14:formula1>
            <xm:f>Manutention!A2:A11</xm:f>
          </x14:formula1>
          <xm:sqref>H36</xm:sqref>
        </x14:dataValidation>
        <x14:dataValidation type="list" allowBlank="1" showInputMessage="1" showErrorMessage="1" xr:uid="{535AA75F-99C0-43D6-9532-75A4ACED5596}">
          <x14:formula1>
            <xm:f>Manutention!A2:A11</xm:f>
          </x14:formula1>
          <xm:sqref>H37</xm:sqref>
        </x14:dataValidation>
        <x14:dataValidation type="list" allowBlank="1" showInputMessage="1" showErrorMessage="1" xr:uid="{4F1C47F6-F067-45E8-BFA4-E1483FC9AC0F}">
          <x14:formula1>
            <xm:f>Camion!A2:A11</xm:f>
          </x14:formula1>
          <xm:sqref>L38</xm:sqref>
        </x14:dataValidation>
        <x14:dataValidation type="list" allowBlank="1" showInputMessage="1" showErrorMessage="1" xr:uid="{C79EF949-D419-4719-8680-C634FBD0E1AE}">
          <x14:formula1>
            <xm:f>Camion!A2:A11</xm:f>
          </x14:formula1>
          <xm:sqref>L39</xm:sqref>
        </x14:dataValidation>
        <x14:dataValidation type="list" allowBlank="1" showInputMessage="1" showErrorMessage="1" xr:uid="{1617F0EC-A7F5-4239-AC52-A0BF13484B8E}">
          <x14:formula1>
            <xm:f>Manutention!A2:A11</xm:f>
          </x14:formula1>
          <xm:sqref>H40</xm:sqref>
        </x14:dataValidation>
        <x14:dataValidation type="list" allowBlank="1" showInputMessage="1" showErrorMessage="1" xr:uid="{D573E034-2F75-4552-BFBB-513346920167}">
          <x14:formula1>
            <xm:f>Manutention!A2:A11</xm:f>
          </x14:formula1>
          <xm:sqref>H41</xm:sqref>
        </x14:dataValidation>
        <x14:dataValidation type="list" allowBlank="1" showInputMessage="1" showErrorMessage="1" xr:uid="{384E4AAD-70F1-4988-A5D3-EEBE220EB627}">
          <x14:formula1>
            <xm:f>Manutention!A2:A11</xm:f>
          </x14:formula1>
          <xm:sqref>H42</xm:sqref>
        </x14:dataValidation>
        <x14:dataValidation type="list" allowBlank="1" showInputMessage="1" showErrorMessage="1" xr:uid="{394990B6-02CE-451A-AE59-A27ABB568972}">
          <x14:formula1>
            <xm:f>Manutention!A2:A11</xm:f>
          </x14:formula1>
          <xm:sqref>H43</xm:sqref>
        </x14:dataValidation>
        <x14:dataValidation type="list" allowBlank="1" showInputMessage="1" showErrorMessage="1" xr:uid="{6C0DE4F7-ADF4-401D-B6F7-12CDCE1A6F82}">
          <x14:formula1>
            <xm:f>Manutention!A2:A11</xm:f>
          </x14:formula1>
          <xm:sqref>H44</xm:sqref>
        </x14:dataValidation>
        <x14:dataValidation type="list" allowBlank="1" showInputMessage="1" showErrorMessage="1" xr:uid="{082C0AA2-4450-4F3B-AA92-8B482B39FFD2}">
          <x14:formula1>
            <xm:f>Manutention!A2:A11</xm:f>
          </x14:formula1>
          <xm:sqref>H45</xm:sqref>
        </x14:dataValidation>
        <x14:dataValidation type="list" allowBlank="1" showInputMessage="1" showErrorMessage="1" xr:uid="{1E71EF06-7E56-48D8-BD02-0F4EEA6E6C63}">
          <x14:formula1>
            <xm:f>Manutention!A2:A11</xm:f>
          </x14:formula1>
          <xm:sqref>H46</xm:sqref>
        </x14:dataValidation>
        <x14:dataValidation type="list" allowBlank="1" showInputMessage="1" showErrorMessage="1" xr:uid="{2E2AB3DD-7531-4FF6-B08C-746853E58544}">
          <x14:formula1>
            <xm:f>Manutention!A2:A11</xm:f>
          </x14:formula1>
          <xm:sqref>H47</xm:sqref>
        </x14:dataValidation>
        <x14:dataValidation type="list" allowBlank="1" showInputMessage="1" showErrorMessage="1" xr:uid="{9CDC6232-8F27-4DE7-A38E-370A05BC05C0}">
          <x14:formula1>
            <xm:f>Manutention!A2:A11</xm:f>
          </x14:formula1>
          <xm:sqref>H48</xm:sqref>
        </x14:dataValidation>
        <x14:dataValidation type="list" allowBlank="1" showInputMessage="1" showErrorMessage="1" xr:uid="{B28E53D9-CE7F-4F92-A60A-4C2BBEE26C48}">
          <x14:formula1>
            <xm:f>Manutention!A2:A11</xm:f>
          </x14:formula1>
          <xm:sqref>H49</xm:sqref>
        </x14:dataValidation>
        <x14:dataValidation type="list" allowBlank="1" showInputMessage="1" showErrorMessage="1" xr:uid="{6CFB9AE2-6CD4-41F9-AFB6-E83307928483}">
          <x14:formula1>
            <xm:f>Camion!A2:A11</xm:f>
          </x14:formula1>
          <xm:sqref>L50</xm:sqref>
        </x14:dataValidation>
        <x14:dataValidation type="list" allowBlank="1" showInputMessage="1" showErrorMessage="1" xr:uid="{6CA9B477-DD98-45C1-9639-A3E4D0B035C9}">
          <x14:formula1>
            <xm:f>Camion!A2:A11</xm:f>
          </x14:formula1>
          <xm:sqref>L51</xm:sqref>
        </x14:dataValidation>
        <x14:dataValidation type="list" allowBlank="1" showInputMessage="1" showErrorMessage="1" xr:uid="{5D0B540F-CD96-4983-9EBD-CC490E1B5A02}">
          <x14:formula1>
            <xm:f>Manutention!A2:A11</xm:f>
          </x14:formula1>
          <xm:sqref>H52</xm:sqref>
        </x14:dataValidation>
        <x14:dataValidation type="list" allowBlank="1" showInputMessage="1" showErrorMessage="1" xr:uid="{A6C08D7C-14DF-4F4A-A415-D3173C0D9066}">
          <x14:formula1>
            <xm:f>Manutention!A2:A11</xm:f>
          </x14:formula1>
          <xm:sqref>H53</xm:sqref>
        </x14:dataValidation>
        <x14:dataValidation type="list" allowBlank="1" showInputMessage="1" showErrorMessage="1" xr:uid="{81F4B028-BF96-4D40-A972-4390F349A4E2}">
          <x14:formula1>
            <xm:f>Manutention!A2:A11</xm:f>
          </x14:formula1>
          <xm:sqref>H54</xm:sqref>
        </x14:dataValidation>
        <x14:dataValidation type="list" allowBlank="1" showInputMessage="1" showErrorMessage="1" xr:uid="{D73EF43F-35DC-4E5B-9546-BBC76148C46A}">
          <x14:formula1>
            <xm:f>Manutention!A2:A11</xm:f>
          </x14:formula1>
          <xm:sqref>H55</xm:sqref>
        </x14:dataValidation>
        <x14:dataValidation type="list" allowBlank="1" showInputMessage="1" showErrorMessage="1" xr:uid="{40D0384B-BB2A-4437-A629-186BC27714EB}">
          <x14:formula1>
            <xm:f>Manutention!A2:A11</xm:f>
          </x14:formula1>
          <xm:sqref>H56</xm:sqref>
        </x14:dataValidation>
        <x14:dataValidation type="list" allowBlank="1" showInputMessage="1" showErrorMessage="1" xr:uid="{21A2FECD-342C-44B2-97BB-FB2AE78D83AB}">
          <x14:formula1>
            <xm:f>Manutention!A2:A11</xm:f>
          </x14:formula1>
          <xm:sqref>H57</xm:sqref>
        </x14:dataValidation>
        <x14:dataValidation type="list" allowBlank="1" showInputMessage="1" showErrorMessage="1" xr:uid="{A0C75AA1-D43A-4B48-9D3D-98DC7A0288E1}">
          <x14:formula1>
            <xm:f>Manutention!A2:A11</xm:f>
          </x14:formula1>
          <xm:sqref>H58</xm:sqref>
        </x14:dataValidation>
        <x14:dataValidation type="list" allowBlank="1" showInputMessage="1" showErrorMessage="1" xr:uid="{1B6CE431-72E5-4396-BECD-5238204E1A3D}">
          <x14:formula1>
            <xm:f>Manutention!A2:A11</xm:f>
          </x14:formula1>
          <xm:sqref>H59</xm:sqref>
        </x14:dataValidation>
        <x14:dataValidation type="list" allowBlank="1" showInputMessage="1" showErrorMessage="1" xr:uid="{EDCBDA64-CCBC-4BBC-8456-A47837D61AA4}">
          <x14:formula1>
            <xm:f>Camion!A2:A11</xm:f>
          </x14:formula1>
          <xm:sqref>L60</xm:sqref>
        </x14:dataValidation>
        <x14:dataValidation type="list" allowBlank="1" showInputMessage="1" showErrorMessage="1" xr:uid="{8368E33B-60D4-4717-B4F8-E7CA5DD26BB2}">
          <x14:formula1>
            <xm:f>Camion!A2:A11</xm:f>
          </x14:formula1>
          <xm:sqref>L61</xm:sqref>
        </x14:dataValidation>
        <x14:dataValidation type="list" allowBlank="1" showInputMessage="1" showErrorMessage="1" xr:uid="{FCBF9B81-9C16-40CA-851E-6CB4BE27BBCF}">
          <x14:formula1>
            <xm:f>Manutention!A2:A11</xm:f>
          </x14:formula1>
          <xm:sqref>H62</xm:sqref>
        </x14:dataValidation>
        <x14:dataValidation type="list" allowBlank="1" showInputMessage="1" showErrorMessage="1" xr:uid="{06B08504-39A2-4F2B-A740-1C2EBB158E04}">
          <x14:formula1>
            <xm:f>Manutention!A2:A11</xm:f>
          </x14:formula1>
          <xm:sqref>H63</xm:sqref>
        </x14:dataValidation>
        <x14:dataValidation type="list" allowBlank="1" showInputMessage="1" showErrorMessage="1" xr:uid="{76AACF33-62F7-485E-946A-B4F0E0F088EA}">
          <x14:formula1>
            <xm:f>Manutention!A2:A11</xm:f>
          </x14:formula1>
          <xm:sqref>H64</xm:sqref>
        </x14:dataValidation>
        <x14:dataValidation type="list" allowBlank="1" showInputMessage="1" showErrorMessage="1" xr:uid="{A561C01E-1061-42FD-BE23-D660B99D4D2C}">
          <x14:formula1>
            <xm:f>Manutention!A2:A11</xm:f>
          </x14:formula1>
          <xm:sqref>H65</xm:sqref>
        </x14:dataValidation>
        <x14:dataValidation type="list" allowBlank="1" showInputMessage="1" showErrorMessage="1" xr:uid="{E920EC14-E6E0-48AE-A819-6083BEF97F9C}">
          <x14:formula1>
            <xm:f>Manutention!A2:A11</xm:f>
          </x14:formula1>
          <xm:sqref>H66</xm:sqref>
        </x14:dataValidation>
        <x14:dataValidation type="list" allowBlank="1" showInputMessage="1" showErrorMessage="1" xr:uid="{CCD790D3-3F55-4D5C-8C73-F94629F790C2}">
          <x14:formula1>
            <xm:f>Manutention!A2:A11</xm:f>
          </x14:formula1>
          <xm:sqref>H67</xm:sqref>
        </x14:dataValidation>
        <x14:dataValidation type="list" allowBlank="1" showInputMessage="1" showErrorMessage="1" xr:uid="{A9A93070-1206-4EB5-9B21-B6EDB115B854}">
          <x14:formula1>
            <xm:f>Manutention!A2:A11</xm:f>
          </x14:formula1>
          <xm:sqref>H68</xm:sqref>
        </x14:dataValidation>
        <x14:dataValidation type="list" allowBlank="1" showInputMessage="1" showErrorMessage="1" xr:uid="{D426628D-0D16-489B-A22E-E0584DEABC23}">
          <x14:formula1>
            <xm:f>Manutention!A2:A11</xm:f>
          </x14:formula1>
          <xm:sqref>H69</xm:sqref>
        </x14:dataValidation>
        <x14:dataValidation type="list" allowBlank="1" showInputMessage="1" showErrorMessage="1" xr:uid="{324A8F95-214F-4CA5-B809-F3FEE73A3EAA}">
          <x14:formula1>
            <xm:f>Camion!A2:A11</xm:f>
          </x14:formula1>
          <xm:sqref>L70</xm:sqref>
        </x14:dataValidation>
        <x14:dataValidation type="list" allowBlank="1" showInputMessage="1" showErrorMessage="1" xr:uid="{90758291-B826-4243-B641-4C265EC540F7}">
          <x14:formula1>
            <xm:f>Camion!A2:A11</xm:f>
          </x14:formula1>
          <xm:sqref>L71</xm:sqref>
        </x14:dataValidation>
        <x14:dataValidation type="list" allowBlank="1" showInputMessage="1" showErrorMessage="1" xr:uid="{1EE6B615-C95E-46A2-A645-FCAC65F3215A}">
          <x14:formula1>
            <xm:f>Manutention!A2:A11</xm:f>
          </x14:formula1>
          <xm:sqref>H72</xm:sqref>
        </x14:dataValidation>
        <x14:dataValidation type="list" allowBlank="1" showInputMessage="1" showErrorMessage="1" xr:uid="{655CB5D1-F1EC-4EDC-A6F7-92CAC825B25B}">
          <x14:formula1>
            <xm:f>Manutention!A2:A11</xm:f>
          </x14:formula1>
          <xm:sqref>H73</xm:sqref>
        </x14:dataValidation>
        <x14:dataValidation type="list" allowBlank="1" showInputMessage="1" showErrorMessage="1" xr:uid="{6B5A4E8E-BF56-442F-A067-B8B5672E48B6}">
          <x14:formula1>
            <xm:f>Manutention!A2:A11</xm:f>
          </x14:formula1>
          <xm:sqref>H74</xm:sqref>
        </x14:dataValidation>
        <x14:dataValidation type="list" allowBlank="1" showInputMessage="1" showErrorMessage="1" xr:uid="{7C6C1B32-D674-4CB6-9DAD-3B48C0504151}">
          <x14:formula1>
            <xm:f>Manutention!A2:A11</xm:f>
          </x14:formula1>
          <xm:sqref>H75</xm:sqref>
        </x14:dataValidation>
        <x14:dataValidation type="list" allowBlank="1" showInputMessage="1" showErrorMessage="1" xr:uid="{889C70CE-0A4D-42AD-8370-8A4F4285A4F3}">
          <x14:formula1>
            <xm:f>Manutention!A2:A11</xm:f>
          </x14:formula1>
          <xm:sqref>H76</xm:sqref>
        </x14:dataValidation>
        <x14:dataValidation type="list" allowBlank="1" showInputMessage="1" showErrorMessage="1" xr:uid="{FC62FA2C-3107-49FA-85EC-4D430A05F467}">
          <x14:formula1>
            <xm:f>Manutention!A2:A11</xm:f>
          </x14:formula1>
          <xm:sqref>H77</xm:sqref>
        </x14:dataValidation>
        <x14:dataValidation type="list" allowBlank="1" showInputMessage="1" showErrorMessage="1" xr:uid="{CC32559F-0154-4A09-83B8-4BE46BB0BFC2}">
          <x14:formula1>
            <xm:f>Manutention!A2:A11</xm:f>
          </x14:formula1>
          <xm:sqref>H78</xm:sqref>
        </x14:dataValidation>
        <x14:dataValidation type="list" allowBlank="1" showInputMessage="1" showErrorMessage="1" xr:uid="{991909A5-934A-4DB3-9141-C2B46F078ADE}">
          <x14:formula1>
            <xm:f>Manutention!A2:A11</xm:f>
          </x14:formula1>
          <xm:sqref>H79</xm:sqref>
        </x14:dataValidation>
        <x14:dataValidation type="list" allowBlank="1" showInputMessage="1" showErrorMessage="1" xr:uid="{EA4E359D-47C8-4F9D-875E-CCCE93449E94}">
          <x14:formula1>
            <xm:f>Camion!A2:A11</xm:f>
          </x14:formula1>
          <xm:sqref>L80</xm:sqref>
        </x14:dataValidation>
        <x14:dataValidation type="list" allowBlank="1" showInputMessage="1" showErrorMessage="1" xr:uid="{37822C34-BDF7-40F2-984C-F2D25D6EDA0F}">
          <x14:formula1>
            <xm:f>Camion!A2:A11</xm:f>
          </x14:formula1>
          <xm:sqref>L81</xm:sqref>
        </x14:dataValidation>
        <x14:dataValidation type="list" allowBlank="1" showInputMessage="1" showErrorMessage="1" xr:uid="{D7A1BB70-A6A0-4AF6-839C-DE6CE9AB5B93}">
          <x14:formula1>
            <xm:f>Manutention!A2:A11</xm:f>
          </x14:formula1>
          <xm:sqref>H82</xm:sqref>
        </x14:dataValidation>
        <x14:dataValidation type="list" allowBlank="1" showInputMessage="1" showErrorMessage="1" xr:uid="{5CF86CCA-06BE-4863-976D-A5B5E5A7C302}">
          <x14:formula1>
            <xm:f>Manutention!A2:A11</xm:f>
          </x14:formula1>
          <xm:sqref>H83</xm:sqref>
        </x14:dataValidation>
        <x14:dataValidation type="list" allowBlank="1" showInputMessage="1" showErrorMessage="1" xr:uid="{BF14BBB4-6F60-48FC-9866-FF390346B8AB}">
          <x14:formula1>
            <xm:f>Manutention!A2:A11</xm:f>
          </x14:formula1>
          <xm:sqref>H84</xm:sqref>
        </x14:dataValidation>
        <x14:dataValidation type="list" allowBlank="1" showInputMessage="1" showErrorMessage="1" xr:uid="{593390C0-8555-4752-ABB7-82AD3C2B9F94}">
          <x14:formula1>
            <xm:f>Manutention!A2:A11</xm:f>
          </x14:formula1>
          <xm:sqref>H85</xm:sqref>
        </x14:dataValidation>
        <x14:dataValidation type="list" allowBlank="1" showInputMessage="1" showErrorMessage="1" xr:uid="{B7FCCEDE-4DBB-404F-A0B6-34E330D8DF30}">
          <x14:formula1>
            <xm:f>Manutention!A2:A11</xm:f>
          </x14:formula1>
          <xm:sqref>H86</xm:sqref>
        </x14:dataValidation>
        <x14:dataValidation type="list" allowBlank="1" showInputMessage="1" showErrorMessage="1" xr:uid="{59BE4F63-89A6-458A-A1B2-7A6D19740462}">
          <x14:formula1>
            <xm:f>Manutention!A2:A11</xm:f>
          </x14:formula1>
          <xm:sqref>H87</xm:sqref>
        </x14:dataValidation>
        <x14:dataValidation type="list" allowBlank="1" showInputMessage="1" showErrorMessage="1" xr:uid="{11F29FD1-67FC-47C7-A002-C37AB1812508}">
          <x14:formula1>
            <xm:f>Manutention!A2:A11</xm:f>
          </x14:formula1>
          <xm:sqref>H88</xm:sqref>
        </x14:dataValidation>
        <x14:dataValidation type="list" allowBlank="1" showInputMessage="1" showErrorMessage="1" xr:uid="{8C4C79F6-BEBF-45BB-85C7-35FCABB41FBA}">
          <x14:formula1>
            <xm:f>Manutention!A2:A11</xm:f>
          </x14:formula1>
          <xm:sqref>H89</xm:sqref>
        </x14:dataValidation>
        <x14:dataValidation type="list" allowBlank="1" showInputMessage="1" showErrorMessage="1" xr:uid="{7C5E3637-C4A2-4963-88B2-7C2A4FC8173E}">
          <x14:formula1>
            <xm:f>Camion!A2:A11</xm:f>
          </x14:formula1>
          <xm:sqref>L90</xm:sqref>
        </x14:dataValidation>
        <x14:dataValidation type="list" allowBlank="1" showInputMessage="1" showErrorMessage="1" xr:uid="{C59B0A25-3D79-4E8E-9DDD-22828846E7E3}">
          <x14:formula1>
            <xm:f>Camion!A2:A11</xm:f>
          </x14:formula1>
          <xm:sqref>L91</xm:sqref>
        </x14:dataValidation>
        <x14:dataValidation type="list" allowBlank="1" showInputMessage="1" showErrorMessage="1" xr:uid="{1D69EFE5-D8CF-4B9E-A64A-D9E87CCC4FDA}">
          <x14:formula1>
            <xm:f>Manutention!A2:A11</xm:f>
          </x14:formula1>
          <xm:sqref>H92</xm:sqref>
        </x14:dataValidation>
        <x14:dataValidation type="list" allowBlank="1" showInputMessage="1" showErrorMessage="1" xr:uid="{31CD28DB-DB9F-4394-9141-CA26F1C97918}">
          <x14:formula1>
            <xm:f>Manutention!A2:A11</xm:f>
          </x14:formula1>
          <xm:sqref>H93</xm:sqref>
        </x14:dataValidation>
        <x14:dataValidation type="list" allowBlank="1" showInputMessage="1" showErrorMessage="1" xr:uid="{50BF5C4F-5F3A-489B-8F95-5E7370A2DA18}">
          <x14:formula1>
            <xm:f>Manutention!A2:A11</xm:f>
          </x14:formula1>
          <xm:sqref>H94</xm:sqref>
        </x14:dataValidation>
        <x14:dataValidation type="list" allowBlank="1" showInputMessage="1" showErrorMessage="1" xr:uid="{B2AE0864-A7FF-4E35-BECE-CA3A2BCC6FDE}">
          <x14:formula1>
            <xm:f>Manutention!A2:A11</xm:f>
          </x14:formula1>
          <xm:sqref>H95</xm:sqref>
        </x14:dataValidation>
        <x14:dataValidation type="list" allowBlank="1" showInputMessage="1" showErrorMessage="1" xr:uid="{D85747A8-AEBF-41F8-93E4-F94DCFE78C09}">
          <x14:formula1>
            <xm:f>Manutention!A2:A11</xm:f>
          </x14:formula1>
          <xm:sqref>H96</xm:sqref>
        </x14:dataValidation>
        <x14:dataValidation type="list" allowBlank="1" showInputMessage="1" showErrorMessage="1" xr:uid="{799CD115-2F10-4C15-8AB6-9684AC3D7F39}">
          <x14:formula1>
            <xm:f>Manutention!A2:A11</xm:f>
          </x14:formula1>
          <xm:sqref>H97</xm:sqref>
        </x14:dataValidation>
        <x14:dataValidation type="list" allowBlank="1" showInputMessage="1" showErrorMessage="1" xr:uid="{C7424865-58C4-4C7B-96A0-62CD94FDF7B7}">
          <x14:formula1>
            <xm:f>Manutention!A2:A11</xm:f>
          </x14:formula1>
          <xm:sqref>H98</xm:sqref>
        </x14:dataValidation>
        <x14:dataValidation type="list" allowBlank="1" showInputMessage="1" showErrorMessage="1" xr:uid="{EB770D18-A250-4D5B-9B7D-223205F9867D}">
          <x14:formula1>
            <xm:f>Manutention!A2:A11</xm:f>
          </x14:formula1>
          <xm:sqref>H99</xm:sqref>
        </x14:dataValidation>
        <x14:dataValidation type="list" allowBlank="1" showInputMessage="1" showErrorMessage="1" xr:uid="{14B542B5-CF93-4FBC-A923-EEAD77B422DB}">
          <x14:formula1>
            <xm:f>Camion!A2:A11</xm:f>
          </x14:formula1>
          <xm:sqref>L100</xm:sqref>
        </x14:dataValidation>
        <x14:dataValidation type="list" allowBlank="1" showInputMessage="1" showErrorMessage="1" xr:uid="{E82642FB-EA20-4263-B97E-853D6E7D8D31}">
          <x14:formula1>
            <xm:f>Camion!A2:A11</xm:f>
          </x14:formula1>
          <xm:sqref>L101</xm:sqref>
        </x14:dataValidation>
        <x14:dataValidation type="list" allowBlank="1" showInputMessage="1" showErrorMessage="1" xr:uid="{4E12992E-DD4C-4D22-9BD1-9F12F51B11FB}">
          <x14:formula1>
            <xm:f>Manutention!A2:A11</xm:f>
          </x14:formula1>
          <xm:sqref>H102</xm:sqref>
        </x14:dataValidation>
        <x14:dataValidation type="list" allowBlank="1" showInputMessage="1" showErrorMessage="1" xr:uid="{DEBC7D42-0975-4F97-924B-1305F1923BF1}">
          <x14:formula1>
            <xm:f>Manutention!A2:A11</xm:f>
          </x14:formula1>
          <xm:sqref>H103</xm:sqref>
        </x14:dataValidation>
        <x14:dataValidation type="list" allowBlank="1" showInputMessage="1" showErrorMessage="1" xr:uid="{404C5A87-DD4B-4E92-8DD5-FF67924A9710}">
          <x14:formula1>
            <xm:f>Manutention!A2:A11</xm:f>
          </x14:formula1>
          <xm:sqref>H104</xm:sqref>
        </x14:dataValidation>
        <x14:dataValidation type="list" allowBlank="1" showInputMessage="1" showErrorMessage="1" xr:uid="{77894C70-C69A-4336-94A5-1B463DC2E2FB}">
          <x14:formula1>
            <xm:f>Manutention!A2:A11</xm:f>
          </x14:formula1>
          <xm:sqref>H105</xm:sqref>
        </x14:dataValidation>
        <x14:dataValidation type="list" allowBlank="1" showInputMessage="1" showErrorMessage="1" xr:uid="{227C36BB-C430-468F-A4FA-4763BC35A555}">
          <x14:formula1>
            <xm:f>Manutention!A2:A11</xm:f>
          </x14:formula1>
          <xm:sqref>H106</xm:sqref>
        </x14:dataValidation>
        <x14:dataValidation type="list" allowBlank="1" showInputMessage="1" showErrorMessage="1" xr:uid="{64E1ED91-CDED-4A50-BEED-646CBDB0B4EA}">
          <x14:formula1>
            <xm:f>Manutention!A2:A11</xm:f>
          </x14:formula1>
          <xm:sqref>H107</xm:sqref>
        </x14:dataValidation>
        <x14:dataValidation type="list" allowBlank="1" showInputMessage="1" showErrorMessage="1" xr:uid="{99843DBD-A725-4BAC-81BF-3DA126B0276E}">
          <x14:formula1>
            <xm:f>Manutention!A2:A11</xm:f>
          </x14:formula1>
          <xm:sqref>H108</xm:sqref>
        </x14:dataValidation>
        <x14:dataValidation type="list" allowBlank="1" showInputMessage="1" showErrorMessage="1" xr:uid="{EA263F11-445C-4EB4-AA6F-9D9505AF7DA8}">
          <x14:formula1>
            <xm:f>Manutention!A2:A11</xm:f>
          </x14:formula1>
          <xm:sqref>H109</xm:sqref>
        </x14:dataValidation>
        <x14:dataValidation type="list" allowBlank="1" showInputMessage="1" showErrorMessage="1" xr:uid="{726113A2-C149-4578-9136-5FF0F12BACA2}">
          <x14:formula1>
            <xm:f>Camion!A2:A11</xm:f>
          </x14:formula1>
          <xm:sqref>L110</xm:sqref>
        </x14:dataValidation>
        <x14:dataValidation type="list" allowBlank="1" showInputMessage="1" showErrorMessage="1" xr:uid="{506BF513-E39E-4A9A-83F0-17E1B3302123}">
          <x14:formula1>
            <xm:f>Camion!A2:A11</xm:f>
          </x14:formula1>
          <xm:sqref>L111</xm:sqref>
        </x14:dataValidation>
        <x14:dataValidation type="list" allowBlank="1" showInputMessage="1" showErrorMessage="1" xr:uid="{2ABA319D-A43F-43A1-AFD7-07294BFACB40}">
          <x14:formula1>
            <xm:f>Manutention!A2:A11</xm:f>
          </x14:formula1>
          <xm:sqref>H112</xm:sqref>
        </x14:dataValidation>
        <x14:dataValidation type="list" allowBlank="1" showInputMessage="1" showErrorMessage="1" xr:uid="{A47A256F-781D-488A-947C-0C5EA3EE6920}">
          <x14:formula1>
            <xm:f>Manutention!A2:A11</xm:f>
          </x14:formula1>
          <xm:sqref>H113</xm:sqref>
        </x14:dataValidation>
        <x14:dataValidation type="list" allowBlank="1" showInputMessage="1" showErrorMessage="1" xr:uid="{16E021A5-A987-4E00-89CB-696440A040E3}">
          <x14:formula1>
            <xm:f>Manutention!A2:A11</xm:f>
          </x14:formula1>
          <xm:sqref>H114</xm:sqref>
        </x14:dataValidation>
        <x14:dataValidation type="list" allowBlank="1" showInputMessage="1" showErrorMessage="1" xr:uid="{13E85311-65DF-48EE-8019-20FB1166AE1A}">
          <x14:formula1>
            <xm:f>Manutention!A2:A11</xm:f>
          </x14:formula1>
          <xm:sqref>H115</xm:sqref>
        </x14:dataValidation>
        <x14:dataValidation type="list" allowBlank="1" showInputMessage="1" showErrorMessage="1" xr:uid="{83AB1197-25B4-46C8-A7FA-1AEEAEDE688B}">
          <x14:formula1>
            <xm:f>Manutention!A2:A11</xm:f>
          </x14:formula1>
          <xm:sqref>H116</xm:sqref>
        </x14:dataValidation>
        <x14:dataValidation type="list" allowBlank="1" showInputMessage="1" showErrorMessage="1" xr:uid="{2E79AA63-6818-456F-A6FF-24C790439D14}">
          <x14:formula1>
            <xm:f>Manutention!A2:A11</xm:f>
          </x14:formula1>
          <xm:sqref>H117</xm:sqref>
        </x14:dataValidation>
        <x14:dataValidation type="list" allowBlank="1" showInputMessage="1" showErrorMessage="1" xr:uid="{4279BBD9-4C9A-4254-AB98-8B036A88BE8F}">
          <x14:formula1>
            <xm:f>Manutention!A2:A11</xm:f>
          </x14:formula1>
          <xm:sqref>H118</xm:sqref>
        </x14:dataValidation>
        <x14:dataValidation type="list" allowBlank="1" showInputMessage="1" showErrorMessage="1" xr:uid="{A422A16E-3257-4BF0-BD02-D7C53319700D}">
          <x14:formula1>
            <xm:f>Manutention!A2:A11</xm:f>
          </x14:formula1>
          <xm:sqref>H119</xm:sqref>
        </x14:dataValidation>
        <x14:dataValidation type="list" allowBlank="1" showInputMessage="1" showErrorMessage="1" xr:uid="{42B8CF9F-1D7E-4924-A611-E8B2068607A7}">
          <x14:formula1>
            <xm:f>Camion!A2:A11</xm:f>
          </x14:formula1>
          <xm:sqref>L120</xm:sqref>
        </x14:dataValidation>
        <x14:dataValidation type="list" allowBlank="1" showInputMessage="1" showErrorMessage="1" xr:uid="{BEA91BFD-9708-4E85-AB0B-EC0F1024E6A6}">
          <x14:formula1>
            <xm:f>Camion!A2:A11</xm:f>
          </x14:formula1>
          <xm:sqref>L121</xm:sqref>
        </x14:dataValidation>
        <x14:dataValidation type="list" allowBlank="1" showInputMessage="1" showErrorMessage="1" xr:uid="{AB6F74F6-AF5E-456D-B57A-5E974D2EC114}">
          <x14:formula1>
            <xm:f>Manutention!A2:A11</xm:f>
          </x14:formula1>
          <xm:sqref>H122</xm:sqref>
        </x14:dataValidation>
        <x14:dataValidation type="list" allowBlank="1" showInputMessage="1" showErrorMessage="1" xr:uid="{5F9DC389-2476-4C6A-B43F-51DC13A4E414}">
          <x14:formula1>
            <xm:f>Manutention!A2:A11</xm:f>
          </x14:formula1>
          <xm:sqref>H123</xm:sqref>
        </x14:dataValidation>
        <x14:dataValidation type="list" allowBlank="1" showInputMessage="1" showErrorMessage="1" xr:uid="{3C08FCD7-0570-48B8-A0A5-75D35654EEA8}">
          <x14:formula1>
            <xm:f>Manutention!A2:A11</xm:f>
          </x14:formula1>
          <xm:sqref>H124</xm:sqref>
        </x14:dataValidation>
        <x14:dataValidation type="list" allowBlank="1" showInputMessage="1" showErrorMessage="1" xr:uid="{2152B8CA-711B-44B7-82F8-DCF7830540C8}">
          <x14:formula1>
            <xm:f>Manutention!A2:A11</xm:f>
          </x14:formula1>
          <xm:sqref>H125</xm:sqref>
        </x14:dataValidation>
        <x14:dataValidation type="list" allowBlank="1" showInputMessage="1" showErrorMessage="1" xr:uid="{8009849B-F564-4265-BA81-41CF6CB53608}">
          <x14:formula1>
            <xm:f>Manutention!A2:A11</xm:f>
          </x14:formula1>
          <xm:sqref>H126</xm:sqref>
        </x14:dataValidation>
        <x14:dataValidation type="list" allowBlank="1" showInputMessage="1" showErrorMessage="1" xr:uid="{354DFEE4-0951-4EF9-B0AF-AB432BEC90FF}">
          <x14:formula1>
            <xm:f>Manutention!A2:A11</xm:f>
          </x14:formula1>
          <xm:sqref>H127</xm:sqref>
        </x14:dataValidation>
        <x14:dataValidation type="list" allowBlank="1" showInputMessage="1" showErrorMessage="1" xr:uid="{692DBE39-8D9B-426B-84D7-0C1E3A30C31A}">
          <x14:formula1>
            <xm:f>Manutention!A2:A11</xm:f>
          </x14:formula1>
          <xm:sqref>H128</xm:sqref>
        </x14:dataValidation>
        <x14:dataValidation type="list" allowBlank="1" showInputMessage="1" showErrorMessage="1" xr:uid="{8BE0926D-6F5D-410E-A2BD-D75D972E5E0C}">
          <x14:formula1>
            <xm:f>Manutention!A2:A11</xm:f>
          </x14:formula1>
          <xm:sqref>H129</xm:sqref>
        </x14:dataValidation>
        <x14:dataValidation type="list" allowBlank="1" showInputMessage="1" showErrorMessage="1" xr:uid="{08C84128-BA6C-423B-87E4-2D2CE77EE663}">
          <x14:formula1>
            <xm:f>Camion!A2:A11</xm:f>
          </x14:formula1>
          <xm:sqref>L130</xm:sqref>
        </x14:dataValidation>
        <x14:dataValidation type="list" allowBlank="1" showInputMessage="1" showErrorMessage="1" xr:uid="{78377E59-378D-442F-9D61-034EE1F39FEA}">
          <x14:formula1>
            <xm:f>Camion!A2:A11</xm:f>
          </x14:formula1>
          <xm:sqref>L131</xm:sqref>
        </x14:dataValidation>
        <x14:dataValidation type="list" allowBlank="1" showInputMessage="1" showErrorMessage="1" xr:uid="{DDD476BF-58E3-4C21-9C54-A6A2892654C2}">
          <x14:formula1>
            <xm:f>Manutention!A2:A11</xm:f>
          </x14:formula1>
          <xm:sqref>H132</xm:sqref>
        </x14:dataValidation>
        <x14:dataValidation type="list" allowBlank="1" showInputMessage="1" showErrorMessage="1" xr:uid="{9367AB54-5A8B-45CD-BA4D-7BF7E33C04FB}">
          <x14:formula1>
            <xm:f>Manutention!A2:A11</xm:f>
          </x14:formula1>
          <xm:sqref>H133</xm:sqref>
        </x14:dataValidation>
        <x14:dataValidation type="list" allowBlank="1" showInputMessage="1" showErrorMessage="1" xr:uid="{46407B57-B266-4CEB-AA8E-45288428B176}">
          <x14:formula1>
            <xm:f>Manutention!A2:A11</xm:f>
          </x14:formula1>
          <xm:sqref>H134</xm:sqref>
        </x14:dataValidation>
        <x14:dataValidation type="list" allowBlank="1" showInputMessage="1" showErrorMessage="1" xr:uid="{F175036E-42C5-49D9-B725-005E7850C9D4}">
          <x14:formula1>
            <xm:f>Manutention!A2:A11</xm:f>
          </x14:formula1>
          <xm:sqref>H135</xm:sqref>
        </x14:dataValidation>
        <x14:dataValidation type="list" allowBlank="1" showInputMessage="1" showErrorMessage="1" xr:uid="{B2CE8EE7-D0A6-4056-8D90-41903F1631EE}">
          <x14:formula1>
            <xm:f>Manutention!A2:A11</xm:f>
          </x14:formula1>
          <xm:sqref>H136</xm:sqref>
        </x14:dataValidation>
        <x14:dataValidation type="list" allowBlank="1" showInputMessage="1" showErrorMessage="1" xr:uid="{A340A844-630F-4800-893F-0846DD8A39B6}">
          <x14:formula1>
            <xm:f>Manutention!A2:A11</xm:f>
          </x14:formula1>
          <xm:sqref>H137</xm:sqref>
        </x14:dataValidation>
        <x14:dataValidation type="list" allowBlank="1" showInputMessage="1" showErrorMessage="1" xr:uid="{61398CA2-2A90-41D9-9EE8-20ED31DDB117}">
          <x14:formula1>
            <xm:f>Manutention!A2:A11</xm:f>
          </x14:formula1>
          <xm:sqref>H138</xm:sqref>
        </x14:dataValidation>
        <x14:dataValidation type="list" allowBlank="1" showInputMessage="1" showErrorMessage="1" xr:uid="{84C0EE19-E819-49AA-9A5D-78064FFF4E12}">
          <x14:formula1>
            <xm:f>Manutention!A2:A11</xm:f>
          </x14:formula1>
          <xm:sqref>H139</xm:sqref>
        </x14:dataValidation>
        <x14:dataValidation type="list" allowBlank="1" showInputMessage="1" showErrorMessage="1" xr:uid="{79621381-15E7-4DE9-B208-D2A88F9BA69F}">
          <x14:formula1>
            <xm:f>Camion!A2:A11</xm:f>
          </x14:formula1>
          <xm:sqref>L140</xm:sqref>
        </x14:dataValidation>
        <x14:dataValidation type="list" allowBlank="1" showInputMessage="1" showErrorMessage="1" xr:uid="{65B8D698-CCEB-42FB-827C-534972111033}">
          <x14:formula1>
            <xm:f>Camion!A2:A11</xm:f>
          </x14:formula1>
          <xm:sqref>L141</xm:sqref>
        </x14:dataValidation>
        <x14:dataValidation type="list" allowBlank="1" showInputMessage="1" showErrorMessage="1" xr:uid="{3DB98CEF-BDDF-4F8D-843E-BFB49E3A689A}">
          <x14:formula1>
            <xm:f>Manutention!A2:A11</xm:f>
          </x14:formula1>
          <xm:sqref>H142</xm:sqref>
        </x14:dataValidation>
        <x14:dataValidation type="list" allowBlank="1" showInputMessage="1" showErrorMessage="1" xr:uid="{0FCA90C2-47F2-426F-B6AA-5C4C63C00284}">
          <x14:formula1>
            <xm:f>Manutention!A2:A11</xm:f>
          </x14:formula1>
          <xm:sqref>H143</xm:sqref>
        </x14:dataValidation>
        <x14:dataValidation type="list" allowBlank="1" showInputMessage="1" showErrorMessage="1" xr:uid="{617624E8-C18E-4687-B717-A360859F294F}">
          <x14:formula1>
            <xm:f>Manutention!A2:A11</xm:f>
          </x14:formula1>
          <xm:sqref>H144</xm:sqref>
        </x14:dataValidation>
        <x14:dataValidation type="list" allowBlank="1" showInputMessage="1" showErrorMessage="1" xr:uid="{67C3C861-FC4A-4996-AFC3-32DF7C2983B7}">
          <x14:formula1>
            <xm:f>Manutention!A2:A11</xm:f>
          </x14:formula1>
          <xm:sqref>H145</xm:sqref>
        </x14:dataValidation>
        <x14:dataValidation type="list" allowBlank="1" showInputMessage="1" showErrorMessage="1" xr:uid="{B1655402-3DCC-44E4-9A8C-DB03DD7698EC}">
          <x14:formula1>
            <xm:f>Manutention!A2:A11</xm:f>
          </x14:formula1>
          <xm:sqref>H146</xm:sqref>
        </x14:dataValidation>
        <x14:dataValidation type="list" allowBlank="1" showInputMessage="1" showErrorMessage="1" xr:uid="{9E8C7D38-38A6-4125-BFA0-E19D253E4C52}">
          <x14:formula1>
            <xm:f>Manutention!A2:A11</xm:f>
          </x14:formula1>
          <xm:sqref>H147</xm:sqref>
        </x14:dataValidation>
        <x14:dataValidation type="list" allowBlank="1" showInputMessage="1" showErrorMessage="1" xr:uid="{DE73D5DB-5585-4A4D-9127-8D457EB4B398}">
          <x14:formula1>
            <xm:f>Manutention!A2:A11</xm:f>
          </x14:formula1>
          <xm:sqref>H148</xm:sqref>
        </x14:dataValidation>
        <x14:dataValidation type="list" allowBlank="1" showInputMessage="1" showErrorMessage="1" xr:uid="{AE181E5E-C900-4BB4-BCD6-AFFA4E8C68A6}">
          <x14:formula1>
            <xm:f>Manutention!A2:A11</xm:f>
          </x14:formula1>
          <xm:sqref>H149</xm:sqref>
        </x14:dataValidation>
        <x14:dataValidation type="list" allowBlank="1" showInputMessage="1" showErrorMessage="1" xr:uid="{BF287850-799A-49B9-915D-45D4607EA258}">
          <x14:formula1>
            <xm:f>Camion!A2:A11</xm:f>
          </x14:formula1>
          <xm:sqref>L150</xm:sqref>
        </x14:dataValidation>
        <x14:dataValidation type="list" allowBlank="1" showInputMessage="1" showErrorMessage="1" xr:uid="{35DA3547-2720-4D9C-A643-E90274BCC103}">
          <x14:formula1>
            <xm:f>Camion!A2:A11</xm:f>
          </x14:formula1>
          <xm:sqref>L151</xm:sqref>
        </x14:dataValidation>
        <x14:dataValidation type="list" allowBlank="1" showInputMessage="1" showErrorMessage="1" xr:uid="{328D4D14-D2EC-417E-B753-25557F005A42}">
          <x14:formula1>
            <xm:f>Manutention!A2:A11</xm:f>
          </x14:formula1>
          <xm:sqref>H152</xm:sqref>
        </x14:dataValidation>
        <x14:dataValidation type="list" allowBlank="1" showInputMessage="1" showErrorMessage="1" xr:uid="{F04E2639-B194-43A7-947D-B579174C5C7D}">
          <x14:formula1>
            <xm:f>Manutention!A2:A11</xm:f>
          </x14:formula1>
          <xm:sqref>H153</xm:sqref>
        </x14:dataValidation>
        <x14:dataValidation type="list" allowBlank="1" showInputMessage="1" showErrorMessage="1" xr:uid="{EDCAFFF1-2B50-4237-8555-8D5767DDC012}">
          <x14:formula1>
            <xm:f>Manutention!A2:A11</xm:f>
          </x14:formula1>
          <xm:sqref>H154</xm:sqref>
        </x14:dataValidation>
        <x14:dataValidation type="list" allowBlank="1" showInputMessage="1" showErrorMessage="1" xr:uid="{AA853BD9-F158-4EB8-8187-70D173F30890}">
          <x14:formula1>
            <xm:f>Manutention!A2:A11</xm:f>
          </x14:formula1>
          <xm:sqref>H155</xm:sqref>
        </x14:dataValidation>
        <x14:dataValidation type="list" allowBlank="1" showInputMessage="1" showErrorMessage="1" xr:uid="{659C5187-BA57-47FB-AE78-C12E1FF779CA}">
          <x14:formula1>
            <xm:f>Manutention!A2:A11</xm:f>
          </x14:formula1>
          <xm:sqref>H156</xm:sqref>
        </x14:dataValidation>
        <x14:dataValidation type="list" allowBlank="1" showInputMessage="1" showErrorMessage="1" xr:uid="{DF160D30-F3CA-4EE5-927F-55F506C0ED8F}">
          <x14:formula1>
            <xm:f>Manutention!A2:A11</xm:f>
          </x14:formula1>
          <xm:sqref>H157</xm:sqref>
        </x14:dataValidation>
        <x14:dataValidation type="list" allowBlank="1" showInputMessage="1" showErrorMessage="1" xr:uid="{B0E86D4D-2F1D-4F0B-8FCC-7053E73137B9}">
          <x14:formula1>
            <xm:f>Manutention!A2:A11</xm:f>
          </x14:formula1>
          <xm:sqref>H158</xm:sqref>
        </x14:dataValidation>
        <x14:dataValidation type="list" allowBlank="1" showInputMessage="1" showErrorMessage="1" xr:uid="{5DD4995F-C392-4003-A470-763590ECA86D}">
          <x14:formula1>
            <xm:f>Manutention!A2:A11</xm:f>
          </x14:formula1>
          <xm:sqref>H159</xm:sqref>
        </x14:dataValidation>
        <x14:dataValidation type="list" allowBlank="1" showInputMessage="1" showErrorMessage="1" xr:uid="{7F027610-ECE4-477A-BB7B-0C5C9557E368}">
          <x14:formula1>
            <xm:f>Camion!A2:A11</xm:f>
          </x14:formula1>
          <xm:sqref>L160</xm:sqref>
        </x14:dataValidation>
        <x14:dataValidation type="list" allowBlank="1" showInputMessage="1" showErrorMessage="1" xr:uid="{492818B9-9F55-4DB0-A3B6-29312A2BC082}">
          <x14:formula1>
            <xm:f>Camion!A2:A11</xm:f>
          </x14:formula1>
          <xm:sqref>L161</xm:sqref>
        </x14:dataValidation>
        <x14:dataValidation type="list" allowBlank="1" showInputMessage="1" showErrorMessage="1" xr:uid="{17D8370A-3F6F-4BCD-A5A7-8B8AE780AF45}">
          <x14:formula1>
            <xm:f>Manutention!A2:A11</xm:f>
          </x14:formula1>
          <xm:sqref>H162</xm:sqref>
        </x14:dataValidation>
        <x14:dataValidation type="list" allowBlank="1" showInputMessage="1" showErrorMessage="1" xr:uid="{97EE9219-4326-401F-8B86-3F368B3D9DFB}">
          <x14:formula1>
            <xm:f>Manutention!A2:A11</xm:f>
          </x14:formula1>
          <xm:sqref>H163</xm:sqref>
        </x14:dataValidation>
        <x14:dataValidation type="list" allowBlank="1" showInputMessage="1" showErrorMessage="1" xr:uid="{28977105-DC43-4C62-A0AF-C7344F16F6FD}">
          <x14:formula1>
            <xm:f>Manutention!A2:A11</xm:f>
          </x14:formula1>
          <xm:sqref>H164</xm:sqref>
        </x14:dataValidation>
        <x14:dataValidation type="list" allowBlank="1" showInputMessage="1" showErrorMessage="1" xr:uid="{CB9DA2AF-FB75-4860-AC4A-DD4066AC764F}">
          <x14:formula1>
            <xm:f>Manutention!A2:A11</xm:f>
          </x14:formula1>
          <xm:sqref>H165</xm:sqref>
        </x14:dataValidation>
        <x14:dataValidation type="list" allowBlank="1" showInputMessage="1" showErrorMessage="1" xr:uid="{95683DE6-D5BF-45DE-9056-9A316C128FFF}">
          <x14:formula1>
            <xm:f>Manutention!A2:A11</xm:f>
          </x14:formula1>
          <xm:sqref>H166</xm:sqref>
        </x14:dataValidation>
        <x14:dataValidation type="list" allowBlank="1" showInputMessage="1" showErrorMessage="1" xr:uid="{95650AB2-161A-41F6-A13F-46E506072B0D}">
          <x14:formula1>
            <xm:f>Manutention!A2:A11</xm:f>
          </x14:formula1>
          <xm:sqref>H167</xm:sqref>
        </x14:dataValidation>
        <x14:dataValidation type="list" allowBlank="1" showInputMessage="1" showErrorMessage="1" xr:uid="{2C8AB783-3628-47AB-B3E6-7AC3D80B8977}">
          <x14:formula1>
            <xm:f>Manutention!A2:A11</xm:f>
          </x14:formula1>
          <xm:sqref>H168</xm:sqref>
        </x14:dataValidation>
        <x14:dataValidation type="list" allowBlank="1" showInputMessage="1" showErrorMessage="1" xr:uid="{FAF870F2-1F6F-4C87-88C3-A215AB53E525}">
          <x14:formula1>
            <xm:f>Manutention!A2:A11</xm:f>
          </x14:formula1>
          <xm:sqref>H169</xm:sqref>
        </x14:dataValidation>
        <x14:dataValidation type="list" allowBlank="1" showInputMessage="1" showErrorMessage="1" xr:uid="{B1A541F9-9B14-4503-A5C4-C917BFE2043E}">
          <x14:formula1>
            <xm:f>Camion!A2:A11</xm:f>
          </x14:formula1>
          <xm:sqref>L170</xm:sqref>
        </x14:dataValidation>
        <x14:dataValidation type="list" allowBlank="1" showInputMessage="1" showErrorMessage="1" xr:uid="{542511D3-180E-445E-A967-7E76B942DB8C}">
          <x14:formula1>
            <xm:f>Camion!A2:A11</xm:f>
          </x14:formula1>
          <xm:sqref>L171</xm:sqref>
        </x14:dataValidation>
        <x14:dataValidation type="list" allowBlank="1" showInputMessage="1" showErrorMessage="1" xr:uid="{484D6F36-6AE6-459E-8763-E9B637A337CA}">
          <x14:formula1>
            <xm:f>Manutention!A2:A11</xm:f>
          </x14:formula1>
          <xm:sqref>H172</xm:sqref>
        </x14:dataValidation>
        <x14:dataValidation type="list" allowBlank="1" showInputMessage="1" showErrorMessage="1" xr:uid="{ECF3C0E8-22DB-4663-B334-BFE93E102FDE}">
          <x14:formula1>
            <xm:f>Manutention!A2:A11</xm:f>
          </x14:formula1>
          <xm:sqref>H173</xm:sqref>
        </x14:dataValidation>
        <x14:dataValidation type="list" allowBlank="1" showInputMessage="1" showErrorMessage="1" xr:uid="{BFBC9EF3-2D46-470E-9DC1-A04AF55ADCB2}">
          <x14:formula1>
            <xm:f>Manutention!A2:A11</xm:f>
          </x14:formula1>
          <xm:sqref>H174</xm:sqref>
        </x14:dataValidation>
        <x14:dataValidation type="list" allowBlank="1" showInputMessage="1" showErrorMessage="1" xr:uid="{43A9D291-A9AD-4545-A45D-13652FE24E22}">
          <x14:formula1>
            <xm:f>Manutention!A2:A11</xm:f>
          </x14:formula1>
          <xm:sqref>H175</xm:sqref>
        </x14:dataValidation>
        <x14:dataValidation type="list" allowBlank="1" showInputMessage="1" showErrorMessage="1" xr:uid="{DB287832-1196-41A6-BEAB-AAF227417AC7}">
          <x14:formula1>
            <xm:f>Manutention!A2:A11</xm:f>
          </x14:formula1>
          <xm:sqref>H176</xm:sqref>
        </x14:dataValidation>
        <x14:dataValidation type="list" allowBlank="1" showInputMessage="1" showErrorMessage="1" xr:uid="{7563EEC8-E984-4A1B-B0B1-755AC2451595}">
          <x14:formula1>
            <xm:f>Manutention!A2:A11</xm:f>
          </x14:formula1>
          <xm:sqref>H177</xm:sqref>
        </x14:dataValidation>
        <x14:dataValidation type="list" allowBlank="1" showInputMessage="1" showErrorMessage="1" xr:uid="{C3AA946F-8DCE-4A87-B93A-3A39B21E004D}">
          <x14:formula1>
            <xm:f>Manutention!A2:A11</xm:f>
          </x14:formula1>
          <xm:sqref>H178</xm:sqref>
        </x14:dataValidation>
        <x14:dataValidation type="list" allowBlank="1" showInputMessage="1" showErrorMessage="1" xr:uid="{1DAC3A33-AE98-4060-BD36-9EADE996B7EA}">
          <x14:formula1>
            <xm:f>Manutention!A2:A11</xm:f>
          </x14:formula1>
          <xm:sqref>H179</xm:sqref>
        </x14:dataValidation>
        <x14:dataValidation type="list" allowBlank="1" showInputMessage="1" showErrorMessage="1" xr:uid="{ED0B63B4-FD50-4380-8D34-A0E25AECF324}">
          <x14:formula1>
            <xm:f>Camion!A2:A11</xm:f>
          </x14:formula1>
          <xm:sqref>L180</xm:sqref>
        </x14:dataValidation>
        <x14:dataValidation type="list" allowBlank="1" showInputMessage="1" showErrorMessage="1" xr:uid="{2B2C9F0E-688C-4871-A049-A506ADFE0856}">
          <x14:formula1>
            <xm:f>Camion!A2:A11</xm:f>
          </x14:formula1>
          <xm:sqref>L181</xm:sqref>
        </x14:dataValidation>
        <x14:dataValidation type="list" allowBlank="1" showInputMessage="1" showErrorMessage="1" xr:uid="{030FD8D5-923E-4294-84B3-A5831BD25A58}">
          <x14:formula1>
            <xm:f>Manutention!A2:A11</xm:f>
          </x14:formula1>
          <xm:sqref>H182</xm:sqref>
        </x14:dataValidation>
        <x14:dataValidation type="list" allowBlank="1" showInputMessage="1" showErrorMessage="1" xr:uid="{06BAD702-611B-42A5-A2AB-5F0ECD8AEE19}">
          <x14:formula1>
            <xm:f>Manutention!A2:A11</xm:f>
          </x14:formula1>
          <xm:sqref>H183</xm:sqref>
        </x14:dataValidation>
        <x14:dataValidation type="list" allowBlank="1" showInputMessage="1" showErrorMessage="1" xr:uid="{B6509459-80AD-4031-8CBE-BB5EFEB61A1E}">
          <x14:formula1>
            <xm:f>Manutention!A2:A11</xm:f>
          </x14:formula1>
          <xm:sqref>H184</xm:sqref>
        </x14:dataValidation>
        <x14:dataValidation type="list" allowBlank="1" showInputMessage="1" showErrorMessage="1" xr:uid="{9EED3388-1411-45E7-95CF-CD2F291B0648}">
          <x14:formula1>
            <xm:f>Manutention!A2:A11</xm:f>
          </x14:formula1>
          <xm:sqref>H185</xm:sqref>
        </x14:dataValidation>
        <x14:dataValidation type="list" allowBlank="1" showInputMessage="1" showErrorMessage="1" xr:uid="{B74F8FF8-4EC7-46B7-BEEE-8FF77810DFAC}">
          <x14:formula1>
            <xm:f>Manutention!A2:A11</xm:f>
          </x14:formula1>
          <xm:sqref>H186</xm:sqref>
        </x14:dataValidation>
        <x14:dataValidation type="list" allowBlank="1" showInputMessage="1" showErrorMessage="1" xr:uid="{936E3EF3-1D06-4181-9AB0-D599E6C51A95}">
          <x14:formula1>
            <xm:f>Manutention!A2:A11</xm:f>
          </x14:formula1>
          <xm:sqref>H187</xm:sqref>
        </x14:dataValidation>
        <x14:dataValidation type="list" allowBlank="1" showInputMessage="1" showErrorMessage="1" xr:uid="{43626EFF-569C-4143-848A-CDA34AE51919}">
          <x14:formula1>
            <xm:f>Manutention!A2:A11</xm:f>
          </x14:formula1>
          <xm:sqref>H188</xm:sqref>
        </x14:dataValidation>
        <x14:dataValidation type="list" allowBlank="1" showInputMessage="1" showErrorMessage="1" xr:uid="{4D27F073-F8FD-4B1D-841D-4381C3708E89}">
          <x14:formula1>
            <xm:f>Manutention!A2:A11</xm:f>
          </x14:formula1>
          <xm:sqref>H189</xm:sqref>
        </x14:dataValidation>
        <x14:dataValidation type="list" allowBlank="1" showInputMessage="1" showErrorMessage="1" xr:uid="{D9CF1C4B-BFC7-43F9-A8E0-EFA7EE7D6047}">
          <x14:formula1>
            <xm:f>Camion!A2:A11</xm:f>
          </x14:formula1>
          <xm:sqref>L190</xm:sqref>
        </x14:dataValidation>
        <x14:dataValidation type="list" allowBlank="1" showInputMessage="1" showErrorMessage="1" xr:uid="{4F064DFC-3AF9-4615-9874-4CAD950E845B}">
          <x14:formula1>
            <xm:f>Camion!A2:A11</xm:f>
          </x14:formula1>
          <xm:sqref>L191</xm:sqref>
        </x14:dataValidation>
        <x14:dataValidation type="list" allowBlank="1" showInputMessage="1" showErrorMessage="1" xr:uid="{407D6820-1B20-4B3B-AEFF-4E6B22E93533}">
          <x14:formula1>
            <xm:f>Manutention!A2:A11</xm:f>
          </x14:formula1>
          <xm:sqref>H192</xm:sqref>
        </x14:dataValidation>
        <x14:dataValidation type="list" allowBlank="1" showInputMessage="1" showErrorMessage="1" xr:uid="{DE3BAAE8-EC4C-4F23-8F60-7EF38EAFAEA3}">
          <x14:formula1>
            <xm:f>Manutention!A2:A11</xm:f>
          </x14:formula1>
          <xm:sqref>H193</xm:sqref>
        </x14:dataValidation>
        <x14:dataValidation type="list" allowBlank="1" showInputMessage="1" showErrorMessage="1" xr:uid="{45C2F311-A63F-4CF2-95BF-64E7A2260D46}">
          <x14:formula1>
            <xm:f>Manutention!A2:A11</xm:f>
          </x14:formula1>
          <xm:sqref>H194</xm:sqref>
        </x14:dataValidation>
        <x14:dataValidation type="list" allowBlank="1" showInputMessage="1" showErrorMessage="1" xr:uid="{37102BE3-C5CF-421A-9DC5-4B05F2915E43}">
          <x14:formula1>
            <xm:f>Manutention!A2:A11</xm:f>
          </x14:formula1>
          <xm:sqref>H195</xm:sqref>
        </x14:dataValidation>
        <x14:dataValidation type="list" allowBlank="1" showInputMessage="1" showErrorMessage="1" xr:uid="{4F2E9ADE-2153-4ACB-BF6F-5FE2611C6879}">
          <x14:formula1>
            <xm:f>Manutention!A2:A11</xm:f>
          </x14:formula1>
          <xm:sqref>H196</xm:sqref>
        </x14:dataValidation>
        <x14:dataValidation type="list" allowBlank="1" showInputMessage="1" showErrorMessage="1" xr:uid="{2A15065E-C5BB-4330-A5E6-6199509098C1}">
          <x14:formula1>
            <xm:f>Manutention!A2:A11</xm:f>
          </x14:formula1>
          <xm:sqref>H197</xm:sqref>
        </x14:dataValidation>
        <x14:dataValidation type="list" allowBlank="1" showInputMessage="1" showErrorMessage="1" xr:uid="{E13B2EF8-01BC-4E7F-9DEA-1C9D4FB539E3}">
          <x14:formula1>
            <xm:f>Manutention!A2:A11</xm:f>
          </x14:formula1>
          <xm:sqref>H198</xm:sqref>
        </x14:dataValidation>
        <x14:dataValidation type="list" allowBlank="1" showInputMessage="1" showErrorMessage="1" xr:uid="{31CCB1A4-7E55-47D3-AB33-EEA0155EC464}">
          <x14:formula1>
            <xm:f>Manutention!A2:A11</xm:f>
          </x14:formula1>
          <xm:sqref>H199</xm:sqref>
        </x14:dataValidation>
        <x14:dataValidation type="list" allowBlank="1" showInputMessage="1" showErrorMessage="1" xr:uid="{1705DB2A-EFD3-48C2-8986-BC49D06E5496}">
          <x14:formula1>
            <xm:f>Camion!A2:A11</xm:f>
          </x14:formula1>
          <xm:sqref>L200</xm:sqref>
        </x14:dataValidation>
        <x14:dataValidation type="list" allowBlank="1" showInputMessage="1" showErrorMessage="1" xr:uid="{4B6A5EEB-7C66-4C83-A418-39AA19744661}">
          <x14:formula1>
            <xm:f>Camion!A2:A11</xm:f>
          </x14:formula1>
          <xm:sqref>L201</xm:sqref>
        </x14:dataValidation>
        <x14:dataValidation type="list" allowBlank="1" showInputMessage="1" showErrorMessage="1" xr:uid="{AA512BC0-6491-4C6D-B031-5033AAEB6185}">
          <x14:formula1>
            <xm:f>Manutention!A2:A11</xm:f>
          </x14:formula1>
          <xm:sqref>H202</xm:sqref>
        </x14:dataValidation>
        <x14:dataValidation type="list" allowBlank="1" showInputMessage="1" showErrorMessage="1" xr:uid="{33FCE15A-4DC9-4523-BD0E-C908959FE107}">
          <x14:formula1>
            <xm:f>Manutention!A2:A11</xm:f>
          </x14:formula1>
          <xm:sqref>H203</xm:sqref>
        </x14:dataValidation>
        <x14:dataValidation type="list" allowBlank="1" showInputMessage="1" showErrorMessage="1" xr:uid="{B8F788DD-BA81-48C9-9BBF-5FE68CA4A1EC}">
          <x14:formula1>
            <xm:f>Manutention!A2:A11</xm:f>
          </x14:formula1>
          <xm:sqref>H204</xm:sqref>
        </x14:dataValidation>
        <x14:dataValidation type="list" allowBlank="1" showInputMessage="1" showErrorMessage="1" xr:uid="{B212D96C-E3FB-4B5C-8DD3-A631E005BCB7}">
          <x14:formula1>
            <xm:f>Manutention!A2:A11</xm:f>
          </x14:formula1>
          <xm:sqref>H205</xm:sqref>
        </x14:dataValidation>
        <x14:dataValidation type="list" allowBlank="1" showInputMessage="1" showErrorMessage="1" xr:uid="{893890DD-E58F-4650-A276-12F5DB5A2A59}">
          <x14:formula1>
            <xm:f>Manutention!A2:A11</xm:f>
          </x14:formula1>
          <xm:sqref>H206</xm:sqref>
        </x14:dataValidation>
        <x14:dataValidation type="list" allowBlank="1" showInputMessage="1" showErrorMessage="1" xr:uid="{AF523E56-ADFF-4AFD-8D74-EA3E614AE183}">
          <x14:formula1>
            <xm:f>Manutention!A2:A11</xm:f>
          </x14:formula1>
          <xm:sqref>H207</xm:sqref>
        </x14:dataValidation>
        <x14:dataValidation type="list" allowBlank="1" showInputMessage="1" showErrorMessage="1" xr:uid="{60EFED20-1461-4A3F-8471-289420FD99DC}">
          <x14:formula1>
            <xm:f>Manutention!A2:A11</xm:f>
          </x14:formula1>
          <xm:sqref>H208</xm:sqref>
        </x14:dataValidation>
        <x14:dataValidation type="list" allowBlank="1" showInputMessage="1" showErrorMessage="1" xr:uid="{4EA82406-907D-4957-9568-83E5CA89202D}">
          <x14:formula1>
            <xm:f>Manutention!A2:A11</xm:f>
          </x14:formula1>
          <xm:sqref>H209</xm:sqref>
        </x14:dataValidation>
        <x14:dataValidation type="list" allowBlank="1" showInputMessage="1" showErrorMessage="1" xr:uid="{50E285C7-5DBF-4B9D-9DC6-7EB42DF97639}">
          <x14:formula1>
            <xm:f>Camion!A2:A11</xm:f>
          </x14:formula1>
          <xm:sqref>L210</xm:sqref>
        </x14:dataValidation>
        <x14:dataValidation type="list" allowBlank="1" showInputMessage="1" showErrorMessage="1" xr:uid="{18A9901E-93DF-4F7A-95B7-044020B491C7}">
          <x14:formula1>
            <xm:f>Camion!A2:A11</xm:f>
          </x14:formula1>
          <xm:sqref>L211</xm:sqref>
        </x14:dataValidation>
        <x14:dataValidation type="list" allowBlank="1" showInputMessage="1" showErrorMessage="1" xr:uid="{89DCDB69-0E45-486B-AE69-D7E8355436A1}">
          <x14:formula1>
            <xm:f>Manutention!A2:A11</xm:f>
          </x14:formula1>
          <xm:sqref>H212</xm:sqref>
        </x14:dataValidation>
        <x14:dataValidation type="list" allowBlank="1" showInputMessage="1" showErrorMessage="1" xr:uid="{1CD2EAB0-9379-4D3D-B5EF-50AA93D0934E}">
          <x14:formula1>
            <xm:f>Manutention!A2:A11</xm:f>
          </x14:formula1>
          <xm:sqref>H213</xm:sqref>
        </x14:dataValidation>
        <x14:dataValidation type="list" allowBlank="1" showInputMessage="1" showErrorMessage="1" xr:uid="{D7D7A404-CAA0-43C2-A730-EF197E1FDDC4}">
          <x14:formula1>
            <xm:f>Manutention!A2:A11</xm:f>
          </x14:formula1>
          <xm:sqref>H214</xm:sqref>
        </x14:dataValidation>
        <x14:dataValidation type="list" allowBlank="1" showInputMessage="1" showErrorMessage="1" xr:uid="{6926074F-4F8A-45B5-A4B9-A8096B004548}">
          <x14:formula1>
            <xm:f>Manutention!A2:A11</xm:f>
          </x14:formula1>
          <xm:sqref>H215</xm:sqref>
        </x14:dataValidation>
        <x14:dataValidation type="list" allowBlank="1" showInputMessage="1" showErrorMessage="1" xr:uid="{C14F3AB3-9F1F-4CE6-8EAC-50E175F171AD}">
          <x14:formula1>
            <xm:f>Manutention!A2:A11</xm:f>
          </x14:formula1>
          <xm:sqref>H216</xm:sqref>
        </x14:dataValidation>
        <x14:dataValidation type="list" allowBlank="1" showInputMessage="1" showErrorMessage="1" xr:uid="{395EF9B2-EE20-40C8-BF70-70C9CE918765}">
          <x14:formula1>
            <xm:f>Manutention!A2:A11</xm:f>
          </x14:formula1>
          <xm:sqref>H217</xm:sqref>
        </x14:dataValidation>
        <x14:dataValidation type="list" allowBlank="1" showInputMessage="1" showErrorMessage="1" xr:uid="{77BE5C26-ABCE-4C43-8728-1D27B79B3BDE}">
          <x14:formula1>
            <xm:f>Manutention!A2:A11</xm:f>
          </x14:formula1>
          <xm:sqref>H218</xm:sqref>
        </x14:dataValidation>
        <x14:dataValidation type="list" allowBlank="1" showInputMessage="1" showErrorMessage="1" xr:uid="{3555A841-1A86-4E33-AED8-E00600932FA4}">
          <x14:formula1>
            <xm:f>Manutention!A2:A11</xm:f>
          </x14:formula1>
          <xm:sqref>H219</xm:sqref>
        </x14:dataValidation>
        <x14:dataValidation type="list" allowBlank="1" showInputMessage="1" showErrorMessage="1" xr:uid="{8951DD93-2B31-4CBD-900A-C0F28DEC3B6F}">
          <x14:formula1>
            <xm:f>Camion!A2:A11</xm:f>
          </x14:formula1>
          <xm:sqref>L220</xm:sqref>
        </x14:dataValidation>
        <x14:dataValidation type="list" allowBlank="1" showInputMessage="1" showErrorMessage="1" xr:uid="{391B4139-B281-4B47-A9D8-FA9F0CBFF782}">
          <x14:formula1>
            <xm:f>Camion!A2:A11</xm:f>
          </x14:formula1>
          <xm:sqref>L221</xm:sqref>
        </x14:dataValidation>
        <x14:dataValidation type="list" allowBlank="1" showInputMessage="1" showErrorMessage="1" xr:uid="{69525B52-02D6-41A8-AD83-7988C87ED137}">
          <x14:formula1>
            <xm:f>Manutention!A2:A11</xm:f>
          </x14:formula1>
          <xm:sqref>H222</xm:sqref>
        </x14:dataValidation>
        <x14:dataValidation type="list" allowBlank="1" showInputMessage="1" showErrorMessage="1" xr:uid="{33DB63BD-1415-49C3-9FAF-2181147EFEDB}">
          <x14:formula1>
            <xm:f>Manutention!A2:A11</xm:f>
          </x14:formula1>
          <xm:sqref>H223</xm:sqref>
        </x14:dataValidation>
        <x14:dataValidation type="list" allowBlank="1" showInputMessage="1" showErrorMessage="1" xr:uid="{70CF43C9-E607-4916-99CD-BE680B3DDF70}">
          <x14:formula1>
            <xm:f>Manutention!A2:A11</xm:f>
          </x14:formula1>
          <xm:sqref>H224</xm:sqref>
        </x14:dataValidation>
        <x14:dataValidation type="list" allowBlank="1" showInputMessage="1" showErrorMessage="1" xr:uid="{A6CC65E6-4FBF-4576-BAE8-A611B9DA3019}">
          <x14:formula1>
            <xm:f>Manutention!A2:A11</xm:f>
          </x14:formula1>
          <xm:sqref>H225</xm:sqref>
        </x14:dataValidation>
        <x14:dataValidation type="list" allowBlank="1" showInputMessage="1" showErrorMessage="1" xr:uid="{F6ACAD4D-9895-432D-AFAF-1109639B7EFE}">
          <x14:formula1>
            <xm:f>Manutention!A2:A11</xm:f>
          </x14:formula1>
          <xm:sqref>H226</xm:sqref>
        </x14:dataValidation>
        <x14:dataValidation type="list" allowBlank="1" showInputMessage="1" showErrorMessage="1" xr:uid="{81212769-F82C-4CFA-BB6A-B4B0E0F72DC6}">
          <x14:formula1>
            <xm:f>Manutention!A2:A11</xm:f>
          </x14:formula1>
          <xm:sqref>H227</xm:sqref>
        </x14:dataValidation>
        <x14:dataValidation type="list" allowBlank="1" showInputMessage="1" showErrorMessage="1" xr:uid="{C4AAEAE0-2D77-4512-9ABB-2464A81436CB}">
          <x14:formula1>
            <xm:f>Manutention!A2:A11</xm:f>
          </x14:formula1>
          <xm:sqref>H228</xm:sqref>
        </x14:dataValidation>
        <x14:dataValidation type="list" allowBlank="1" showInputMessage="1" showErrorMessage="1" xr:uid="{7C47A59E-A707-443B-80F7-52C1321F3283}">
          <x14:formula1>
            <xm:f>Manutention!A2:A11</xm:f>
          </x14:formula1>
          <xm:sqref>H229</xm:sqref>
        </x14:dataValidation>
        <x14:dataValidation type="list" allowBlank="1" showInputMessage="1" showErrorMessage="1" xr:uid="{51A83D53-A779-4915-B2D9-6DFB6D1934E1}">
          <x14:formula1>
            <xm:f>Camion!A2:A11</xm:f>
          </x14:formula1>
          <xm:sqref>L230</xm:sqref>
        </x14:dataValidation>
        <x14:dataValidation type="list" allowBlank="1" showInputMessage="1" showErrorMessage="1" xr:uid="{0772A836-26DA-45A6-B19B-037E8B38CADD}">
          <x14:formula1>
            <xm:f>Camion!A2:A11</xm:f>
          </x14:formula1>
          <xm:sqref>L231</xm:sqref>
        </x14:dataValidation>
        <x14:dataValidation type="list" allowBlank="1" showInputMessage="1" showErrorMessage="1" xr:uid="{932C1861-CA9D-4BE2-AD82-E6BA22EBEAFD}">
          <x14:formula1>
            <xm:f>Manutention!A2:A11</xm:f>
          </x14:formula1>
          <xm:sqref>H232</xm:sqref>
        </x14:dataValidation>
        <x14:dataValidation type="list" allowBlank="1" showInputMessage="1" showErrorMessage="1" xr:uid="{44F7166C-02B8-42A0-882D-B7E4F00042A9}">
          <x14:formula1>
            <xm:f>Manutention!A2:A11</xm:f>
          </x14:formula1>
          <xm:sqref>H233</xm:sqref>
        </x14:dataValidation>
        <x14:dataValidation type="list" allowBlank="1" showInputMessage="1" showErrorMessage="1" xr:uid="{3583E8FF-0EB4-4E02-963E-93B2D7B23C26}">
          <x14:formula1>
            <xm:f>Manutention!A2:A11</xm:f>
          </x14:formula1>
          <xm:sqref>H234</xm:sqref>
        </x14:dataValidation>
        <x14:dataValidation type="list" allowBlank="1" showInputMessage="1" showErrorMessage="1" xr:uid="{71270359-F9BD-4EB3-BFC6-7038FEDCEEDC}">
          <x14:formula1>
            <xm:f>Manutention!A2:A11</xm:f>
          </x14:formula1>
          <xm:sqref>H235</xm:sqref>
        </x14:dataValidation>
        <x14:dataValidation type="list" allowBlank="1" showInputMessage="1" showErrorMessage="1" xr:uid="{84818B4D-AABA-41CC-8F2A-C9FEB1358FE8}">
          <x14:formula1>
            <xm:f>Manutention!A2:A11</xm:f>
          </x14:formula1>
          <xm:sqref>H236</xm:sqref>
        </x14:dataValidation>
        <x14:dataValidation type="list" allowBlank="1" showInputMessage="1" showErrorMessage="1" xr:uid="{A2D08FCB-4075-4A47-B0B9-549B0DC895E0}">
          <x14:formula1>
            <xm:f>Manutention!A2:A11</xm:f>
          </x14:formula1>
          <xm:sqref>H237</xm:sqref>
        </x14:dataValidation>
        <x14:dataValidation type="list" allowBlank="1" showInputMessage="1" showErrorMessage="1" xr:uid="{2CE3944E-7812-464C-9FA3-C9BDED4E6EB3}">
          <x14:formula1>
            <xm:f>Manutention!A2:A11</xm:f>
          </x14:formula1>
          <xm:sqref>H238</xm:sqref>
        </x14:dataValidation>
        <x14:dataValidation type="list" allowBlank="1" showInputMessage="1" showErrorMessage="1" xr:uid="{57AFC61E-B03E-4B7C-B77D-789A276A7945}">
          <x14:formula1>
            <xm:f>Manutention!A2:A11</xm:f>
          </x14:formula1>
          <xm:sqref>H239</xm:sqref>
        </x14:dataValidation>
        <x14:dataValidation type="list" allowBlank="1" showInputMessage="1" showErrorMessage="1" xr:uid="{94416272-736A-4155-9EA9-92F5EAD57286}">
          <x14:formula1>
            <xm:f>Camion!A2:A11</xm:f>
          </x14:formula1>
          <xm:sqref>L240</xm:sqref>
        </x14:dataValidation>
        <x14:dataValidation type="list" allowBlank="1" showInputMessage="1" showErrorMessage="1" xr:uid="{BA4882B4-F05D-4FE0-883F-C160D482463F}">
          <x14:formula1>
            <xm:f>Camion!A2:A11</xm:f>
          </x14:formula1>
          <xm:sqref>L241</xm:sqref>
        </x14:dataValidation>
        <x14:dataValidation type="list" allowBlank="1" showInputMessage="1" showErrorMessage="1" xr:uid="{AC27B14D-9EE9-4057-859D-A1F5CFC094D1}">
          <x14:formula1>
            <xm:f>Manutention!A2:A11</xm:f>
          </x14:formula1>
          <xm:sqref>H242</xm:sqref>
        </x14:dataValidation>
        <x14:dataValidation type="list" allowBlank="1" showInputMessage="1" showErrorMessage="1" xr:uid="{7645E439-ACB2-4509-9785-D333E09FB4EE}">
          <x14:formula1>
            <xm:f>Manutention!A2:A11</xm:f>
          </x14:formula1>
          <xm:sqref>H243</xm:sqref>
        </x14:dataValidation>
        <x14:dataValidation type="list" allowBlank="1" showInputMessage="1" showErrorMessage="1" xr:uid="{B9EBB72A-3060-440D-9878-A26F8C001AA0}">
          <x14:formula1>
            <xm:f>Manutention!A2:A11</xm:f>
          </x14:formula1>
          <xm:sqref>H244</xm:sqref>
        </x14:dataValidation>
        <x14:dataValidation type="list" allowBlank="1" showInputMessage="1" showErrorMessage="1" xr:uid="{C22DD003-8297-48B0-95DD-98D0261B7372}">
          <x14:formula1>
            <xm:f>Manutention!A2:A11</xm:f>
          </x14:formula1>
          <xm:sqref>H245</xm:sqref>
        </x14:dataValidation>
        <x14:dataValidation type="list" allowBlank="1" showInputMessage="1" showErrorMessage="1" xr:uid="{02E1E7A7-84E2-41BA-B121-4AF84D4F2AD0}">
          <x14:formula1>
            <xm:f>Manutention!A2:A11</xm:f>
          </x14:formula1>
          <xm:sqref>H246</xm:sqref>
        </x14:dataValidation>
        <x14:dataValidation type="list" allowBlank="1" showInputMessage="1" showErrorMessage="1" xr:uid="{C6FF588C-8F2E-45B6-916E-7DDF633F7515}">
          <x14:formula1>
            <xm:f>Manutention!A2:A11</xm:f>
          </x14:formula1>
          <xm:sqref>H247</xm:sqref>
        </x14:dataValidation>
        <x14:dataValidation type="list" allowBlank="1" showInputMessage="1" showErrorMessage="1" xr:uid="{17F4FEA8-5E1B-4CD7-B3D4-1A33F69F10DB}">
          <x14:formula1>
            <xm:f>Manutention!A2:A11</xm:f>
          </x14:formula1>
          <xm:sqref>H248</xm:sqref>
        </x14:dataValidation>
        <x14:dataValidation type="list" allowBlank="1" showInputMessage="1" showErrorMessage="1" xr:uid="{DC806249-8240-485D-9834-35A379CA25D4}">
          <x14:formula1>
            <xm:f>Manutention!A2:A11</xm:f>
          </x14:formula1>
          <xm:sqref>H249</xm:sqref>
        </x14:dataValidation>
        <x14:dataValidation type="list" allowBlank="1" showInputMessage="1" showErrorMessage="1" xr:uid="{E234E2FB-1192-412F-97D6-E74F6A02504C}">
          <x14:formula1>
            <xm:f>Camion!A2:A11</xm:f>
          </x14:formula1>
          <xm:sqref>L250</xm:sqref>
        </x14:dataValidation>
        <x14:dataValidation type="list" allowBlank="1" showInputMessage="1" showErrorMessage="1" xr:uid="{F5C36658-CFF9-4E9F-A73A-0C373D8EF5A7}">
          <x14:formula1>
            <xm:f>Camion!A2:A11</xm:f>
          </x14:formula1>
          <xm:sqref>L251</xm:sqref>
        </x14:dataValidation>
        <x14:dataValidation type="list" allowBlank="1" showInputMessage="1" showErrorMessage="1" xr:uid="{1A4E69CD-8AF0-49EF-B153-A9F1B736D015}">
          <x14:formula1>
            <xm:f>Manutention!A2:A11</xm:f>
          </x14:formula1>
          <xm:sqref>H252</xm:sqref>
        </x14:dataValidation>
        <x14:dataValidation type="list" allowBlank="1" showInputMessage="1" showErrorMessage="1" xr:uid="{A04A115B-2EB1-46EB-8B41-5365BAC513F0}">
          <x14:formula1>
            <xm:f>Manutention!A2:A11</xm:f>
          </x14:formula1>
          <xm:sqref>H253</xm:sqref>
        </x14:dataValidation>
        <x14:dataValidation type="list" allowBlank="1" showInputMessage="1" showErrorMessage="1" xr:uid="{187A6EE3-AABF-45BE-915B-36AE7565F0F1}">
          <x14:formula1>
            <xm:f>Manutention!A2:A11</xm:f>
          </x14:formula1>
          <xm:sqref>H254</xm:sqref>
        </x14:dataValidation>
        <x14:dataValidation type="list" allowBlank="1" showInputMessage="1" showErrorMessage="1" xr:uid="{BA2AB335-03CD-4120-8A57-A5DFE8350769}">
          <x14:formula1>
            <xm:f>Manutention!A2:A11</xm:f>
          </x14:formula1>
          <xm:sqref>H255</xm:sqref>
        </x14:dataValidation>
        <x14:dataValidation type="list" allowBlank="1" showInputMessage="1" showErrorMessage="1" xr:uid="{D38F3592-6580-45DF-9B42-AF3EF13DED67}">
          <x14:formula1>
            <xm:f>Manutention!A2:A11</xm:f>
          </x14:formula1>
          <xm:sqref>H256</xm:sqref>
        </x14:dataValidation>
        <x14:dataValidation type="list" allowBlank="1" showInputMessage="1" showErrorMessage="1" xr:uid="{27F91D20-4393-4E14-9688-42C2E011AAD3}">
          <x14:formula1>
            <xm:f>Manutention!A2:A11</xm:f>
          </x14:formula1>
          <xm:sqref>H257</xm:sqref>
        </x14:dataValidation>
        <x14:dataValidation type="list" allowBlank="1" showInputMessage="1" showErrorMessage="1" xr:uid="{1D0B1C81-2228-4383-9A28-DB8E24847C9F}">
          <x14:formula1>
            <xm:f>Manutention!A2:A11</xm:f>
          </x14:formula1>
          <xm:sqref>H258</xm:sqref>
        </x14:dataValidation>
        <x14:dataValidation type="list" allowBlank="1" showInputMessage="1" showErrorMessage="1" xr:uid="{6EC92E92-4C2D-4059-95BB-1B92E9393681}">
          <x14:formula1>
            <xm:f>Manutention!A2:A11</xm:f>
          </x14:formula1>
          <xm:sqref>H259</xm:sqref>
        </x14:dataValidation>
        <x14:dataValidation type="list" allowBlank="1" showInputMessage="1" showErrorMessage="1" xr:uid="{6D674EAC-C3E2-4660-A897-373DC08B87A6}">
          <x14:formula1>
            <xm:f>Camion!A2:A11</xm:f>
          </x14:formula1>
          <xm:sqref>L260</xm:sqref>
        </x14:dataValidation>
        <x14:dataValidation type="list" allowBlank="1" showInputMessage="1" showErrorMessage="1" xr:uid="{7AED283F-CAEF-40F4-9B56-56E82F72F7BF}">
          <x14:formula1>
            <xm:f>Camion!A2:A11</xm:f>
          </x14:formula1>
          <xm:sqref>L261</xm:sqref>
        </x14:dataValidation>
        <x14:dataValidation type="list" allowBlank="1" showInputMessage="1" showErrorMessage="1" xr:uid="{172050BD-9537-4F61-B454-67538AF204D7}">
          <x14:formula1>
            <xm:f>Manutention!A2:A11</xm:f>
          </x14:formula1>
          <xm:sqref>H262</xm:sqref>
        </x14:dataValidation>
        <x14:dataValidation type="list" allowBlank="1" showInputMessage="1" showErrorMessage="1" xr:uid="{F430303E-C40F-4992-98B8-8DC8A0BE216A}">
          <x14:formula1>
            <xm:f>Manutention!A2:A11</xm:f>
          </x14:formula1>
          <xm:sqref>H263</xm:sqref>
        </x14:dataValidation>
        <x14:dataValidation type="list" allowBlank="1" showInputMessage="1" showErrorMessage="1" xr:uid="{4A64938F-2FB1-4FA6-AAC0-A631D2C577E9}">
          <x14:formula1>
            <xm:f>Manutention!A2:A11</xm:f>
          </x14:formula1>
          <xm:sqref>H264</xm:sqref>
        </x14:dataValidation>
        <x14:dataValidation type="list" allowBlank="1" showInputMessage="1" showErrorMessage="1" xr:uid="{B83D24D3-2BFF-4382-B117-C8468E6CCF32}">
          <x14:formula1>
            <xm:f>Manutention!A2:A11</xm:f>
          </x14:formula1>
          <xm:sqref>H265</xm:sqref>
        </x14:dataValidation>
        <x14:dataValidation type="list" allowBlank="1" showInputMessage="1" showErrorMessage="1" xr:uid="{B15912F7-D782-4A85-83A2-55AFE1FF63BE}">
          <x14:formula1>
            <xm:f>Manutention!A2:A11</xm:f>
          </x14:formula1>
          <xm:sqref>H266</xm:sqref>
        </x14:dataValidation>
        <x14:dataValidation type="list" allowBlank="1" showInputMessage="1" showErrorMessage="1" xr:uid="{568F7F70-F71C-4450-9DDC-8ECF33B35BA0}">
          <x14:formula1>
            <xm:f>Manutention!A2:A11</xm:f>
          </x14:formula1>
          <xm:sqref>H267</xm:sqref>
        </x14:dataValidation>
        <x14:dataValidation type="list" allowBlank="1" showInputMessage="1" showErrorMessage="1" xr:uid="{30426BBF-E3C1-47F2-93BB-64A17494145A}">
          <x14:formula1>
            <xm:f>Manutention!A2:A11</xm:f>
          </x14:formula1>
          <xm:sqref>H268</xm:sqref>
        </x14:dataValidation>
        <x14:dataValidation type="list" allowBlank="1" showInputMessage="1" showErrorMessage="1" xr:uid="{519B7569-8586-4F61-AB69-006DA7B0853C}">
          <x14:formula1>
            <xm:f>Manutention!A2:A11</xm:f>
          </x14:formula1>
          <xm:sqref>H269</xm:sqref>
        </x14:dataValidation>
        <x14:dataValidation type="list" allowBlank="1" showInputMessage="1" showErrorMessage="1" xr:uid="{077F8A95-AC2C-4A93-AAB2-FF8498771B3D}">
          <x14:formula1>
            <xm:f>Camion!A2:A11</xm:f>
          </x14:formula1>
          <xm:sqref>L270</xm:sqref>
        </x14:dataValidation>
        <x14:dataValidation type="list" allowBlank="1" showInputMessage="1" showErrorMessage="1" xr:uid="{7FDE738F-DB69-4AF4-9E49-D8684874CF72}">
          <x14:formula1>
            <xm:f>Camion!A2:A11</xm:f>
          </x14:formula1>
          <xm:sqref>L271</xm:sqref>
        </x14:dataValidation>
        <x14:dataValidation type="list" allowBlank="1" showInputMessage="1" showErrorMessage="1" xr:uid="{0706C644-E6C4-411F-9414-96045BA90566}">
          <x14:formula1>
            <xm:f>Manutention!A2:A11</xm:f>
          </x14:formula1>
          <xm:sqref>H272</xm:sqref>
        </x14:dataValidation>
        <x14:dataValidation type="list" allowBlank="1" showInputMessage="1" showErrorMessage="1" xr:uid="{43F5C1D0-CF58-4113-8467-B182579194C4}">
          <x14:formula1>
            <xm:f>Manutention!A2:A11</xm:f>
          </x14:formula1>
          <xm:sqref>H273</xm:sqref>
        </x14:dataValidation>
        <x14:dataValidation type="list" allowBlank="1" showInputMessage="1" showErrorMessage="1" xr:uid="{98198E26-5826-4517-B1D1-F555CB7DAF3A}">
          <x14:formula1>
            <xm:f>Manutention!A2:A11</xm:f>
          </x14:formula1>
          <xm:sqref>H274</xm:sqref>
        </x14:dataValidation>
        <x14:dataValidation type="list" allowBlank="1" showInputMessage="1" showErrorMessage="1" xr:uid="{B80497AB-9D04-4321-B280-572C20E02AED}">
          <x14:formula1>
            <xm:f>Manutention!A2:A11</xm:f>
          </x14:formula1>
          <xm:sqref>H275</xm:sqref>
        </x14:dataValidation>
        <x14:dataValidation type="list" allowBlank="1" showInputMessage="1" showErrorMessage="1" xr:uid="{B78B6B81-7871-4AC0-81DE-1B5C5FCDDCB9}">
          <x14:formula1>
            <xm:f>Manutention!A2:A11</xm:f>
          </x14:formula1>
          <xm:sqref>H276</xm:sqref>
        </x14:dataValidation>
        <x14:dataValidation type="list" allowBlank="1" showInputMessage="1" showErrorMessage="1" xr:uid="{55B139E9-0CB2-4F50-95E5-F15652F859DC}">
          <x14:formula1>
            <xm:f>Manutention!A2:A11</xm:f>
          </x14:formula1>
          <xm:sqref>H277</xm:sqref>
        </x14:dataValidation>
        <x14:dataValidation type="list" allowBlank="1" showInputMessage="1" showErrorMessage="1" xr:uid="{7FBA1DF8-AB47-4EB6-8264-27A35A146C97}">
          <x14:formula1>
            <xm:f>Manutention!A2:A11</xm:f>
          </x14:formula1>
          <xm:sqref>H278</xm:sqref>
        </x14:dataValidation>
        <x14:dataValidation type="list" allowBlank="1" showInputMessage="1" showErrorMessage="1" xr:uid="{6D04AA34-104A-4596-8169-143CA0FDFE71}">
          <x14:formula1>
            <xm:f>Manutention!A2:A11</xm:f>
          </x14:formula1>
          <xm:sqref>H279</xm:sqref>
        </x14:dataValidation>
        <x14:dataValidation type="list" allowBlank="1" showInputMessage="1" showErrorMessage="1" xr:uid="{8613E947-8292-40B9-B5D4-54CE84EAAF8E}">
          <x14:formula1>
            <xm:f>Camion!A2:A11</xm:f>
          </x14:formula1>
          <xm:sqref>L280</xm:sqref>
        </x14:dataValidation>
        <x14:dataValidation type="list" allowBlank="1" showInputMessage="1" showErrorMessage="1" xr:uid="{95EEB9E7-7A5A-450E-A563-0D89467A945E}">
          <x14:formula1>
            <xm:f>Camion!A2:A11</xm:f>
          </x14:formula1>
          <xm:sqref>L281</xm:sqref>
        </x14:dataValidation>
        <x14:dataValidation type="list" allowBlank="1" showInputMessage="1" showErrorMessage="1" xr:uid="{939A595E-41B4-4DA2-8BE8-EE17B1998890}">
          <x14:formula1>
            <xm:f>Manutention!A2:A11</xm:f>
          </x14:formula1>
          <xm:sqref>H282</xm:sqref>
        </x14:dataValidation>
        <x14:dataValidation type="list" allowBlank="1" showInputMessage="1" showErrorMessage="1" xr:uid="{E9F60F2C-9C15-4EAE-B1F8-703C3F7BEA8A}">
          <x14:formula1>
            <xm:f>Manutention!A2:A11</xm:f>
          </x14:formula1>
          <xm:sqref>H283</xm:sqref>
        </x14:dataValidation>
        <x14:dataValidation type="list" allowBlank="1" showInputMessage="1" showErrorMessage="1" xr:uid="{145398BA-7EA1-446C-B340-8B3EB678BD4C}">
          <x14:formula1>
            <xm:f>Manutention!A2:A11</xm:f>
          </x14:formula1>
          <xm:sqref>H284</xm:sqref>
        </x14:dataValidation>
        <x14:dataValidation type="list" allowBlank="1" showInputMessage="1" showErrorMessage="1" xr:uid="{63FF7B52-209B-4A1C-A0E4-F4DF87FB3CE2}">
          <x14:formula1>
            <xm:f>Manutention!A2:A11</xm:f>
          </x14:formula1>
          <xm:sqref>H285</xm:sqref>
        </x14:dataValidation>
        <x14:dataValidation type="list" allowBlank="1" showInputMessage="1" showErrorMessage="1" xr:uid="{0A473A73-B0EE-4E11-BD3E-BC17D544A9C6}">
          <x14:formula1>
            <xm:f>Manutention!A2:A11</xm:f>
          </x14:formula1>
          <xm:sqref>H286</xm:sqref>
        </x14:dataValidation>
        <x14:dataValidation type="list" allowBlank="1" showInputMessage="1" showErrorMessage="1" xr:uid="{A88BF28B-24E2-47FC-B533-27F266DA41F9}">
          <x14:formula1>
            <xm:f>Manutention!A2:A11</xm:f>
          </x14:formula1>
          <xm:sqref>H287</xm:sqref>
        </x14:dataValidation>
        <x14:dataValidation type="list" allowBlank="1" showInputMessage="1" showErrorMessage="1" xr:uid="{3F9C66CA-7657-4B55-9094-E6ABB77CB230}">
          <x14:formula1>
            <xm:f>Manutention!A2:A11</xm:f>
          </x14:formula1>
          <xm:sqref>H288</xm:sqref>
        </x14:dataValidation>
        <x14:dataValidation type="list" allowBlank="1" showInputMessage="1" showErrorMessage="1" xr:uid="{25A68F1D-0AC2-4AF4-B9B7-CB77029797DD}">
          <x14:formula1>
            <xm:f>Manutention!A2:A11</xm:f>
          </x14:formula1>
          <xm:sqref>H289</xm:sqref>
        </x14:dataValidation>
        <x14:dataValidation type="list" allowBlank="1" showInputMessage="1" showErrorMessage="1" xr:uid="{5688D429-F962-43D9-82E6-172FC6D772F3}">
          <x14:formula1>
            <xm:f>Camion!A2:A11</xm:f>
          </x14:formula1>
          <xm:sqref>L290</xm:sqref>
        </x14:dataValidation>
        <x14:dataValidation type="list" allowBlank="1" showInputMessage="1" showErrorMessage="1" xr:uid="{F5231C52-D7A8-4A9E-9B76-1C21E5102D33}">
          <x14:formula1>
            <xm:f>Camion!A2:A11</xm:f>
          </x14:formula1>
          <xm:sqref>L291</xm:sqref>
        </x14:dataValidation>
        <x14:dataValidation type="list" allowBlank="1" showInputMessage="1" showErrorMessage="1" xr:uid="{38507A94-F0E2-4808-8CA1-A7050E2B78D8}">
          <x14:formula1>
            <xm:f>Manutention!A2:A11</xm:f>
          </x14:formula1>
          <xm:sqref>H292</xm:sqref>
        </x14:dataValidation>
        <x14:dataValidation type="list" allowBlank="1" showInputMessage="1" showErrorMessage="1" xr:uid="{06B8F4C5-C841-4E49-886D-80A5B6A7B765}">
          <x14:formula1>
            <xm:f>Manutention!A2:A11</xm:f>
          </x14:formula1>
          <xm:sqref>H293</xm:sqref>
        </x14:dataValidation>
        <x14:dataValidation type="list" allowBlank="1" showInputMessage="1" showErrorMessage="1" xr:uid="{20B2E770-FA85-45F4-8781-DA01F5A1F6B5}">
          <x14:formula1>
            <xm:f>Manutention!A2:A11</xm:f>
          </x14:formula1>
          <xm:sqref>H294</xm:sqref>
        </x14:dataValidation>
        <x14:dataValidation type="list" allowBlank="1" showInputMessage="1" showErrorMessage="1" xr:uid="{9F5D981B-8515-45C9-B960-282300E73448}">
          <x14:formula1>
            <xm:f>Manutention!A2:A11</xm:f>
          </x14:formula1>
          <xm:sqref>H295</xm:sqref>
        </x14:dataValidation>
        <x14:dataValidation type="list" allowBlank="1" showInputMessage="1" showErrorMessage="1" xr:uid="{C3B934DA-4588-4212-8735-810EF8951ADB}">
          <x14:formula1>
            <xm:f>Manutention!A2:A11</xm:f>
          </x14:formula1>
          <xm:sqref>H296</xm:sqref>
        </x14:dataValidation>
        <x14:dataValidation type="list" allowBlank="1" showInputMessage="1" showErrorMessage="1" xr:uid="{1038D6F6-C10C-4BFC-8D89-7EB1AA7ADD72}">
          <x14:formula1>
            <xm:f>Manutention!A2:A11</xm:f>
          </x14:formula1>
          <xm:sqref>H297</xm:sqref>
        </x14:dataValidation>
        <x14:dataValidation type="list" allowBlank="1" showInputMessage="1" showErrorMessage="1" xr:uid="{CABCD7E5-20EC-473A-B289-A2A818D66D5E}">
          <x14:formula1>
            <xm:f>Manutention!A2:A11</xm:f>
          </x14:formula1>
          <xm:sqref>H298</xm:sqref>
        </x14:dataValidation>
        <x14:dataValidation type="list" allowBlank="1" showInputMessage="1" showErrorMessage="1" xr:uid="{E2881925-1981-4973-86E1-01D1356E5135}">
          <x14:formula1>
            <xm:f>Manutention!A2:A11</xm:f>
          </x14:formula1>
          <xm:sqref>H299</xm:sqref>
        </x14:dataValidation>
        <x14:dataValidation type="list" allowBlank="1" showInputMessage="1" showErrorMessage="1" xr:uid="{F1ACD356-2602-4DD7-A9D3-0D08BF64D503}">
          <x14:formula1>
            <xm:f>Camion!A2:A11</xm:f>
          </x14:formula1>
          <xm:sqref>L300</xm:sqref>
        </x14:dataValidation>
        <x14:dataValidation type="list" allowBlank="1" showInputMessage="1" showErrorMessage="1" xr:uid="{DC809D84-7C60-4840-A416-6DF97A7F8321}">
          <x14:formula1>
            <xm:f>Camion!A2:A11</xm:f>
          </x14:formula1>
          <xm:sqref>L301</xm:sqref>
        </x14:dataValidation>
        <x14:dataValidation type="list" allowBlank="1" showInputMessage="1" showErrorMessage="1" xr:uid="{9361C2E3-2DC4-42B1-8882-8F31639D88FF}">
          <x14:formula1>
            <xm:f>Manutention!A2:A11</xm:f>
          </x14:formula1>
          <xm:sqref>H302</xm:sqref>
        </x14:dataValidation>
        <x14:dataValidation type="list" allowBlank="1" showInputMessage="1" showErrorMessage="1" xr:uid="{35670B84-DC6D-4E6D-B25A-7E7C8ACCFCC4}">
          <x14:formula1>
            <xm:f>Manutention!A2:A11</xm:f>
          </x14:formula1>
          <xm:sqref>H303</xm:sqref>
        </x14:dataValidation>
        <x14:dataValidation type="list" allowBlank="1" showInputMessage="1" showErrorMessage="1" xr:uid="{1DEA310A-59D9-4A0F-9472-C4488D4A564D}">
          <x14:formula1>
            <xm:f>Manutention!A2:A11</xm:f>
          </x14:formula1>
          <xm:sqref>H304</xm:sqref>
        </x14:dataValidation>
        <x14:dataValidation type="list" allowBlank="1" showInputMessage="1" showErrorMessage="1" xr:uid="{196E4227-39A7-40C2-8893-EB740D782A8C}">
          <x14:formula1>
            <xm:f>Manutention!A2:A11</xm:f>
          </x14:formula1>
          <xm:sqref>H305</xm:sqref>
        </x14:dataValidation>
        <x14:dataValidation type="list" allowBlank="1" showInputMessage="1" showErrorMessage="1" xr:uid="{36B02D5D-6C39-4C1D-8F72-1BC0525481FB}">
          <x14:formula1>
            <xm:f>Manutention!A2:A11</xm:f>
          </x14:formula1>
          <xm:sqref>H306</xm:sqref>
        </x14:dataValidation>
        <x14:dataValidation type="list" allowBlank="1" showInputMessage="1" showErrorMessage="1" xr:uid="{1DA87419-27FB-4419-8F1B-5CC5F68C3657}">
          <x14:formula1>
            <xm:f>Manutention!A2:A11</xm:f>
          </x14:formula1>
          <xm:sqref>H307</xm:sqref>
        </x14:dataValidation>
        <x14:dataValidation type="list" allowBlank="1" showInputMessage="1" showErrorMessage="1" xr:uid="{ABB5DE70-B015-4BCA-92D3-05FDEE7CF56D}">
          <x14:formula1>
            <xm:f>Manutention!A2:A11</xm:f>
          </x14:formula1>
          <xm:sqref>H308</xm:sqref>
        </x14:dataValidation>
        <x14:dataValidation type="list" allowBlank="1" showInputMessage="1" showErrorMessage="1" xr:uid="{A152F9E0-B235-4C74-80C5-9F4A41F385CF}">
          <x14:formula1>
            <xm:f>Manutention!A2:A11</xm:f>
          </x14:formula1>
          <xm:sqref>H309</xm:sqref>
        </x14:dataValidation>
        <x14:dataValidation type="list" allowBlank="1" showInputMessage="1" showErrorMessage="1" xr:uid="{4D3CABFB-ACD3-415B-8994-AF1CBFDCAAB9}">
          <x14:formula1>
            <xm:f>Camion!A2:A11</xm:f>
          </x14:formula1>
          <xm:sqref>L310</xm:sqref>
        </x14:dataValidation>
        <x14:dataValidation type="list" allowBlank="1" showInputMessage="1" showErrorMessage="1" xr:uid="{E428FDF1-A008-4276-9FB7-8E2B1E0BF48C}">
          <x14:formula1>
            <xm:f>Camion!A2:A11</xm:f>
          </x14:formula1>
          <xm:sqref>L311</xm:sqref>
        </x14:dataValidation>
        <x14:dataValidation type="list" allowBlank="1" showInputMessage="1" showErrorMessage="1" xr:uid="{E9D72CB7-47B2-4D53-B4AC-DA5922840121}">
          <x14:formula1>
            <xm:f>Manutention!A2:A11</xm:f>
          </x14:formula1>
          <xm:sqref>H312</xm:sqref>
        </x14:dataValidation>
        <x14:dataValidation type="list" allowBlank="1" showInputMessage="1" showErrorMessage="1" xr:uid="{D703D231-0E2E-461F-A65D-3FEE7A4DDBD3}">
          <x14:formula1>
            <xm:f>Manutention!A2:A11</xm:f>
          </x14:formula1>
          <xm:sqref>H313</xm:sqref>
        </x14:dataValidation>
        <x14:dataValidation type="list" allowBlank="1" showInputMessage="1" showErrorMessage="1" xr:uid="{FACF7F4A-4383-4234-A765-CE10ACD5DF02}">
          <x14:formula1>
            <xm:f>Manutention!A2:A11</xm:f>
          </x14:formula1>
          <xm:sqref>H314</xm:sqref>
        </x14:dataValidation>
        <x14:dataValidation type="list" allowBlank="1" showInputMessage="1" showErrorMessage="1" xr:uid="{805E7993-5501-405C-9405-1E71E13FDD76}">
          <x14:formula1>
            <xm:f>Manutention!A2:A11</xm:f>
          </x14:formula1>
          <xm:sqref>H315</xm:sqref>
        </x14:dataValidation>
        <x14:dataValidation type="list" allowBlank="1" showInputMessage="1" showErrorMessage="1" xr:uid="{4E85F755-D786-41CD-A889-6498E632E584}">
          <x14:formula1>
            <xm:f>Manutention!A2:A11</xm:f>
          </x14:formula1>
          <xm:sqref>H316</xm:sqref>
        </x14:dataValidation>
        <x14:dataValidation type="list" allowBlank="1" showInputMessage="1" showErrorMessage="1" xr:uid="{29B8C319-10C3-496B-B4AE-6636D32A987B}">
          <x14:formula1>
            <xm:f>Manutention!A2:A11</xm:f>
          </x14:formula1>
          <xm:sqref>H317</xm:sqref>
        </x14:dataValidation>
        <x14:dataValidation type="list" allowBlank="1" showInputMessage="1" showErrorMessage="1" xr:uid="{AF653D64-E33E-4875-985E-0FE1324901DE}">
          <x14:formula1>
            <xm:f>Manutention!A2:A11</xm:f>
          </x14:formula1>
          <xm:sqref>H318</xm:sqref>
        </x14:dataValidation>
        <x14:dataValidation type="list" allowBlank="1" showInputMessage="1" showErrorMessage="1" xr:uid="{A9E84F92-B06C-4BB3-B543-26886504E044}">
          <x14:formula1>
            <xm:f>Manutention!A2:A11</xm:f>
          </x14:formula1>
          <xm:sqref>H319</xm:sqref>
        </x14:dataValidation>
        <x14:dataValidation type="list" allowBlank="1" showInputMessage="1" showErrorMessage="1" xr:uid="{2AC4F051-FBDC-4845-A9E4-8924DB599995}">
          <x14:formula1>
            <xm:f>Camion!A2:A11</xm:f>
          </x14:formula1>
          <xm:sqref>L320</xm:sqref>
        </x14:dataValidation>
        <x14:dataValidation type="list" allowBlank="1" showInputMessage="1" showErrorMessage="1" xr:uid="{74C6BDBA-32CC-4D3D-868F-8D7FCA752DBC}">
          <x14:formula1>
            <xm:f>Camion!A2:A11</xm:f>
          </x14:formula1>
          <xm:sqref>L321</xm:sqref>
        </x14:dataValidation>
        <x14:dataValidation type="list" allowBlank="1" showInputMessage="1" showErrorMessage="1" xr:uid="{7E10B4DB-C629-4E75-B258-73943BE453CA}">
          <x14:formula1>
            <xm:f>Manutention!A2:A11</xm:f>
          </x14:formula1>
          <xm:sqref>H322</xm:sqref>
        </x14:dataValidation>
        <x14:dataValidation type="list" allowBlank="1" showInputMessage="1" showErrorMessage="1" xr:uid="{86D2A240-1420-49C2-856B-1F67C3C129F0}">
          <x14:formula1>
            <xm:f>Manutention!A2:A11</xm:f>
          </x14:formula1>
          <xm:sqref>H323</xm:sqref>
        </x14:dataValidation>
        <x14:dataValidation type="list" allowBlank="1" showInputMessage="1" showErrorMessage="1" xr:uid="{E17C5241-2DC1-4D86-9F6A-DD634E93BBA9}">
          <x14:formula1>
            <xm:f>Manutention!A2:A11</xm:f>
          </x14:formula1>
          <xm:sqref>H324</xm:sqref>
        </x14:dataValidation>
        <x14:dataValidation type="list" allowBlank="1" showInputMessage="1" showErrorMessage="1" xr:uid="{5F43F030-F2CC-4055-9E3C-B2115E637C31}">
          <x14:formula1>
            <xm:f>Manutention!A2:A11</xm:f>
          </x14:formula1>
          <xm:sqref>H325</xm:sqref>
        </x14:dataValidation>
        <x14:dataValidation type="list" allowBlank="1" showInputMessage="1" showErrorMessage="1" xr:uid="{57DF9188-2146-4EF1-9F4F-6D7FF4EB2484}">
          <x14:formula1>
            <xm:f>Manutention!A2:A11</xm:f>
          </x14:formula1>
          <xm:sqref>H326</xm:sqref>
        </x14:dataValidation>
        <x14:dataValidation type="list" allowBlank="1" showInputMessage="1" showErrorMessage="1" xr:uid="{8CC605CD-5F6A-47F0-880C-D3DA69F92FCD}">
          <x14:formula1>
            <xm:f>Manutention!A2:A11</xm:f>
          </x14:formula1>
          <xm:sqref>H327</xm:sqref>
        </x14:dataValidation>
        <x14:dataValidation type="list" allowBlank="1" showInputMessage="1" showErrorMessage="1" xr:uid="{43E4B758-9F2B-4CA5-8E84-BF22821B24C5}">
          <x14:formula1>
            <xm:f>Manutention!A2:A11</xm:f>
          </x14:formula1>
          <xm:sqref>H328</xm:sqref>
        </x14:dataValidation>
        <x14:dataValidation type="list" allowBlank="1" showInputMessage="1" showErrorMessage="1" xr:uid="{1D186320-6BF6-45F7-BEDD-D7E9B770D339}">
          <x14:formula1>
            <xm:f>Manutention!A2:A11</xm:f>
          </x14:formula1>
          <xm:sqref>H329</xm:sqref>
        </x14:dataValidation>
        <x14:dataValidation type="list" allowBlank="1" showInputMessage="1" showErrorMessage="1" xr:uid="{379FE650-FBA5-498B-925D-3463F15A6F73}">
          <x14:formula1>
            <xm:f>Camion!A2:A11</xm:f>
          </x14:formula1>
          <xm:sqref>L330</xm:sqref>
        </x14:dataValidation>
        <x14:dataValidation type="list" allowBlank="1" showInputMessage="1" showErrorMessage="1" xr:uid="{19E2A317-DD84-4244-B69E-0582980B7C43}">
          <x14:formula1>
            <xm:f>Camion!A2:A11</xm:f>
          </x14:formula1>
          <xm:sqref>L331</xm:sqref>
        </x14:dataValidation>
        <x14:dataValidation type="list" allowBlank="1" showInputMessage="1" showErrorMessage="1" xr:uid="{AFE8E142-247D-4C4D-B93C-130915F52A33}">
          <x14:formula1>
            <xm:f>Manutention!A2:A11</xm:f>
          </x14:formula1>
          <xm:sqref>H332</xm:sqref>
        </x14:dataValidation>
        <x14:dataValidation type="list" allowBlank="1" showInputMessage="1" showErrorMessage="1" xr:uid="{41CB2EFF-F1AF-404E-B34E-1737C645E2AD}">
          <x14:formula1>
            <xm:f>Manutention!A2:A11</xm:f>
          </x14:formula1>
          <xm:sqref>H333</xm:sqref>
        </x14:dataValidation>
        <x14:dataValidation type="list" allowBlank="1" showInputMessage="1" showErrorMessage="1" xr:uid="{F2F9C424-DD65-4E6A-B539-54DD117712CC}">
          <x14:formula1>
            <xm:f>Manutention!A2:A11</xm:f>
          </x14:formula1>
          <xm:sqref>H334</xm:sqref>
        </x14:dataValidation>
        <x14:dataValidation type="list" allowBlank="1" showInputMessage="1" showErrorMessage="1" xr:uid="{3110989F-9AF0-4449-8B6D-615B18FEAA11}">
          <x14:formula1>
            <xm:f>Manutention!A2:A11</xm:f>
          </x14:formula1>
          <xm:sqref>H335</xm:sqref>
        </x14:dataValidation>
        <x14:dataValidation type="list" allowBlank="1" showInputMessage="1" showErrorMessage="1" xr:uid="{90CB293B-D2A5-4386-8FA4-579B0747457B}">
          <x14:formula1>
            <xm:f>Manutention!A2:A11</xm:f>
          </x14:formula1>
          <xm:sqref>H336</xm:sqref>
        </x14:dataValidation>
        <x14:dataValidation type="list" allowBlank="1" showInputMessage="1" showErrorMessage="1" xr:uid="{0A6DCA93-CC86-4E5E-AC71-9A7A27EF21E9}">
          <x14:formula1>
            <xm:f>Manutention!A2:A11</xm:f>
          </x14:formula1>
          <xm:sqref>H337</xm:sqref>
        </x14:dataValidation>
        <x14:dataValidation type="list" allowBlank="1" showInputMessage="1" showErrorMessage="1" xr:uid="{01F0AC56-06B1-46DB-A97D-832EADFB4E08}">
          <x14:formula1>
            <xm:f>Manutention!A2:A11</xm:f>
          </x14:formula1>
          <xm:sqref>H338</xm:sqref>
        </x14:dataValidation>
        <x14:dataValidation type="list" allowBlank="1" showInputMessage="1" showErrorMessage="1" xr:uid="{14BD7069-BFBF-4890-BB9B-EEC1D99A0826}">
          <x14:formula1>
            <xm:f>Manutention!A2:A11</xm:f>
          </x14:formula1>
          <xm:sqref>H339</xm:sqref>
        </x14:dataValidation>
        <x14:dataValidation type="list" allowBlank="1" showInputMessage="1" showErrorMessage="1" xr:uid="{47CEDCB6-9890-4AC8-8B31-803AF4FDD559}">
          <x14:formula1>
            <xm:f>Camion!A2:A11</xm:f>
          </x14:formula1>
          <xm:sqref>L340</xm:sqref>
        </x14:dataValidation>
        <x14:dataValidation type="list" allowBlank="1" showInputMessage="1" showErrorMessage="1" xr:uid="{4FE90114-BE5A-41DF-923E-31B3B17529BE}">
          <x14:formula1>
            <xm:f>Camion!A2:A11</xm:f>
          </x14:formula1>
          <xm:sqref>L341</xm:sqref>
        </x14:dataValidation>
        <x14:dataValidation type="list" allowBlank="1" showInputMessage="1" showErrorMessage="1" xr:uid="{73FB4B73-C8FA-4B7A-985A-3B6D3A748901}">
          <x14:formula1>
            <xm:f>Manutention!A2:A11</xm:f>
          </x14:formula1>
          <xm:sqref>H342</xm:sqref>
        </x14:dataValidation>
        <x14:dataValidation type="list" allowBlank="1" showInputMessage="1" showErrorMessage="1" xr:uid="{23D12E49-8ABB-45C0-83D5-E8D1CD97C7C5}">
          <x14:formula1>
            <xm:f>Manutention!A2:A11</xm:f>
          </x14:formula1>
          <xm:sqref>H343</xm:sqref>
        </x14:dataValidation>
        <x14:dataValidation type="list" allowBlank="1" showInputMessage="1" showErrorMessage="1" xr:uid="{1E6EB764-41BD-4B99-9238-249FCA61EA7A}">
          <x14:formula1>
            <xm:f>Manutention!A2:A11</xm:f>
          </x14:formula1>
          <xm:sqref>H344</xm:sqref>
        </x14:dataValidation>
        <x14:dataValidation type="list" allowBlank="1" showInputMessage="1" showErrorMessage="1" xr:uid="{C93F975B-0E01-4B84-922B-4F57AD1D032E}">
          <x14:formula1>
            <xm:f>Manutention!A2:A11</xm:f>
          </x14:formula1>
          <xm:sqref>H345</xm:sqref>
        </x14:dataValidation>
        <x14:dataValidation type="list" allowBlank="1" showInputMessage="1" showErrorMessage="1" xr:uid="{60ED67AB-73E6-4B08-AD8E-EE12203E2404}">
          <x14:formula1>
            <xm:f>Manutention!A2:A11</xm:f>
          </x14:formula1>
          <xm:sqref>H346</xm:sqref>
        </x14:dataValidation>
        <x14:dataValidation type="list" allowBlank="1" showInputMessage="1" showErrorMessage="1" xr:uid="{371201EE-2824-4911-A446-F231C62C61C5}">
          <x14:formula1>
            <xm:f>Manutention!A2:A11</xm:f>
          </x14:formula1>
          <xm:sqref>H347</xm:sqref>
        </x14:dataValidation>
        <x14:dataValidation type="list" allowBlank="1" showInputMessage="1" showErrorMessage="1" xr:uid="{6888CB19-06C8-48F4-BD1C-07E529A90FFA}">
          <x14:formula1>
            <xm:f>Manutention!A2:A11</xm:f>
          </x14:formula1>
          <xm:sqref>H348</xm:sqref>
        </x14:dataValidation>
        <x14:dataValidation type="list" allowBlank="1" showInputMessage="1" showErrorMessage="1" xr:uid="{B88873BD-D375-4252-A987-38AB3884C4D3}">
          <x14:formula1>
            <xm:f>Manutention!A2:A11</xm:f>
          </x14:formula1>
          <xm:sqref>H349</xm:sqref>
        </x14:dataValidation>
        <x14:dataValidation type="list" allowBlank="1" showInputMessage="1" showErrorMessage="1" xr:uid="{389938FB-4154-4090-9350-CF4A59780EDB}">
          <x14:formula1>
            <xm:f>Camion!A2:A11</xm:f>
          </x14:formula1>
          <xm:sqref>L350</xm:sqref>
        </x14:dataValidation>
        <x14:dataValidation type="list" allowBlank="1" showInputMessage="1" showErrorMessage="1" xr:uid="{4DD3A9FB-B3F8-4F53-89C5-3FC26270C0D4}">
          <x14:formula1>
            <xm:f>Camion!A2:A11</xm:f>
          </x14:formula1>
          <xm:sqref>L351</xm:sqref>
        </x14:dataValidation>
        <x14:dataValidation type="list" allowBlank="1" showInputMessage="1" showErrorMessage="1" xr:uid="{1174FA31-CCFC-4DF6-9181-7F04790D3BEA}">
          <x14:formula1>
            <xm:f>Manutention!A2:A11</xm:f>
          </x14:formula1>
          <xm:sqref>H352</xm:sqref>
        </x14:dataValidation>
        <x14:dataValidation type="list" allowBlank="1" showInputMessage="1" showErrorMessage="1" xr:uid="{EE743804-C977-452D-9B39-1987CC7DBF61}">
          <x14:formula1>
            <xm:f>Manutention!A2:A11</xm:f>
          </x14:formula1>
          <xm:sqref>H353</xm:sqref>
        </x14:dataValidation>
        <x14:dataValidation type="list" allowBlank="1" showInputMessage="1" showErrorMessage="1" xr:uid="{EED9CCC7-30E7-4FDF-AFD7-E0DC3E59953B}">
          <x14:formula1>
            <xm:f>Manutention!A2:A11</xm:f>
          </x14:formula1>
          <xm:sqref>H354</xm:sqref>
        </x14:dataValidation>
        <x14:dataValidation type="list" allowBlank="1" showInputMessage="1" showErrorMessage="1" xr:uid="{9BE766A8-6455-43A7-B5EE-59E52D9E0977}">
          <x14:formula1>
            <xm:f>Manutention!A2:A11</xm:f>
          </x14:formula1>
          <xm:sqref>H355</xm:sqref>
        </x14:dataValidation>
        <x14:dataValidation type="list" allowBlank="1" showInputMessage="1" showErrorMessage="1" xr:uid="{A0C01691-3E7F-4764-8A46-3EF54C252D40}">
          <x14:formula1>
            <xm:f>Manutention!A2:A11</xm:f>
          </x14:formula1>
          <xm:sqref>H356</xm:sqref>
        </x14:dataValidation>
        <x14:dataValidation type="list" allowBlank="1" showInputMessage="1" showErrorMessage="1" xr:uid="{02C5B486-607D-4B39-9F7E-061F57965DFD}">
          <x14:formula1>
            <xm:f>Manutention!A2:A11</xm:f>
          </x14:formula1>
          <xm:sqref>H357</xm:sqref>
        </x14:dataValidation>
        <x14:dataValidation type="list" allowBlank="1" showInputMessage="1" showErrorMessage="1" xr:uid="{BB1430C8-495F-4D4F-BBA7-C2D974AAD57B}">
          <x14:formula1>
            <xm:f>Manutention!A2:A11</xm:f>
          </x14:formula1>
          <xm:sqref>H358</xm:sqref>
        </x14:dataValidation>
        <x14:dataValidation type="list" allowBlank="1" showInputMessage="1" showErrorMessage="1" xr:uid="{E262AC42-27F1-4000-B1E2-D84AE2A1867E}">
          <x14:formula1>
            <xm:f>Manutention!A2:A11</xm:f>
          </x14:formula1>
          <xm:sqref>H359</xm:sqref>
        </x14:dataValidation>
        <x14:dataValidation type="list" allowBlank="1" showInputMessage="1" showErrorMessage="1" xr:uid="{09E5F4CB-D824-4A1B-BB1B-8D4B46090B8D}">
          <x14:formula1>
            <xm:f>Camion!A2:A11</xm:f>
          </x14:formula1>
          <xm:sqref>L360</xm:sqref>
        </x14:dataValidation>
        <x14:dataValidation type="list" allowBlank="1" showInputMessage="1" showErrorMessage="1" xr:uid="{2DDF9EB1-BEB0-466C-8C01-0A4C3F4C1BDB}">
          <x14:formula1>
            <xm:f>Camion!A2:A11</xm:f>
          </x14:formula1>
          <xm:sqref>L361</xm:sqref>
        </x14:dataValidation>
        <x14:dataValidation type="list" allowBlank="1" showInputMessage="1" showErrorMessage="1" xr:uid="{01052857-D21F-4832-B511-345F2E24F731}">
          <x14:formula1>
            <xm:f>Manutention!A2:A11</xm:f>
          </x14:formula1>
          <xm:sqref>H362</xm:sqref>
        </x14:dataValidation>
        <x14:dataValidation type="list" allowBlank="1" showInputMessage="1" showErrorMessage="1" xr:uid="{6F9C8823-4E93-4F93-8A04-A607E66C4DE8}">
          <x14:formula1>
            <xm:f>Manutention!A2:A11</xm:f>
          </x14:formula1>
          <xm:sqref>H363</xm:sqref>
        </x14:dataValidation>
        <x14:dataValidation type="list" allowBlank="1" showInputMessage="1" showErrorMessage="1" xr:uid="{E29E688A-88F3-42EE-84CD-266831AE0A3C}">
          <x14:formula1>
            <xm:f>Manutention!A2:A11</xm:f>
          </x14:formula1>
          <xm:sqref>H364</xm:sqref>
        </x14:dataValidation>
        <x14:dataValidation type="list" allowBlank="1" showInputMessage="1" showErrorMessage="1" xr:uid="{08568E28-9AFF-442D-8AA6-238577D18274}">
          <x14:formula1>
            <xm:f>Manutention!A2:A11</xm:f>
          </x14:formula1>
          <xm:sqref>H365</xm:sqref>
        </x14:dataValidation>
        <x14:dataValidation type="list" allowBlank="1" showInputMessage="1" showErrorMessage="1" xr:uid="{174055B8-1FDE-49DA-B445-AF4834B84C27}">
          <x14:formula1>
            <xm:f>Manutention!A2:A11</xm:f>
          </x14:formula1>
          <xm:sqref>H366</xm:sqref>
        </x14:dataValidation>
        <x14:dataValidation type="list" allowBlank="1" showInputMessage="1" showErrorMessage="1" xr:uid="{C46D2813-D1ED-490A-9429-7EB6B15CB6C3}">
          <x14:formula1>
            <xm:f>Manutention!A2:A11</xm:f>
          </x14:formula1>
          <xm:sqref>H367</xm:sqref>
        </x14:dataValidation>
        <x14:dataValidation type="list" allowBlank="1" showInputMessage="1" showErrorMessage="1" xr:uid="{2E49CAB7-048E-49E2-959B-A7B6CEAFE965}">
          <x14:formula1>
            <xm:f>Manutention!A2:A11</xm:f>
          </x14:formula1>
          <xm:sqref>H368</xm:sqref>
        </x14:dataValidation>
        <x14:dataValidation type="list" allowBlank="1" showInputMessage="1" showErrorMessage="1" xr:uid="{4D227289-5A1D-4301-989D-D767B90E8E75}">
          <x14:formula1>
            <xm:f>Manutention!A2:A11</xm:f>
          </x14:formula1>
          <xm:sqref>H369</xm:sqref>
        </x14:dataValidation>
        <x14:dataValidation type="list" allowBlank="1" showInputMessage="1" showErrorMessage="1" xr:uid="{CCA25188-7BAC-4322-BBE1-71DC9FFCED62}">
          <x14:formula1>
            <xm:f>Camion!A2:A11</xm:f>
          </x14:formula1>
          <xm:sqref>L370</xm:sqref>
        </x14:dataValidation>
        <x14:dataValidation type="list" allowBlank="1" showInputMessage="1" showErrorMessage="1" xr:uid="{9D806B76-BEEA-485C-B32D-2467E85CBD63}">
          <x14:formula1>
            <xm:f>Camion!A2:A11</xm:f>
          </x14:formula1>
          <xm:sqref>L371</xm:sqref>
        </x14:dataValidation>
        <x14:dataValidation type="list" allowBlank="1" showInputMessage="1" showErrorMessage="1" xr:uid="{9EA3AB6B-67EE-448C-AB3D-84DB793F1226}">
          <x14:formula1>
            <xm:f>Manutention!A2:A11</xm:f>
          </x14:formula1>
          <xm:sqref>H372</xm:sqref>
        </x14:dataValidation>
        <x14:dataValidation type="list" allowBlank="1" showInputMessage="1" showErrorMessage="1" xr:uid="{AFC0D2F2-0022-4C75-9A6B-4F7F4C605C9C}">
          <x14:formula1>
            <xm:f>Manutention!A2:A11</xm:f>
          </x14:formula1>
          <xm:sqref>H373</xm:sqref>
        </x14:dataValidation>
        <x14:dataValidation type="list" allowBlank="1" showInputMessage="1" showErrorMessage="1" xr:uid="{6722BEC7-AFC0-49F3-91CD-CAE2C1F2435E}">
          <x14:formula1>
            <xm:f>Manutention!A2:A11</xm:f>
          </x14:formula1>
          <xm:sqref>H374</xm:sqref>
        </x14:dataValidation>
        <x14:dataValidation type="list" allowBlank="1" showInputMessage="1" showErrorMessage="1" xr:uid="{71ED084F-917D-4BCC-A5B5-12BEF4A85B88}">
          <x14:formula1>
            <xm:f>Manutention!A2:A11</xm:f>
          </x14:formula1>
          <xm:sqref>H375</xm:sqref>
        </x14:dataValidation>
        <x14:dataValidation type="list" allowBlank="1" showInputMessage="1" showErrorMessage="1" xr:uid="{93D6C2E9-F1DB-4503-804D-96BEE0281EA8}">
          <x14:formula1>
            <xm:f>Manutention!A2:A11</xm:f>
          </x14:formula1>
          <xm:sqref>H376</xm:sqref>
        </x14:dataValidation>
        <x14:dataValidation type="list" allowBlank="1" showInputMessage="1" showErrorMessage="1" xr:uid="{D47CB19D-2C11-464C-A010-49FDE64F061F}">
          <x14:formula1>
            <xm:f>Manutention!A2:A11</xm:f>
          </x14:formula1>
          <xm:sqref>H377</xm:sqref>
        </x14:dataValidation>
        <x14:dataValidation type="list" allowBlank="1" showInputMessage="1" showErrorMessage="1" xr:uid="{62AD4EF5-6DE4-49B0-BDF7-7F78BFA40E11}">
          <x14:formula1>
            <xm:f>Manutention!A2:A11</xm:f>
          </x14:formula1>
          <xm:sqref>H378</xm:sqref>
        </x14:dataValidation>
        <x14:dataValidation type="list" allowBlank="1" showInputMessage="1" showErrorMessage="1" xr:uid="{523D7EEC-0443-42C4-95BA-67459802096E}">
          <x14:formula1>
            <xm:f>Manutention!A2:A11</xm:f>
          </x14:formula1>
          <xm:sqref>H379</xm:sqref>
        </x14:dataValidation>
        <x14:dataValidation type="list" allowBlank="1" showInputMessage="1" showErrorMessage="1" xr:uid="{B5F4C3B4-98CF-4300-BA4A-E6041CC2B85E}">
          <x14:formula1>
            <xm:f>Camion!A2:A11</xm:f>
          </x14:formula1>
          <xm:sqref>L380</xm:sqref>
        </x14:dataValidation>
        <x14:dataValidation type="list" allowBlank="1" showInputMessage="1" showErrorMessage="1" xr:uid="{EE358E58-D459-428F-9659-3C1BEB4B044F}">
          <x14:formula1>
            <xm:f>Camion!A2:A11</xm:f>
          </x14:formula1>
          <xm:sqref>L381</xm:sqref>
        </x14:dataValidation>
        <x14:dataValidation type="list" allowBlank="1" showInputMessage="1" showErrorMessage="1" xr:uid="{B36404F3-8D39-4660-B9A5-734E0220E3A2}">
          <x14:formula1>
            <xm:f>Manutention!A2:A11</xm:f>
          </x14:formula1>
          <xm:sqref>H382</xm:sqref>
        </x14:dataValidation>
        <x14:dataValidation type="list" allowBlank="1" showInputMessage="1" showErrorMessage="1" xr:uid="{91F7DD90-00AF-449D-AE03-89068F1F51B6}">
          <x14:formula1>
            <xm:f>Manutention!A2:A11</xm:f>
          </x14:formula1>
          <xm:sqref>H383</xm:sqref>
        </x14:dataValidation>
        <x14:dataValidation type="list" allowBlank="1" showInputMessage="1" showErrorMessage="1" xr:uid="{B0A0217C-5720-4A50-A7C7-5288AA31BF99}">
          <x14:formula1>
            <xm:f>Manutention!A2:A11</xm:f>
          </x14:formula1>
          <xm:sqref>H384</xm:sqref>
        </x14:dataValidation>
        <x14:dataValidation type="list" allowBlank="1" showInputMessage="1" showErrorMessage="1" xr:uid="{FC9588F7-D79C-41A5-8ADB-9EDABEEC796D}">
          <x14:formula1>
            <xm:f>Manutention!A2:A11</xm:f>
          </x14:formula1>
          <xm:sqref>H385</xm:sqref>
        </x14:dataValidation>
        <x14:dataValidation type="list" allowBlank="1" showInputMessage="1" showErrorMessage="1" xr:uid="{4F73FC55-2751-4269-BE6E-0DE40E17CD35}">
          <x14:formula1>
            <xm:f>Manutention!A2:A11</xm:f>
          </x14:formula1>
          <xm:sqref>H386</xm:sqref>
        </x14:dataValidation>
        <x14:dataValidation type="list" allowBlank="1" showInputMessage="1" showErrorMessage="1" xr:uid="{FC454801-0DEB-4D2B-917A-F124278D98CC}">
          <x14:formula1>
            <xm:f>Manutention!A2:A11</xm:f>
          </x14:formula1>
          <xm:sqref>H387</xm:sqref>
        </x14:dataValidation>
        <x14:dataValidation type="list" allowBlank="1" showInputMessage="1" showErrorMessage="1" xr:uid="{89E79C22-385F-42BD-BD36-86E10A76E2C1}">
          <x14:formula1>
            <xm:f>Manutention!A2:A11</xm:f>
          </x14:formula1>
          <xm:sqref>H388</xm:sqref>
        </x14:dataValidation>
        <x14:dataValidation type="list" allowBlank="1" showInputMessage="1" showErrorMessage="1" xr:uid="{90EC21C2-E0E5-41F8-98A6-979AB211A029}">
          <x14:formula1>
            <xm:f>Manutention!A2:A11</xm:f>
          </x14:formula1>
          <xm:sqref>H389</xm:sqref>
        </x14:dataValidation>
        <x14:dataValidation type="list" allowBlank="1" showInputMessage="1" showErrorMessage="1" xr:uid="{D235EA62-1745-45FD-ABED-6236FE5ADA8C}">
          <x14:formula1>
            <xm:f>Camion!A2:A11</xm:f>
          </x14:formula1>
          <xm:sqref>L390</xm:sqref>
        </x14:dataValidation>
        <x14:dataValidation type="list" allowBlank="1" showInputMessage="1" showErrorMessage="1" xr:uid="{5BB6B424-1DE1-4C0E-9AB3-C74E02E3D273}">
          <x14:formula1>
            <xm:f>Camion!A2:A11</xm:f>
          </x14:formula1>
          <xm:sqref>L391</xm:sqref>
        </x14:dataValidation>
        <x14:dataValidation type="list" allowBlank="1" showInputMessage="1" showErrorMessage="1" xr:uid="{3B4CF939-A6CB-4323-9CC5-788EBC8F314D}">
          <x14:formula1>
            <xm:f>Manutention!A2:A11</xm:f>
          </x14:formula1>
          <xm:sqref>H392</xm:sqref>
        </x14:dataValidation>
        <x14:dataValidation type="list" allowBlank="1" showInputMessage="1" showErrorMessage="1" xr:uid="{44EACA99-C47C-4862-9881-15A60806057C}">
          <x14:formula1>
            <xm:f>Manutention!A2:A11</xm:f>
          </x14:formula1>
          <xm:sqref>H393</xm:sqref>
        </x14:dataValidation>
        <x14:dataValidation type="list" allowBlank="1" showInputMessage="1" showErrorMessage="1" xr:uid="{39630927-0297-48E4-B45A-2CB88E83DD90}">
          <x14:formula1>
            <xm:f>Manutention!A2:A11</xm:f>
          </x14:formula1>
          <xm:sqref>H394</xm:sqref>
        </x14:dataValidation>
        <x14:dataValidation type="list" allowBlank="1" showInputMessage="1" showErrorMessage="1" xr:uid="{09FF8CDB-7F6D-4FC8-99EF-83B84D090315}">
          <x14:formula1>
            <xm:f>Manutention!A2:A11</xm:f>
          </x14:formula1>
          <xm:sqref>H395</xm:sqref>
        </x14:dataValidation>
        <x14:dataValidation type="list" allowBlank="1" showInputMessage="1" showErrorMessage="1" xr:uid="{2BF306BC-5126-4B18-AA03-7202CCCFAF57}">
          <x14:formula1>
            <xm:f>Manutention!A2:A11</xm:f>
          </x14:formula1>
          <xm:sqref>H396</xm:sqref>
        </x14:dataValidation>
        <x14:dataValidation type="list" allowBlank="1" showInputMessage="1" showErrorMessage="1" xr:uid="{4979F1D1-B2D3-4249-A191-FCF7B69570D8}">
          <x14:formula1>
            <xm:f>Manutention!A2:A11</xm:f>
          </x14:formula1>
          <xm:sqref>H397</xm:sqref>
        </x14:dataValidation>
        <x14:dataValidation type="list" allowBlank="1" showInputMessage="1" showErrorMessage="1" xr:uid="{C7BF2DF3-311B-4853-B875-4E3FFE33AD41}">
          <x14:formula1>
            <xm:f>Manutention!A2:A11</xm:f>
          </x14:formula1>
          <xm:sqref>H398</xm:sqref>
        </x14:dataValidation>
        <x14:dataValidation type="list" allowBlank="1" showInputMessage="1" showErrorMessage="1" xr:uid="{B23C6224-1836-4634-ADB8-75C5DAB0F77E}">
          <x14:formula1>
            <xm:f>Manutention!A2:A11</xm:f>
          </x14:formula1>
          <xm:sqref>H399</xm:sqref>
        </x14:dataValidation>
        <x14:dataValidation type="list" allowBlank="1" showInputMessage="1" showErrorMessage="1" xr:uid="{73CC329D-2D44-4432-85B6-02A9BB052EB8}">
          <x14:formula1>
            <xm:f>Camion!A2:A11</xm:f>
          </x14:formula1>
          <xm:sqref>L400</xm:sqref>
        </x14:dataValidation>
        <x14:dataValidation type="list" allowBlank="1" showInputMessage="1" showErrorMessage="1" xr:uid="{DEAF25F5-6014-4A19-BD2E-27AA56946D6E}">
          <x14:formula1>
            <xm:f>Camion!A2:A11</xm:f>
          </x14:formula1>
          <xm:sqref>L401</xm:sqref>
        </x14:dataValidation>
        <x14:dataValidation type="list" allowBlank="1" showInputMessage="1" showErrorMessage="1" xr:uid="{090884E4-D87C-4F00-9D42-10875B9C2D07}">
          <x14:formula1>
            <xm:f>Manutention!A2:A11</xm:f>
          </x14:formula1>
          <xm:sqref>H402</xm:sqref>
        </x14:dataValidation>
        <x14:dataValidation type="list" allowBlank="1" showInputMessage="1" showErrorMessage="1" xr:uid="{05C41352-CAEA-4AF3-AC4A-C40E35AB6A20}">
          <x14:formula1>
            <xm:f>Manutention!A2:A11</xm:f>
          </x14:formula1>
          <xm:sqref>H403</xm:sqref>
        </x14:dataValidation>
        <x14:dataValidation type="list" allowBlank="1" showInputMessage="1" showErrorMessage="1" xr:uid="{5BA9C4B8-94DF-4E51-8593-0613B2258DF5}">
          <x14:formula1>
            <xm:f>Manutention!A2:A11</xm:f>
          </x14:formula1>
          <xm:sqref>H404</xm:sqref>
        </x14:dataValidation>
        <x14:dataValidation type="list" allowBlank="1" showInputMessage="1" showErrorMessage="1" xr:uid="{C1DD123F-8EEA-4560-A380-81073B53BAFB}">
          <x14:formula1>
            <xm:f>Manutention!A2:A11</xm:f>
          </x14:formula1>
          <xm:sqref>H405</xm:sqref>
        </x14:dataValidation>
        <x14:dataValidation type="list" allowBlank="1" showInputMessage="1" showErrorMessage="1" xr:uid="{3FC2FB90-DF09-4643-AC6F-59782482D424}">
          <x14:formula1>
            <xm:f>Manutention!A2:A11</xm:f>
          </x14:formula1>
          <xm:sqref>H406</xm:sqref>
        </x14:dataValidation>
        <x14:dataValidation type="list" allowBlank="1" showInputMessage="1" showErrorMessage="1" xr:uid="{C4E5A0F7-5109-43B3-B87B-F65ACB7C8574}">
          <x14:formula1>
            <xm:f>Manutention!A2:A11</xm:f>
          </x14:formula1>
          <xm:sqref>H407</xm:sqref>
        </x14:dataValidation>
        <x14:dataValidation type="list" allowBlank="1" showInputMessage="1" showErrorMessage="1" xr:uid="{A2C685F0-523C-47FD-8D71-3D187EF56F22}">
          <x14:formula1>
            <xm:f>Manutention!A2:A11</xm:f>
          </x14:formula1>
          <xm:sqref>H408</xm:sqref>
        </x14:dataValidation>
        <x14:dataValidation type="list" allowBlank="1" showInputMessage="1" showErrorMessage="1" xr:uid="{ABCA5E72-197B-4D9B-93C7-124E7CD7BE33}">
          <x14:formula1>
            <xm:f>Manutention!A2:A11</xm:f>
          </x14:formula1>
          <xm:sqref>H409</xm:sqref>
        </x14:dataValidation>
        <x14:dataValidation type="list" allowBlank="1" showInputMessage="1" showErrorMessage="1" xr:uid="{84D7D79C-8126-4537-8412-C54A3599F57A}">
          <x14:formula1>
            <xm:f>Camion!A2:A11</xm:f>
          </x14:formula1>
          <xm:sqref>L410</xm:sqref>
        </x14:dataValidation>
        <x14:dataValidation type="list" allowBlank="1" showInputMessage="1" showErrorMessage="1" xr:uid="{A15B11FE-9BF2-4F91-A4C8-2C60495C671B}">
          <x14:formula1>
            <xm:f>Camion!A2:A11</xm:f>
          </x14:formula1>
          <xm:sqref>L411</xm:sqref>
        </x14:dataValidation>
        <x14:dataValidation type="list" allowBlank="1" showInputMessage="1" showErrorMessage="1" xr:uid="{D1250DDA-04B4-46FA-91DB-B6121D2E93A5}">
          <x14:formula1>
            <xm:f>Manutention!A2:A11</xm:f>
          </x14:formula1>
          <xm:sqref>H412</xm:sqref>
        </x14:dataValidation>
        <x14:dataValidation type="list" allowBlank="1" showInputMessage="1" showErrorMessage="1" xr:uid="{EB0CF607-64DC-4AD5-9308-AF66D7640C9F}">
          <x14:formula1>
            <xm:f>Manutention!A2:A11</xm:f>
          </x14:formula1>
          <xm:sqref>H413</xm:sqref>
        </x14:dataValidation>
        <x14:dataValidation type="list" allowBlank="1" showInputMessage="1" showErrorMessage="1" xr:uid="{F1AB3CF6-C6DE-413C-9F09-71B9EA6F0E9C}">
          <x14:formula1>
            <xm:f>Manutention!A2:A11</xm:f>
          </x14:formula1>
          <xm:sqref>H414</xm:sqref>
        </x14:dataValidation>
        <x14:dataValidation type="list" allowBlank="1" showInputMessage="1" showErrorMessage="1" xr:uid="{FFE26544-1CCA-41AF-9F35-2299A05431C6}">
          <x14:formula1>
            <xm:f>Manutention!A2:A11</xm:f>
          </x14:formula1>
          <xm:sqref>H415</xm:sqref>
        </x14:dataValidation>
        <x14:dataValidation type="list" allowBlank="1" showInputMessage="1" showErrorMessage="1" xr:uid="{214BDA54-94CF-43DE-A208-082036070351}">
          <x14:formula1>
            <xm:f>Manutention!A2:A11</xm:f>
          </x14:formula1>
          <xm:sqref>H416</xm:sqref>
        </x14:dataValidation>
        <x14:dataValidation type="list" allowBlank="1" showInputMessage="1" showErrorMessage="1" xr:uid="{41CA93A0-F8EA-4ACE-A38A-6F8F1D1AD032}">
          <x14:formula1>
            <xm:f>Manutention!A2:A11</xm:f>
          </x14:formula1>
          <xm:sqref>H417</xm:sqref>
        </x14:dataValidation>
        <x14:dataValidation type="list" allowBlank="1" showInputMessage="1" showErrorMessage="1" xr:uid="{0ED2B553-2772-47BE-9316-DBB38C624BAF}">
          <x14:formula1>
            <xm:f>Manutention!A2:A11</xm:f>
          </x14:formula1>
          <xm:sqref>H418</xm:sqref>
        </x14:dataValidation>
        <x14:dataValidation type="list" allowBlank="1" showInputMessage="1" showErrorMessage="1" xr:uid="{1100B258-8574-4B01-A01B-A2925973A1F6}">
          <x14:formula1>
            <xm:f>Manutention!A2:A11</xm:f>
          </x14:formula1>
          <xm:sqref>H419</xm:sqref>
        </x14:dataValidation>
        <x14:dataValidation type="list" allowBlank="1" showInputMessage="1" showErrorMessage="1" xr:uid="{AD67DFD4-EA06-4F77-B221-1CA16400EFD2}">
          <x14:formula1>
            <xm:f>Camion!A2:A11</xm:f>
          </x14:formula1>
          <xm:sqref>L420</xm:sqref>
        </x14:dataValidation>
        <x14:dataValidation type="list" allowBlank="1" showInputMessage="1" showErrorMessage="1" xr:uid="{F351C923-2762-48A1-BE60-70029D46A61D}">
          <x14:formula1>
            <xm:f>Camion!A2:A11</xm:f>
          </x14:formula1>
          <xm:sqref>L421</xm:sqref>
        </x14:dataValidation>
        <x14:dataValidation type="list" allowBlank="1" showInputMessage="1" showErrorMessage="1" xr:uid="{5B047250-4805-4277-A97F-7A2C362A7CAB}">
          <x14:formula1>
            <xm:f>Manutention!A2:A11</xm:f>
          </x14:formula1>
          <xm:sqref>H422</xm:sqref>
        </x14:dataValidation>
        <x14:dataValidation type="list" allowBlank="1" showInputMessage="1" showErrorMessage="1" xr:uid="{941A9F2D-034D-4F50-96F8-E436A46A9C69}">
          <x14:formula1>
            <xm:f>Manutention!A2:A11</xm:f>
          </x14:formula1>
          <xm:sqref>H423</xm:sqref>
        </x14:dataValidation>
        <x14:dataValidation type="list" allowBlank="1" showInputMessage="1" showErrorMessage="1" xr:uid="{B53FC32D-424E-4D0A-8302-5A3BEE567FD5}">
          <x14:formula1>
            <xm:f>Manutention!A2:A11</xm:f>
          </x14:formula1>
          <xm:sqref>H424</xm:sqref>
        </x14:dataValidation>
        <x14:dataValidation type="list" allowBlank="1" showInputMessage="1" showErrorMessage="1" xr:uid="{D2BCD6AB-2597-496C-885B-B51B685D9F08}">
          <x14:formula1>
            <xm:f>Manutention!A2:A11</xm:f>
          </x14:formula1>
          <xm:sqref>H425</xm:sqref>
        </x14:dataValidation>
        <x14:dataValidation type="list" allowBlank="1" showInputMessage="1" showErrorMessage="1" xr:uid="{E915AAAF-1373-44D2-A282-82055E1DAAEF}">
          <x14:formula1>
            <xm:f>Manutention!A2:A11</xm:f>
          </x14:formula1>
          <xm:sqref>H426</xm:sqref>
        </x14:dataValidation>
        <x14:dataValidation type="list" allowBlank="1" showInputMessage="1" showErrorMessage="1" xr:uid="{40FB33CA-3280-4B70-A50A-9462C65DB485}">
          <x14:formula1>
            <xm:f>Manutention!A2:A11</xm:f>
          </x14:formula1>
          <xm:sqref>H427</xm:sqref>
        </x14:dataValidation>
        <x14:dataValidation type="list" allowBlank="1" showInputMessage="1" showErrorMessage="1" xr:uid="{E902521C-3BA0-4757-A2A8-DA50C12AC59F}">
          <x14:formula1>
            <xm:f>Manutention!A2:A11</xm:f>
          </x14:formula1>
          <xm:sqref>H428</xm:sqref>
        </x14:dataValidation>
        <x14:dataValidation type="list" allowBlank="1" showInputMessage="1" showErrorMessage="1" xr:uid="{C9056F6C-8669-4BF5-A4AD-445D0E21E46E}">
          <x14:formula1>
            <xm:f>Manutention!A2:A11</xm:f>
          </x14:formula1>
          <xm:sqref>H429</xm:sqref>
        </x14:dataValidation>
        <x14:dataValidation type="list" allowBlank="1" showInputMessage="1" showErrorMessage="1" xr:uid="{058353CF-BF3E-4824-A74F-43BE784C024E}">
          <x14:formula1>
            <xm:f>Camion!A2:A11</xm:f>
          </x14:formula1>
          <xm:sqref>L430</xm:sqref>
        </x14:dataValidation>
        <x14:dataValidation type="list" allowBlank="1" showInputMessage="1" showErrorMessage="1" xr:uid="{26F737E1-C276-465B-9551-09949241A2E5}">
          <x14:formula1>
            <xm:f>Camion!A2:A11</xm:f>
          </x14:formula1>
          <xm:sqref>L431</xm:sqref>
        </x14:dataValidation>
        <x14:dataValidation type="list" allowBlank="1" showInputMessage="1" showErrorMessage="1" xr:uid="{FCCA7A71-E164-46C0-A901-96A6365F0740}">
          <x14:formula1>
            <xm:f>Manutention!A2:A11</xm:f>
          </x14:formula1>
          <xm:sqref>H432</xm:sqref>
        </x14:dataValidation>
        <x14:dataValidation type="list" allowBlank="1" showInputMessage="1" showErrorMessage="1" xr:uid="{733641E6-E7D2-476E-983B-ADE7CE987E23}">
          <x14:formula1>
            <xm:f>Manutention!A2:A11</xm:f>
          </x14:formula1>
          <xm:sqref>H433</xm:sqref>
        </x14:dataValidation>
        <x14:dataValidation type="list" allowBlank="1" showInputMessage="1" showErrorMessage="1" xr:uid="{9DD18FD2-EAB1-4748-AA8C-7922B6DB54A6}">
          <x14:formula1>
            <xm:f>Manutention!A2:A11</xm:f>
          </x14:formula1>
          <xm:sqref>H434</xm:sqref>
        </x14:dataValidation>
        <x14:dataValidation type="list" allowBlank="1" showInputMessage="1" showErrorMessage="1" xr:uid="{C3DFEC5A-1507-4EF1-AE25-B6F7A27D5649}">
          <x14:formula1>
            <xm:f>Manutention!A2:A11</xm:f>
          </x14:formula1>
          <xm:sqref>H435</xm:sqref>
        </x14:dataValidation>
        <x14:dataValidation type="list" allowBlank="1" showInputMessage="1" showErrorMessage="1" xr:uid="{A11CA766-63A9-4C8B-8D51-2E63A8EB41DB}">
          <x14:formula1>
            <xm:f>Manutention!A2:A11</xm:f>
          </x14:formula1>
          <xm:sqref>H436</xm:sqref>
        </x14:dataValidation>
        <x14:dataValidation type="list" allowBlank="1" showInputMessage="1" showErrorMessage="1" xr:uid="{52FD78E8-D344-4F6C-A836-9B1BBF550B3F}">
          <x14:formula1>
            <xm:f>Manutention!A2:A11</xm:f>
          </x14:formula1>
          <xm:sqref>H437</xm:sqref>
        </x14:dataValidation>
        <x14:dataValidation type="list" allowBlank="1" showInputMessage="1" showErrorMessage="1" xr:uid="{12AD29F5-5652-496F-A7F0-54D84F4012ED}">
          <x14:formula1>
            <xm:f>Manutention!A2:A11</xm:f>
          </x14:formula1>
          <xm:sqref>H438</xm:sqref>
        </x14:dataValidation>
        <x14:dataValidation type="list" allowBlank="1" showInputMessage="1" showErrorMessage="1" xr:uid="{994002ED-B070-48A8-A329-2C0EC6D4A85A}">
          <x14:formula1>
            <xm:f>Manutention!A2:A11</xm:f>
          </x14:formula1>
          <xm:sqref>H439</xm:sqref>
        </x14:dataValidation>
        <x14:dataValidation type="list" allowBlank="1" showInputMessage="1" showErrorMessage="1" xr:uid="{BDC0EC78-A00D-4717-9FB2-880C283D906A}">
          <x14:formula1>
            <xm:f>Camion!A2:A11</xm:f>
          </x14:formula1>
          <xm:sqref>L440</xm:sqref>
        </x14:dataValidation>
        <x14:dataValidation type="list" allowBlank="1" showInputMessage="1" showErrorMessage="1" xr:uid="{1527F4D2-133B-4CD2-91B1-3E669FCBE095}">
          <x14:formula1>
            <xm:f>Camion!A2:A11</xm:f>
          </x14:formula1>
          <xm:sqref>L441</xm:sqref>
        </x14:dataValidation>
        <x14:dataValidation type="list" allowBlank="1" showInputMessage="1" showErrorMessage="1" xr:uid="{CB0027DA-A656-40CD-B586-9F2A3B504E67}">
          <x14:formula1>
            <xm:f>Manutention!A2:A11</xm:f>
          </x14:formula1>
          <xm:sqref>H442</xm:sqref>
        </x14:dataValidation>
        <x14:dataValidation type="list" allowBlank="1" showInputMessage="1" showErrorMessage="1" xr:uid="{3794913A-CF2E-4357-B05E-7F57834CFD0F}">
          <x14:formula1>
            <xm:f>Manutention!A2:A11</xm:f>
          </x14:formula1>
          <xm:sqref>H443</xm:sqref>
        </x14:dataValidation>
        <x14:dataValidation type="list" allowBlank="1" showInputMessage="1" showErrorMessage="1" xr:uid="{9B7575B8-B834-4BEE-83F1-486BDF852E97}">
          <x14:formula1>
            <xm:f>Manutention!A2:A11</xm:f>
          </x14:formula1>
          <xm:sqref>H444</xm:sqref>
        </x14:dataValidation>
        <x14:dataValidation type="list" allowBlank="1" showInputMessage="1" showErrorMessage="1" xr:uid="{39FB1BE4-38FB-4EEC-962A-D27DDE6981E7}">
          <x14:formula1>
            <xm:f>Manutention!A2:A11</xm:f>
          </x14:formula1>
          <xm:sqref>H445</xm:sqref>
        </x14:dataValidation>
        <x14:dataValidation type="list" allowBlank="1" showInputMessage="1" showErrorMessage="1" xr:uid="{67414C9D-049A-4EF4-A98F-1F678EA0DD6E}">
          <x14:formula1>
            <xm:f>Manutention!A2:A11</xm:f>
          </x14:formula1>
          <xm:sqref>H446</xm:sqref>
        </x14:dataValidation>
        <x14:dataValidation type="list" allowBlank="1" showInputMessage="1" showErrorMessage="1" xr:uid="{C9710A41-0C56-4A26-B445-C38D9510165C}">
          <x14:formula1>
            <xm:f>Manutention!A2:A11</xm:f>
          </x14:formula1>
          <xm:sqref>H447</xm:sqref>
        </x14:dataValidation>
        <x14:dataValidation type="list" allowBlank="1" showInputMessage="1" showErrorMessage="1" xr:uid="{A85314BD-D043-4BCC-B710-C21F19F24DDD}">
          <x14:formula1>
            <xm:f>Manutention!A2:A11</xm:f>
          </x14:formula1>
          <xm:sqref>H448</xm:sqref>
        </x14:dataValidation>
        <x14:dataValidation type="list" allowBlank="1" showInputMessage="1" showErrorMessage="1" xr:uid="{4A0DA749-DFEB-438A-9317-98312D2DF12A}">
          <x14:formula1>
            <xm:f>Manutention!A2:A11</xm:f>
          </x14:formula1>
          <xm:sqref>H449</xm:sqref>
        </x14:dataValidation>
        <x14:dataValidation type="list" allowBlank="1" showInputMessage="1" showErrorMessage="1" xr:uid="{E6ED856C-1B06-4D65-BFFE-08F2321FFF17}">
          <x14:formula1>
            <xm:f>Camion!A2:A11</xm:f>
          </x14:formula1>
          <xm:sqref>L450</xm:sqref>
        </x14:dataValidation>
        <x14:dataValidation type="list" allowBlank="1" showInputMessage="1" showErrorMessage="1" xr:uid="{3B3022E6-7DFC-4992-AE15-143E5D01634B}">
          <x14:formula1>
            <xm:f>Camion!A2:A11</xm:f>
          </x14:formula1>
          <xm:sqref>L451</xm:sqref>
        </x14:dataValidation>
        <x14:dataValidation type="list" allowBlank="1" showInputMessage="1" showErrorMessage="1" xr:uid="{F3BD80ED-70F5-4AF5-875D-0567C239C7AC}">
          <x14:formula1>
            <xm:f>Manutention!A2:A11</xm:f>
          </x14:formula1>
          <xm:sqref>H452</xm:sqref>
        </x14:dataValidation>
        <x14:dataValidation type="list" allowBlank="1" showInputMessage="1" showErrorMessage="1" xr:uid="{B09C0013-2A87-4C0B-868A-7B8235763A15}">
          <x14:formula1>
            <xm:f>Manutention!A2:A11</xm:f>
          </x14:formula1>
          <xm:sqref>H453</xm:sqref>
        </x14:dataValidation>
        <x14:dataValidation type="list" allowBlank="1" showInputMessage="1" showErrorMessage="1" xr:uid="{9E2125C9-D9F0-4D52-9F83-C438EE2F6D0C}">
          <x14:formula1>
            <xm:f>Manutention!A2:A11</xm:f>
          </x14:formula1>
          <xm:sqref>H454</xm:sqref>
        </x14:dataValidation>
        <x14:dataValidation type="list" allowBlank="1" showInputMessage="1" showErrorMessage="1" xr:uid="{5D7C969C-6279-4BA6-97D1-103F241E58C3}">
          <x14:formula1>
            <xm:f>Manutention!A2:A11</xm:f>
          </x14:formula1>
          <xm:sqref>H455</xm:sqref>
        </x14:dataValidation>
        <x14:dataValidation type="list" allowBlank="1" showInputMessage="1" showErrorMessage="1" xr:uid="{2B0D064B-850B-4BEB-8421-20D347B3EC81}">
          <x14:formula1>
            <xm:f>Manutention!A2:A11</xm:f>
          </x14:formula1>
          <xm:sqref>H456</xm:sqref>
        </x14:dataValidation>
        <x14:dataValidation type="list" allowBlank="1" showInputMessage="1" showErrorMessage="1" xr:uid="{A2788CF4-2A5E-42A0-A859-C057CC12D699}">
          <x14:formula1>
            <xm:f>Manutention!A2:A11</xm:f>
          </x14:formula1>
          <xm:sqref>H457</xm:sqref>
        </x14:dataValidation>
        <x14:dataValidation type="list" allowBlank="1" showInputMessage="1" showErrorMessage="1" xr:uid="{B72870B4-E8C3-4DD7-A7D4-27D77D9EA843}">
          <x14:formula1>
            <xm:f>Manutention!A2:A11</xm:f>
          </x14:formula1>
          <xm:sqref>H458</xm:sqref>
        </x14:dataValidation>
        <x14:dataValidation type="list" allowBlank="1" showInputMessage="1" showErrorMessage="1" xr:uid="{0E1E873B-B318-4D4E-A81D-315E7C83C814}">
          <x14:formula1>
            <xm:f>Manutention!A2:A11</xm:f>
          </x14:formula1>
          <xm:sqref>H459</xm:sqref>
        </x14:dataValidation>
        <x14:dataValidation type="list" allowBlank="1" showInputMessage="1" showErrorMessage="1" xr:uid="{18D01DB8-6890-413C-AF8D-019933371BCA}">
          <x14:formula1>
            <xm:f>Camion!A2:A11</xm:f>
          </x14:formula1>
          <xm:sqref>L460</xm:sqref>
        </x14:dataValidation>
        <x14:dataValidation type="list" allowBlank="1" showInputMessage="1" showErrorMessage="1" xr:uid="{C27E9236-8046-4C2D-9D92-38FE284D1737}">
          <x14:formula1>
            <xm:f>Camion!A2:A11</xm:f>
          </x14:formula1>
          <xm:sqref>L461</xm:sqref>
        </x14:dataValidation>
        <x14:dataValidation type="list" allowBlank="1" showInputMessage="1" showErrorMessage="1" xr:uid="{1CFE369E-1FB6-4D46-8DA2-5232EE6BD11C}">
          <x14:formula1>
            <xm:f>Manutention!A2:A11</xm:f>
          </x14:formula1>
          <xm:sqref>H462</xm:sqref>
        </x14:dataValidation>
        <x14:dataValidation type="list" allowBlank="1" showInputMessage="1" showErrorMessage="1" xr:uid="{036D49F3-4DF3-4FD6-95CE-61C094AC05D2}">
          <x14:formula1>
            <xm:f>Manutention!A2:A11</xm:f>
          </x14:formula1>
          <xm:sqref>H463</xm:sqref>
        </x14:dataValidation>
        <x14:dataValidation type="list" allowBlank="1" showInputMessage="1" showErrorMessage="1" xr:uid="{B3FAD193-6395-4B70-9118-007E8336D9C7}">
          <x14:formula1>
            <xm:f>Manutention!A2:A11</xm:f>
          </x14:formula1>
          <xm:sqref>H464</xm:sqref>
        </x14:dataValidation>
        <x14:dataValidation type="list" allowBlank="1" showInputMessage="1" showErrorMessage="1" xr:uid="{FAD37D90-C9E0-4770-A9C3-52D2BB158F97}">
          <x14:formula1>
            <xm:f>Manutention!A2:A11</xm:f>
          </x14:formula1>
          <xm:sqref>H465</xm:sqref>
        </x14:dataValidation>
        <x14:dataValidation type="list" allowBlank="1" showInputMessage="1" showErrorMessage="1" xr:uid="{596AED53-4A86-4F14-A4E8-44FF4F08177B}">
          <x14:formula1>
            <xm:f>Manutention!A2:A11</xm:f>
          </x14:formula1>
          <xm:sqref>H466</xm:sqref>
        </x14:dataValidation>
        <x14:dataValidation type="list" allowBlank="1" showInputMessage="1" showErrorMessage="1" xr:uid="{436C86FC-3098-4A5A-ADE1-014E995E369A}">
          <x14:formula1>
            <xm:f>Manutention!A2:A11</xm:f>
          </x14:formula1>
          <xm:sqref>H467</xm:sqref>
        </x14:dataValidation>
        <x14:dataValidation type="list" allowBlank="1" showInputMessage="1" showErrorMessage="1" xr:uid="{5D1BA567-24E8-4FE3-81D0-C9F424F47B2E}">
          <x14:formula1>
            <xm:f>Manutention!A2:A11</xm:f>
          </x14:formula1>
          <xm:sqref>H468</xm:sqref>
        </x14:dataValidation>
        <x14:dataValidation type="list" allowBlank="1" showInputMessage="1" showErrorMessage="1" xr:uid="{039174EB-E039-44F8-9112-A185A7A54045}">
          <x14:formula1>
            <xm:f>Manutention!A2:A11</xm:f>
          </x14:formula1>
          <xm:sqref>H469</xm:sqref>
        </x14:dataValidation>
        <x14:dataValidation type="list" allowBlank="1" showInputMessage="1" showErrorMessage="1" xr:uid="{F422A8DC-7AE2-44FA-830B-35B991DA8440}">
          <x14:formula1>
            <xm:f>Camion!A2:A11</xm:f>
          </x14:formula1>
          <xm:sqref>L470</xm:sqref>
        </x14:dataValidation>
        <x14:dataValidation type="list" allowBlank="1" showInputMessage="1" showErrorMessage="1" xr:uid="{390A9B65-3E1C-425A-9AC6-9BCA2AFFA7E0}">
          <x14:formula1>
            <xm:f>Camion!A2:A11</xm:f>
          </x14:formula1>
          <xm:sqref>L471</xm:sqref>
        </x14:dataValidation>
        <x14:dataValidation type="list" allowBlank="1" showInputMessage="1" showErrorMessage="1" xr:uid="{7FD8CBFB-B47D-48AA-975F-AE1E7BDA76C4}">
          <x14:formula1>
            <xm:f>Manutention!A2:A11</xm:f>
          </x14:formula1>
          <xm:sqref>H472</xm:sqref>
        </x14:dataValidation>
        <x14:dataValidation type="list" allowBlank="1" showInputMessage="1" showErrorMessage="1" xr:uid="{E32FF66E-0165-4331-A17B-A7E3B09D5F65}">
          <x14:formula1>
            <xm:f>Manutention!A2:A11</xm:f>
          </x14:formula1>
          <xm:sqref>H473</xm:sqref>
        </x14:dataValidation>
        <x14:dataValidation type="list" allowBlank="1" showInputMessage="1" showErrorMessage="1" xr:uid="{9C68B0FD-D08A-457F-BF24-BAD5C50186E7}">
          <x14:formula1>
            <xm:f>Manutention!A2:A11</xm:f>
          </x14:formula1>
          <xm:sqref>H474</xm:sqref>
        </x14:dataValidation>
        <x14:dataValidation type="list" allowBlank="1" showInputMessage="1" showErrorMessage="1" xr:uid="{8AA9E712-B5D9-4D41-A286-899DEE656C74}">
          <x14:formula1>
            <xm:f>Manutention!A2:A11</xm:f>
          </x14:formula1>
          <xm:sqref>H475</xm:sqref>
        </x14:dataValidation>
        <x14:dataValidation type="list" allowBlank="1" showInputMessage="1" showErrorMessage="1" xr:uid="{DD4C0C22-88C9-4C37-8B68-EEFFD4FE114E}">
          <x14:formula1>
            <xm:f>Manutention!A2:A11</xm:f>
          </x14:formula1>
          <xm:sqref>H476</xm:sqref>
        </x14:dataValidation>
        <x14:dataValidation type="list" allowBlank="1" showInputMessage="1" showErrorMessage="1" xr:uid="{1BA678C3-BBFA-478A-82E4-14A0CE93B6BF}">
          <x14:formula1>
            <xm:f>Manutention!A2:A11</xm:f>
          </x14:formula1>
          <xm:sqref>H477</xm:sqref>
        </x14:dataValidation>
        <x14:dataValidation type="list" allowBlank="1" showInputMessage="1" showErrorMessage="1" xr:uid="{8C6EF8CE-F5F2-4468-B316-D875BCC1C9FF}">
          <x14:formula1>
            <xm:f>Manutention!A2:A11</xm:f>
          </x14:formula1>
          <xm:sqref>H478</xm:sqref>
        </x14:dataValidation>
        <x14:dataValidation type="list" allowBlank="1" showInputMessage="1" showErrorMessage="1" xr:uid="{9DA66687-3292-4FE7-85ED-89BFB362559C}">
          <x14:formula1>
            <xm:f>Manutention!A2:A11</xm:f>
          </x14:formula1>
          <xm:sqref>H479</xm:sqref>
        </x14:dataValidation>
        <x14:dataValidation type="list" allowBlank="1" showInputMessage="1" showErrorMessage="1" xr:uid="{A54DB6AF-5652-4E52-B23E-D97C8A8FA2A0}">
          <x14:formula1>
            <xm:f>Camion!A2:A11</xm:f>
          </x14:formula1>
          <xm:sqref>L480</xm:sqref>
        </x14:dataValidation>
        <x14:dataValidation type="list" allowBlank="1" showInputMessage="1" showErrorMessage="1" xr:uid="{68ABA19C-7233-40B5-9F69-54865EF7D8F8}">
          <x14:formula1>
            <xm:f>Camion!A2:A11</xm:f>
          </x14:formula1>
          <xm:sqref>L481</xm:sqref>
        </x14:dataValidation>
        <x14:dataValidation type="list" allowBlank="1" showInputMessage="1" showErrorMessage="1" xr:uid="{D667D5A8-631C-45BA-9C6B-BA122E6F007A}">
          <x14:formula1>
            <xm:f>Manutention!A2:A11</xm:f>
          </x14:formula1>
          <xm:sqref>H482</xm:sqref>
        </x14:dataValidation>
        <x14:dataValidation type="list" allowBlank="1" showInputMessage="1" showErrorMessage="1" xr:uid="{56A56CC7-A017-4F0D-A75F-C31CFF128FA2}">
          <x14:formula1>
            <xm:f>Manutention!A2:A11</xm:f>
          </x14:formula1>
          <xm:sqref>H483</xm:sqref>
        </x14:dataValidation>
        <x14:dataValidation type="list" allowBlank="1" showInputMessage="1" showErrorMessage="1" xr:uid="{748C9BF4-6F4E-4D11-9A49-BEBA76730574}">
          <x14:formula1>
            <xm:f>Manutention!A2:A11</xm:f>
          </x14:formula1>
          <xm:sqref>H484</xm:sqref>
        </x14:dataValidation>
        <x14:dataValidation type="list" allowBlank="1" showInputMessage="1" showErrorMessage="1" xr:uid="{179BDF4A-C597-4C81-865D-6E2AF34E0AC9}">
          <x14:formula1>
            <xm:f>Manutention!A2:A11</xm:f>
          </x14:formula1>
          <xm:sqref>H485</xm:sqref>
        </x14:dataValidation>
        <x14:dataValidation type="list" allowBlank="1" showInputMessage="1" showErrorMessage="1" xr:uid="{59A8C464-3BF4-41A7-8B65-CB9413651CD1}">
          <x14:formula1>
            <xm:f>Manutention!A2:A11</xm:f>
          </x14:formula1>
          <xm:sqref>H486</xm:sqref>
        </x14:dataValidation>
        <x14:dataValidation type="list" allowBlank="1" showInputMessage="1" showErrorMessage="1" xr:uid="{76DA0FED-3155-4514-B371-5E6CBE111611}">
          <x14:formula1>
            <xm:f>Manutention!A2:A11</xm:f>
          </x14:formula1>
          <xm:sqref>H487</xm:sqref>
        </x14:dataValidation>
        <x14:dataValidation type="list" allowBlank="1" showInputMessage="1" showErrorMessage="1" xr:uid="{D144BA91-7352-4C30-B86E-EB4682E61632}">
          <x14:formula1>
            <xm:f>Manutention!A2:A11</xm:f>
          </x14:formula1>
          <xm:sqref>H488</xm:sqref>
        </x14:dataValidation>
        <x14:dataValidation type="list" allowBlank="1" showInputMessage="1" showErrorMessage="1" xr:uid="{C02BA3BE-25AD-4169-8B4A-633505F1DE56}">
          <x14:formula1>
            <xm:f>Manutention!A2:A11</xm:f>
          </x14:formula1>
          <xm:sqref>H489</xm:sqref>
        </x14:dataValidation>
        <x14:dataValidation type="list" allowBlank="1" showInputMessage="1" showErrorMessage="1" xr:uid="{970A95DD-86A1-4928-8A0C-C359C925CF79}">
          <x14:formula1>
            <xm:f>Camion!A2:A11</xm:f>
          </x14:formula1>
          <xm:sqref>L490</xm:sqref>
        </x14:dataValidation>
        <x14:dataValidation type="list" allowBlank="1" showInputMessage="1" showErrorMessage="1" xr:uid="{CDAD774A-3BC6-4F82-8963-EF96A88F7CAD}">
          <x14:formula1>
            <xm:f>Camion!A2:A11</xm:f>
          </x14:formula1>
          <xm:sqref>L491</xm:sqref>
        </x14:dataValidation>
        <x14:dataValidation type="list" allowBlank="1" showInputMessage="1" showErrorMessage="1" xr:uid="{D17E6A96-BB06-4604-B4C1-FB40B173225F}">
          <x14:formula1>
            <xm:f>Manutention!A2:A11</xm:f>
          </x14:formula1>
          <xm:sqref>H492</xm:sqref>
        </x14:dataValidation>
        <x14:dataValidation type="list" allowBlank="1" showInputMessage="1" showErrorMessage="1" xr:uid="{44E33482-1634-4771-933B-9419F89D242A}">
          <x14:formula1>
            <xm:f>Manutention!A2:A11</xm:f>
          </x14:formula1>
          <xm:sqref>H493</xm:sqref>
        </x14:dataValidation>
        <x14:dataValidation type="list" allowBlank="1" showInputMessage="1" showErrorMessage="1" xr:uid="{31C96855-32C9-4AC9-B4A4-7D90B9746E3A}">
          <x14:formula1>
            <xm:f>Manutention!A2:A11</xm:f>
          </x14:formula1>
          <xm:sqref>H494</xm:sqref>
        </x14:dataValidation>
        <x14:dataValidation type="list" allowBlank="1" showInputMessage="1" showErrorMessage="1" xr:uid="{DF969E21-E458-46E1-B0AD-9AA18AF25607}">
          <x14:formula1>
            <xm:f>Manutention!A2:A11</xm:f>
          </x14:formula1>
          <xm:sqref>H495</xm:sqref>
        </x14:dataValidation>
        <x14:dataValidation type="list" allowBlank="1" showInputMessage="1" showErrorMessage="1" xr:uid="{7F2A7BE1-6B43-4135-BBF9-6F718123C34F}">
          <x14:formula1>
            <xm:f>Manutention!A2:A11</xm:f>
          </x14:formula1>
          <xm:sqref>H496</xm:sqref>
        </x14:dataValidation>
        <x14:dataValidation type="list" allowBlank="1" showInputMessage="1" showErrorMessage="1" xr:uid="{ADC9C716-EB24-402D-BF61-675D948E763F}">
          <x14:formula1>
            <xm:f>Manutention!A2:A11</xm:f>
          </x14:formula1>
          <xm:sqref>H497</xm:sqref>
        </x14:dataValidation>
        <x14:dataValidation type="list" allowBlank="1" showInputMessage="1" showErrorMessage="1" xr:uid="{838090F6-61FA-461F-84F4-47AA4D3B26D9}">
          <x14:formula1>
            <xm:f>Manutention!A2:A11</xm:f>
          </x14:formula1>
          <xm:sqref>H498</xm:sqref>
        </x14:dataValidation>
        <x14:dataValidation type="list" allowBlank="1" showInputMessage="1" showErrorMessage="1" xr:uid="{8345B069-B599-4D73-99BC-72DEE77C7BB9}">
          <x14:formula1>
            <xm:f>Manutention!A2:A11</xm:f>
          </x14:formula1>
          <xm:sqref>H499</xm:sqref>
        </x14:dataValidation>
        <x14:dataValidation type="list" allowBlank="1" showInputMessage="1" showErrorMessage="1" xr:uid="{13B09170-D97A-49F0-8F71-8B31B4581076}">
          <x14:formula1>
            <xm:f>Camion!A2:A11</xm:f>
          </x14:formula1>
          <xm:sqref>L500</xm:sqref>
        </x14:dataValidation>
        <x14:dataValidation type="list" allowBlank="1" showInputMessage="1" showErrorMessage="1" xr:uid="{94112E14-33C5-4ADF-B0D2-1B44ECA2E5C4}">
          <x14:formula1>
            <xm:f>Camion!A2:A11</xm:f>
          </x14:formula1>
          <xm:sqref>L501</xm:sqref>
        </x14:dataValidation>
        <x14:dataValidation type="list" allowBlank="1" showInputMessage="1" showErrorMessage="1" xr:uid="{AB9EB930-CB3E-4A45-87D3-AF2714ED2953}">
          <x14:formula1>
            <xm:f>Manutention!A2:A11</xm:f>
          </x14:formula1>
          <xm:sqref>H502</xm:sqref>
        </x14:dataValidation>
        <x14:dataValidation type="list" allowBlank="1" showInputMessage="1" showErrorMessage="1" xr:uid="{CAE6201A-C38C-48D7-BDB5-B3848B207427}">
          <x14:formula1>
            <xm:f>Manutention!A2:A11</xm:f>
          </x14:formula1>
          <xm:sqref>H503</xm:sqref>
        </x14:dataValidation>
        <x14:dataValidation type="list" allowBlank="1" showInputMessage="1" showErrorMessage="1" xr:uid="{5C7D0064-F1C5-4D72-8668-17D83863CF9E}">
          <x14:formula1>
            <xm:f>Manutention!A2:A11</xm:f>
          </x14:formula1>
          <xm:sqref>H504</xm:sqref>
        </x14:dataValidation>
        <x14:dataValidation type="list" allowBlank="1" showInputMessage="1" showErrorMessage="1" xr:uid="{E96F460E-73AB-4B7E-BC87-D7DAA9D5F294}">
          <x14:formula1>
            <xm:f>Manutention!A2:A11</xm:f>
          </x14:formula1>
          <xm:sqref>H505</xm:sqref>
        </x14:dataValidation>
        <x14:dataValidation type="list" allowBlank="1" showInputMessage="1" showErrorMessage="1" xr:uid="{1F400013-8EED-4106-BA6D-CFC5C3FAB14E}">
          <x14:formula1>
            <xm:f>Manutention!A2:A11</xm:f>
          </x14:formula1>
          <xm:sqref>H506</xm:sqref>
        </x14:dataValidation>
        <x14:dataValidation type="list" allowBlank="1" showInputMessage="1" showErrorMessage="1" xr:uid="{D9C950B1-13C1-429D-A7B6-35D0F1CF71B1}">
          <x14:formula1>
            <xm:f>Manutention!A2:A11</xm:f>
          </x14:formula1>
          <xm:sqref>H507</xm:sqref>
        </x14:dataValidation>
        <x14:dataValidation type="list" allowBlank="1" showInputMessage="1" showErrorMessage="1" xr:uid="{63E65729-B66A-4FA3-B2B2-EAC54E82DCB4}">
          <x14:formula1>
            <xm:f>Manutention!A2:A11</xm:f>
          </x14:formula1>
          <xm:sqref>H508</xm:sqref>
        </x14:dataValidation>
        <x14:dataValidation type="list" allowBlank="1" showInputMessage="1" showErrorMessage="1" xr:uid="{B2D25715-5626-4E21-9280-7F432AFB4393}">
          <x14:formula1>
            <xm:f>Manutention!A2:A11</xm:f>
          </x14:formula1>
          <xm:sqref>H509</xm:sqref>
        </x14:dataValidation>
        <x14:dataValidation type="list" allowBlank="1" showInputMessage="1" showErrorMessage="1" xr:uid="{1F4C3274-5AA6-45AD-8A3D-8669729B79D5}">
          <x14:formula1>
            <xm:f>Camion!A2:A11</xm:f>
          </x14:formula1>
          <xm:sqref>L510</xm:sqref>
        </x14:dataValidation>
        <x14:dataValidation type="list" allowBlank="1" showInputMessage="1" showErrorMessage="1" xr:uid="{6AB0D8A7-2163-42D0-963B-90C48C8BE21C}">
          <x14:formula1>
            <xm:f>Camion!A2:A11</xm:f>
          </x14:formula1>
          <xm:sqref>L511</xm:sqref>
        </x14:dataValidation>
        <x14:dataValidation type="list" allowBlank="1" showInputMessage="1" showErrorMessage="1" xr:uid="{CE13A1D5-6CAD-48F9-82F7-D66C91DF678B}">
          <x14:formula1>
            <xm:f>Manutention!A2:A11</xm:f>
          </x14:formula1>
          <xm:sqref>H512</xm:sqref>
        </x14:dataValidation>
        <x14:dataValidation type="list" allowBlank="1" showInputMessage="1" showErrorMessage="1" xr:uid="{E99C84CE-CE64-4964-8205-5B2E6E61BB54}">
          <x14:formula1>
            <xm:f>Manutention!A2:A11</xm:f>
          </x14:formula1>
          <xm:sqref>H513</xm:sqref>
        </x14:dataValidation>
        <x14:dataValidation type="list" allowBlank="1" showInputMessage="1" showErrorMessage="1" xr:uid="{83C32EF6-2237-43CB-A45E-D17C102D30DE}">
          <x14:formula1>
            <xm:f>Manutention!A2:A11</xm:f>
          </x14:formula1>
          <xm:sqref>H514</xm:sqref>
        </x14:dataValidation>
        <x14:dataValidation type="list" allowBlank="1" showInputMessage="1" showErrorMessage="1" xr:uid="{FC2C7672-9504-455F-914C-94E24107007C}">
          <x14:formula1>
            <xm:f>Manutention!A2:A11</xm:f>
          </x14:formula1>
          <xm:sqref>H515</xm:sqref>
        </x14:dataValidation>
        <x14:dataValidation type="list" allowBlank="1" showInputMessage="1" showErrorMessage="1" xr:uid="{C4C9682E-DDC4-49EC-B67A-2E63DA73E11A}">
          <x14:formula1>
            <xm:f>Manutention!A2:A11</xm:f>
          </x14:formula1>
          <xm:sqref>H516</xm:sqref>
        </x14:dataValidation>
        <x14:dataValidation type="list" allowBlank="1" showInputMessage="1" showErrorMessage="1" xr:uid="{6F251ED1-24F3-42EA-893E-FDBC491E4EC1}">
          <x14:formula1>
            <xm:f>Manutention!A2:A11</xm:f>
          </x14:formula1>
          <xm:sqref>H517</xm:sqref>
        </x14:dataValidation>
        <x14:dataValidation type="list" allowBlank="1" showInputMessage="1" showErrorMessage="1" xr:uid="{ECFEA98D-5CEF-4EB0-8780-BCE96A29C54D}">
          <x14:formula1>
            <xm:f>Manutention!A2:A11</xm:f>
          </x14:formula1>
          <xm:sqref>H518</xm:sqref>
        </x14:dataValidation>
        <x14:dataValidation type="list" allowBlank="1" showInputMessage="1" showErrorMessage="1" xr:uid="{913708AB-DEB3-4EEF-BFFE-B8A6D17BEA9B}">
          <x14:formula1>
            <xm:f>Manutention!A2:A11</xm:f>
          </x14:formula1>
          <xm:sqref>H519</xm:sqref>
        </x14:dataValidation>
        <x14:dataValidation type="list" allowBlank="1" showInputMessage="1" showErrorMessage="1" xr:uid="{C89E086E-0BA6-4170-90DD-3C0923597A4B}">
          <x14:formula1>
            <xm:f>Camion!A2:A11</xm:f>
          </x14:formula1>
          <xm:sqref>L520</xm:sqref>
        </x14:dataValidation>
        <x14:dataValidation type="list" allowBlank="1" showInputMessage="1" showErrorMessage="1" xr:uid="{9395CAC2-52C2-448E-A74A-66E1C1A9FCBC}">
          <x14:formula1>
            <xm:f>Camion!A2:A11</xm:f>
          </x14:formula1>
          <xm:sqref>L521</xm:sqref>
        </x14:dataValidation>
        <x14:dataValidation type="list" allowBlank="1" showInputMessage="1" showErrorMessage="1" xr:uid="{D4E7BA10-9854-48AD-B0F7-CA6A7C1A9293}">
          <x14:formula1>
            <xm:f>Manutention!A2:A11</xm:f>
          </x14:formula1>
          <xm:sqref>H522</xm:sqref>
        </x14:dataValidation>
        <x14:dataValidation type="list" allowBlank="1" showInputMessage="1" showErrorMessage="1" xr:uid="{948C786C-845E-4956-8F2A-17BB550BFF40}">
          <x14:formula1>
            <xm:f>Manutention!A2:A11</xm:f>
          </x14:formula1>
          <xm:sqref>H523</xm:sqref>
        </x14:dataValidation>
        <x14:dataValidation type="list" allowBlank="1" showInputMessage="1" showErrorMessage="1" xr:uid="{5A148225-CD45-4167-9F3A-B62CC61067DE}">
          <x14:formula1>
            <xm:f>Manutention!A2:A11</xm:f>
          </x14:formula1>
          <xm:sqref>H524</xm:sqref>
        </x14:dataValidation>
        <x14:dataValidation type="list" allowBlank="1" showInputMessage="1" showErrorMessage="1" xr:uid="{2F7615F0-DD16-47F9-8B4B-AC012DD99ED0}">
          <x14:formula1>
            <xm:f>Manutention!A2:A11</xm:f>
          </x14:formula1>
          <xm:sqref>H525</xm:sqref>
        </x14:dataValidation>
        <x14:dataValidation type="list" allowBlank="1" showInputMessage="1" showErrorMessage="1" xr:uid="{52248C0A-73D4-43B5-9DC0-2BF5360E7D65}">
          <x14:formula1>
            <xm:f>Manutention!A2:A11</xm:f>
          </x14:formula1>
          <xm:sqref>H526</xm:sqref>
        </x14:dataValidation>
        <x14:dataValidation type="list" allowBlank="1" showInputMessage="1" showErrorMessage="1" xr:uid="{67BE9CF4-48A5-4DEE-B750-49D88C61958D}">
          <x14:formula1>
            <xm:f>Manutention!A2:A11</xm:f>
          </x14:formula1>
          <xm:sqref>H527</xm:sqref>
        </x14:dataValidation>
        <x14:dataValidation type="list" allowBlank="1" showInputMessage="1" showErrorMessage="1" xr:uid="{528DC4C4-9E26-4410-AB0C-440B59DC5BF1}">
          <x14:formula1>
            <xm:f>Manutention!A2:A11</xm:f>
          </x14:formula1>
          <xm:sqref>H528</xm:sqref>
        </x14:dataValidation>
        <x14:dataValidation type="list" allowBlank="1" showInputMessage="1" showErrorMessage="1" xr:uid="{454399E2-DE86-48E5-86A4-E0DDDCB11AC0}">
          <x14:formula1>
            <xm:f>Manutention!A2:A11</xm:f>
          </x14:formula1>
          <xm:sqref>H529</xm:sqref>
        </x14:dataValidation>
        <x14:dataValidation type="list" allowBlank="1" showInputMessage="1" showErrorMessage="1" xr:uid="{B5A9B887-3D6F-48FD-BCF1-25604AE82AC4}">
          <x14:formula1>
            <xm:f>Camion!A2:A11</xm:f>
          </x14:formula1>
          <xm:sqref>L530</xm:sqref>
        </x14:dataValidation>
        <x14:dataValidation type="list" allowBlank="1" showInputMessage="1" showErrorMessage="1" xr:uid="{5CB9D20E-AC14-49DD-80FE-3093C9FE2105}">
          <x14:formula1>
            <xm:f>Camion!A2:A11</xm:f>
          </x14:formula1>
          <xm:sqref>L531</xm:sqref>
        </x14:dataValidation>
        <x14:dataValidation type="list" allowBlank="1" showInputMessage="1" showErrorMessage="1" xr:uid="{3651DCB6-D385-4D33-B5DA-BFB0AC5E8B66}">
          <x14:formula1>
            <xm:f>Manutention!A2:A11</xm:f>
          </x14:formula1>
          <xm:sqref>H532</xm:sqref>
        </x14:dataValidation>
        <x14:dataValidation type="list" allowBlank="1" showInputMessage="1" showErrorMessage="1" xr:uid="{AF2763CF-F955-4974-BB20-0627288ABFCC}">
          <x14:formula1>
            <xm:f>Manutention!A2:A11</xm:f>
          </x14:formula1>
          <xm:sqref>H533</xm:sqref>
        </x14:dataValidation>
        <x14:dataValidation type="list" allowBlank="1" showInputMessage="1" showErrorMessage="1" xr:uid="{EC7C6CBA-03C0-44D0-89EE-43595C8AA233}">
          <x14:formula1>
            <xm:f>Manutention!A2:A11</xm:f>
          </x14:formula1>
          <xm:sqref>H534</xm:sqref>
        </x14:dataValidation>
        <x14:dataValidation type="list" allowBlank="1" showInputMessage="1" showErrorMessage="1" xr:uid="{D7582ACB-C351-489B-905A-DED75AD271FB}">
          <x14:formula1>
            <xm:f>Manutention!A2:A11</xm:f>
          </x14:formula1>
          <xm:sqref>H535</xm:sqref>
        </x14:dataValidation>
        <x14:dataValidation type="list" allowBlank="1" showInputMessage="1" showErrorMessage="1" xr:uid="{689E44DE-A9A4-4EEB-9C77-434B44FE252A}">
          <x14:formula1>
            <xm:f>Manutention!A2:A11</xm:f>
          </x14:formula1>
          <xm:sqref>H536</xm:sqref>
        </x14:dataValidation>
        <x14:dataValidation type="list" allowBlank="1" showInputMessage="1" showErrorMessage="1" xr:uid="{8171C600-3DCE-430D-939C-C9319D0D5BEB}">
          <x14:formula1>
            <xm:f>Manutention!A2:A11</xm:f>
          </x14:formula1>
          <xm:sqref>H537</xm:sqref>
        </x14:dataValidation>
        <x14:dataValidation type="list" allowBlank="1" showInputMessage="1" showErrorMessage="1" xr:uid="{39035A3F-3DEB-4FF6-BDB4-1CA41BAF9103}">
          <x14:formula1>
            <xm:f>Manutention!A2:A11</xm:f>
          </x14:formula1>
          <xm:sqref>H538</xm:sqref>
        </x14:dataValidation>
        <x14:dataValidation type="list" allowBlank="1" showInputMessage="1" showErrorMessage="1" xr:uid="{7D8867DE-61B9-443D-B013-26B2AA0B9914}">
          <x14:formula1>
            <xm:f>Manutention!A2:A11</xm:f>
          </x14:formula1>
          <xm:sqref>H539</xm:sqref>
        </x14:dataValidation>
        <x14:dataValidation type="list" allowBlank="1" showInputMessage="1" showErrorMessage="1" xr:uid="{C85628EC-6DDE-4DAB-80BB-D08789310DB9}">
          <x14:formula1>
            <xm:f>Camion!A2:A11</xm:f>
          </x14:formula1>
          <xm:sqref>L540</xm:sqref>
        </x14:dataValidation>
        <x14:dataValidation type="list" allowBlank="1" showInputMessage="1" showErrorMessage="1" xr:uid="{264B42A4-06FF-4F19-B063-9DCCB252EE81}">
          <x14:formula1>
            <xm:f>Camion!A2:A11</xm:f>
          </x14:formula1>
          <xm:sqref>L541</xm:sqref>
        </x14:dataValidation>
        <x14:dataValidation type="list" allowBlank="1" showInputMessage="1" showErrorMessage="1" xr:uid="{7FA795F1-39C5-433F-89A5-7507CA6B5E02}">
          <x14:formula1>
            <xm:f>Manutention!A2:A11</xm:f>
          </x14:formula1>
          <xm:sqref>H542</xm:sqref>
        </x14:dataValidation>
        <x14:dataValidation type="list" allowBlank="1" showInputMessage="1" showErrorMessage="1" xr:uid="{29EDC391-49CE-4559-8857-432ED1523699}">
          <x14:formula1>
            <xm:f>Manutention!A2:A11</xm:f>
          </x14:formula1>
          <xm:sqref>H543</xm:sqref>
        </x14:dataValidation>
        <x14:dataValidation type="list" allowBlank="1" showInputMessage="1" showErrorMessage="1" xr:uid="{30E8D7F9-3B90-4B8D-B8C0-112B2E186403}">
          <x14:formula1>
            <xm:f>Manutention!A2:A11</xm:f>
          </x14:formula1>
          <xm:sqref>H544</xm:sqref>
        </x14:dataValidation>
        <x14:dataValidation type="list" allowBlank="1" showInputMessage="1" showErrorMessage="1" xr:uid="{345DFF62-CCB9-4F87-8C6B-22DA7B1043A5}">
          <x14:formula1>
            <xm:f>Manutention!A2:A11</xm:f>
          </x14:formula1>
          <xm:sqref>H545</xm:sqref>
        </x14:dataValidation>
        <x14:dataValidation type="list" allowBlank="1" showInputMessage="1" showErrorMessage="1" xr:uid="{EB12A34A-7FF9-441F-9CFD-92100720E431}">
          <x14:formula1>
            <xm:f>Manutention!A2:A11</xm:f>
          </x14:formula1>
          <xm:sqref>H546</xm:sqref>
        </x14:dataValidation>
        <x14:dataValidation type="list" allowBlank="1" showInputMessage="1" showErrorMessage="1" xr:uid="{AAE71060-5CD9-4B43-9D7B-C07679F0BDE0}">
          <x14:formula1>
            <xm:f>Manutention!A2:A11</xm:f>
          </x14:formula1>
          <xm:sqref>H547</xm:sqref>
        </x14:dataValidation>
        <x14:dataValidation type="list" allowBlank="1" showInputMessage="1" showErrorMessage="1" xr:uid="{6BA3464B-90EF-482C-9D10-9F125B6642FD}">
          <x14:formula1>
            <xm:f>Manutention!A2:A11</xm:f>
          </x14:formula1>
          <xm:sqref>H548</xm:sqref>
        </x14:dataValidation>
        <x14:dataValidation type="list" allowBlank="1" showInputMessage="1" showErrorMessage="1" xr:uid="{5A26D00C-6907-41D0-998A-D109C23CE167}">
          <x14:formula1>
            <xm:f>Manutention!A2:A11</xm:f>
          </x14:formula1>
          <xm:sqref>H549</xm:sqref>
        </x14:dataValidation>
        <x14:dataValidation type="list" allowBlank="1" showInputMessage="1" showErrorMessage="1" xr:uid="{A9997A1D-127C-4277-990C-D25AF2F5B13E}">
          <x14:formula1>
            <xm:f>Camion!A2:A11</xm:f>
          </x14:formula1>
          <xm:sqref>L550</xm:sqref>
        </x14:dataValidation>
        <x14:dataValidation type="list" allowBlank="1" showInputMessage="1" showErrorMessage="1" xr:uid="{75F46AEA-FDD6-47BA-B567-662B49DC3724}">
          <x14:formula1>
            <xm:f>Camion!A2:A11</xm:f>
          </x14:formula1>
          <xm:sqref>L551</xm:sqref>
        </x14:dataValidation>
        <x14:dataValidation type="list" allowBlank="1" showInputMessage="1" showErrorMessage="1" xr:uid="{AABCA230-5048-477F-9689-62812EE54AF5}">
          <x14:formula1>
            <xm:f>Manutention!A2:A11</xm:f>
          </x14:formula1>
          <xm:sqref>H552</xm:sqref>
        </x14:dataValidation>
        <x14:dataValidation type="list" allowBlank="1" showInputMessage="1" showErrorMessage="1" xr:uid="{E530A48B-C63D-41EA-80CB-9F09CC69FDB7}">
          <x14:formula1>
            <xm:f>Manutention!A2:A11</xm:f>
          </x14:formula1>
          <xm:sqref>H553</xm:sqref>
        </x14:dataValidation>
        <x14:dataValidation type="list" allowBlank="1" showInputMessage="1" showErrorMessage="1" xr:uid="{66C4EE67-87F1-40D8-A019-B58214AF9BC8}">
          <x14:formula1>
            <xm:f>Manutention!A2:A11</xm:f>
          </x14:formula1>
          <xm:sqref>H554</xm:sqref>
        </x14:dataValidation>
        <x14:dataValidation type="list" allowBlank="1" showInputMessage="1" showErrorMessage="1" xr:uid="{E8D53E2C-849A-4A0B-990A-BAEDC06C9452}">
          <x14:formula1>
            <xm:f>Manutention!A2:A11</xm:f>
          </x14:formula1>
          <xm:sqref>H555</xm:sqref>
        </x14:dataValidation>
        <x14:dataValidation type="list" allowBlank="1" showInputMessage="1" showErrorMessage="1" xr:uid="{7D0671C1-2640-44B0-8227-91410BB7C7E4}">
          <x14:formula1>
            <xm:f>Manutention!A2:A11</xm:f>
          </x14:formula1>
          <xm:sqref>H556</xm:sqref>
        </x14:dataValidation>
        <x14:dataValidation type="list" allowBlank="1" showInputMessage="1" showErrorMessage="1" xr:uid="{688DFD3B-3FCE-4117-A6DA-C43072F0DB0B}">
          <x14:formula1>
            <xm:f>Manutention!A2:A11</xm:f>
          </x14:formula1>
          <xm:sqref>H557</xm:sqref>
        </x14:dataValidation>
        <x14:dataValidation type="list" allowBlank="1" showInputMessage="1" showErrorMessage="1" xr:uid="{6C99C040-5EBE-4742-AA9D-6EA1A9C30894}">
          <x14:formula1>
            <xm:f>Manutention!A2:A11</xm:f>
          </x14:formula1>
          <xm:sqref>H558</xm:sqref>
        </x14:dataValidation>
        <x14:dataValidation type="list" allowBlank="1" showInputMessage="1" showErrorMessage="1" xr:uid="{95502884-BC50-49A4-9D77-EDE0023575F7}">
          <x14:formula1>
            <xm:f>Manutention!A2:A11</xm:f>
          </x14:formula1>
          <xm:sqref>H559</xm:sqref>
        </x14:dataValidation>
        <x14:dataValidation type="list" allowBlank="1" showInputMessage="1" showErrorMessage="1" xr:uid="{768E1DB1-9A9A-402B-B969-C5262CDC46B8}">
          <x14:formula1>
            <xm:f>Camion!A2:A11</xm:f>
          </x14:formula1>
          <xm:sqref>L560</xm:sqref>
        </x14:dataValidation>
        <x14:dataValidation type="list" allowBlank="1" showInputMessage="1" showErrorMessage="1" xr:uid="{98B02268-3EDC-4521-A953-3AAEED3A763F}">
          <x14:formula1>
            <xm:f>Camion!A2:A11</xm:f>
          </x14:formula1>
          <xm:sqref>L561</xm:sqref>
        </x14:dataValidation>
        <x14:dataValidation type="list" allowBlank="1" showInputMessage="1" showErrorMessage="1" xr:uid="{837DAA06-96BD-4B3B-86C9-CFAB4055CB94}">
          <x14:formula1>
            <xm:f>Manutention!A2:A11</xm:f>
          </x14:formula1>
          <xm:sqref>H562</xm:sqref>
        </x14:dataValidation>
        <x14:dataValidation type="list" allowBlank="1" showInputMessage="1" showErrorMessage="1" xr:uid="{4553AD60-8BE9-46D7-9DCC-063E90D77090}">
          <x14:formula1>
            <xm:f>Manutention!A2:A11</xm:f>
          </x14:formula1>
          <xm:sqref>H563</xm:sqref>
        </x14:dataValidation>
        <x14:dataValidation type="list" allowBlank="1" showInputMessage="1" showErrorMessage="1" xr:uid="{3D2EA049-2BCC-48B9-B71F-D95F02D6535A}">
          <x14:formula1>
            <xm:f>Manutention!A2:A11</xm:f>
          </x14:formula1>
          <xm:sqref>H564</xm:sqref>
        </x14:dataValidation>
        <x14:dataValidation type="list" allowBlank="1" showInputMessage="1" showErrorMessage="1" xr:uid="{6DD4F62B-1C2A-4214-BC9A-BDBDEB1F5153}">
          <x14:formula1>
            <xm:f>Manutention!A2:A11</xm:f>
          </x14:formula1>
          <xm:sqref>H565</xm:sqref>
        </x14:dataValidation>
        <x14:dataValidation type="list" allowBlank="1" showInputMessage="1" showErrorMessage="1" xr:uid="{ED54B967-C4F7-4E32-BE02-E0DF3DEFED0A}">
          <x14:formula1>
            <xm:f>Manutention!A2:A11</xm:f>
          </x14:formula1>
          <xm:sqref>H566</xm:sqref>
        </x14:dataValidation>
        <x14:dataValidation type="list" allowBlank="1" showInputMessage="1" showErrorMessage="1" xr:uid="{F7B4ECBB-FA1A-4B28-B7D0-77FE625BE742}">
          <x14:formula1>
            <xm:f>Manutention!A2:A11</xm:f>
          </x14:formula1>
          <xm:sqref>H567</xm:sqref>
        </x14:dataValidation>
        <x14:dataValidation type="list" allowBlank="1" showInputMessage="1" showErrorMessage="1" xr:uid="{DFC83353-81AA-4426-8ECC-7ADFC79EA601}">
          <x14:formula1>
            <xm:f>Manutention!A2:A11</xm:f>
          </x14:formula1>
          <xm:sqref>H568</xm:sqref>
        </x14:dataValidation>
        <x14:dataValidation type="list" allowBlank="1" showInputMessage="1" showErrorMessage="1" xr:uid="{D767C796-9F84-4571-868F-83C05F2AC221}">
          <x14:formula1>
            <xm:f>Manutention!A2:A11</xm:f>
          </x14:formula1>
          <xm:sqref>H569</xm:sqref>
        </x14:dataValidation>
        <x14:dataValidation type="list" allowBlank="1" showInputMessage="1" showErrorMessage="1" xr:uid="{FAE3577A-6E60-42E3-90C4-55500B258665}">
          <x14:formula1>
            <xm:f>Camion!A2:A11</xm:f>
          </x14:formula1>
          <xm:sqref>L570</xm:sqref>
        </x14:dataValidation>
        <x14:dataValidation type="list" allowBlank="1" showInputMessage="1" showErrorMessage="1" xr:uid="{B5FDDD37-485C-4A2B-B5E4-C1DE41640FCB}">
          <x14:formula1>
            <xm:f>Camion!A2:A11</xm:f>
          </x14:formula1>
          <xm:sqref>L571</xm:sqref>
        </x14:dataValidation>
        <x14:dataValidation type="list" allowBlank="1" showInputMessage="1" showErrorMessage="1" xr:uid="{0505CEA6-F2CC-4793-8F87-D2A8DCCE1003}">
          <x14:formula1>
            <xm:f>Manutention!A2:A11</xm:f>
          </x14:formula1>
          <xm:sqref>H572</xm:sqref>
        </x14:dataValidation>
        <x14:dataValidation type="list" allowBlank="1" showInputMessage="1" showErrorMessage="1" xr:uid="{48A8F2C5-046E-45F3-8F37-EEE538B3FB47}">
          <x14:formula1>
            <xm:f>Manutention!A2:A11</xm:f>
          </x14:formula1>
          <xm:sqref>H573</xm:sqref>
        </x14:dataValidation>
        <x14:dataValidation type="list" allowBlank="1" showInputMessage="1" showErrorMessage="1" xr:uid="{BAF4BD2B-3680-4B8D-98F9-5037BDA807A3}">
          <x14:formula1>
            <xm:f>Manutention!A2:A11</xm:f>
          </x14:formula1>
          <xm:sqref>H574</xm:sqref>
        </x14:dataValidation>
        <x14:dataValidation type="list" allowBlank="1" showInputMessage="1" showErrorMessage="1" xr:uid="{0285323B-7BBD-4930-A081-FE8B38B837D3}">
          <x14:formula1>
            <xm:f>Manutention!A2:A11</xm:f>
          </x14:formula1>
          <xm:sqref>H575</xm:sqref>
        </x14:dataValidation>
        <x14:dataValidation type="list" allowBlank="1" showInputMessage="1" showErrorMessage="1" xr:uid="{4E02A6A3-EE3D-4513-8F39-FDDD7CFA0DC3}">
          <x14:formula1>
            <xm:f>Manutention!A2:A11</xm:f>
          </x14:formula1>
          <xm:sqref>H576</xm:sqref>
        </x14:dataValidation>
        <x14:dataValidation type="list" allowBlank="1" showInputMessage="1" showErrorMessage="1" xr:uid="{49E15A5D-E1BB-4AC2-9BEF-D33D4BB4476E}">
          <x14:formula1>
            <xm:f>Manutention!A2:A11</xm:f>
          </x14:formula1>
          <xm:sqref>H577</xm:sqref>
        </x14:dataValidation>
        <x14:dataValidation type="list" allowBlank="1" showInputMessage="1" showErrorMessage="1" xr:uid="{87B1B834-2B16-4741-BA9A-27F78720514A}">
          <x14:formula1>
            <xm:f>Manutention!A2:A11</xm:f>
          </x14:formula1>
          <xm:sqref>H578</xm:sqref>
        </x14:dataValidation>
        <x14:dataValidation type="list" allowBlank="1" showInputMessage="1" showErrorMessage="1" xr:uid="{A250AF50-2FBB-4E54-9661-B2730EB93EF8}">
          <x14:formula1>
            <xm:f>Manutention!A2:A11</xm:f>
          </x14:formula1>
          <xm:sqref>H579</xm:sqref>
        </x14:dataValidation>
        <x14:dataValidation type="list" allowBlank="1" showInputMessage="1" showErrorMessage="1" xr:uid="{1F0E85BD-9BF6-4E82-ACE8-732BA67DF52E}">
          <x14:formula1>
            <xm:f>Camion!A2:A11</xm:f>
          </x14:formula1>
          <xm:sqref>L580</xm:sqref>
        </x14:dataValidation>
        <x14:dataValidation type="list" allowBlank="1" showInputMessage="1" showErrorMessage="1" xr:uid="{4177C37E-2EA0-43E5-A5A0-D015B3BC8C83}">
          <x14:formula1>
            <xm:f>Camion!A2:A11</xm:f>
          </x14:formula1>
          <xm:sqref>L581</xm:sqref>
        </x14:dataValidation>
        <x14:dataValidation type="list" allowBlank="1" showInputMessage="1" showErrorMessage="1" xr:uid="{A27A8A46-128C-4C97-855D-22823DBA4433}">
          <x14:formula1>
            <xm:f>Manutention!A2:A11</xm:f>
          </x14:formula1>
          <xm:sqref>H582</xm:sqref>
        </x14:dataValidation>
        <x14:dataValidation type="list" allowBlank="1" showInputMessage="1" showErrorMessage="1" xr:uid="{FA9607B3-2869-44B0-8699-B3D4DECD821C}">
          <x14:formula1>
            <xm:f>Manutention!A2:A11</xm:f>
          </x14:formula1>
          <xm:sqref>H583</xm:sqref>
        </x14:dataValidation>
        <x14:dataValidation type="list" allowBlank="1" showInputMessage="1" showErrorMessage="1" xr:uid="{51D42BFD-93B7-4287-9F08-7DE80A124350}">
          <x14:formula1>
            <xm:f>Manutention!A2:A11</xm:f>
          </x14:formula1>
          <xm:sqref>H584</xm:sqref>
        </x14:dataValidation>
        <x14:dataValidation type="list" allowBlank="1" showInputMessage="1" showErrorMessage="1" xr:uid="{AEF98969-D806-413B-A435-FBB17557B30A}">
          <x14:formula1>
            <xm:f>Manutention!A2:A11</xm:f>
          </x14:formula1>
          <xm:sqref>H585</xm:sqref>
        </x14:dataValidation>
        <x14:dataValidation type="list" allowBlank="1" showInputMessage="1" showErrorMessage="1" xr:uid="{BDD59BAF-0232-4E7A-9918-8863149745B9}">
          <x14:formula1>
            <xm:f>Manutention!A2:A11</xm:f>
          </x14:formula1>
          <xm:sqref>H586</xm:sqref>
        </x14:dataValidation>
        <x14:dataValidation type="list" allowBlank="1" showInputMessage="1" showErrorMessage="1" xr:uid="{DF7B5D21-DAE4-42FA-89A6-003CC6A6D188}">
          <x14:formula1>
            <xm:f>Manutention!A2:A11</xm:f>
          </x14:formula1>
          <xm:sqref>H587</xm:sqref>
        </x14:dataValidation>
        <x14:dataValidation type="list" allowBlank="1" showInputMessage="1" showErrorMessage="1" xr:uid="{B681B796-DB5B-45B8-AB4D-C4ACCD9A4B77}">
          <x14:formula1>
            <xm:f>Manutention!A2:A11</xm:f>
          </x14:formula1>
          <xm:sqref>H588</xm:sqref>
        </x14:dataValidation>
        <x14:dataValidation type="list" allowBlank="1" showInputMessage="1" showErrorMessage="1" xr:uid="{A9D208A5-DDE8-4F6E-9712-3A41B8DE0259}">
          <x14:formula1>
            <xm:f>Manutention!A2:A11</xm:f>
          </x14:formula1>
          <xm:sqref>H589</xm:sqref>
        </x14:dataValidation>
        <x14:dataValidation type="list" allowBlank="1" showInputMessage="1" showErrorMessage="1" xr:uid="{1D4BAB93-996E-42B4-AD8A-40BE48F53391}">
          <x14:formula1>
            <xm:f>Camion!A2:A11</xm:f>
          </x14:formula1>
          <xm:sqref>L590</xm:sqref>
        </x14:dataValidation>
        <x14:dataValidation type="list" allowBlank="1" showInputMessage="1" showErrorMessage="1" xr:uid="{8E5202FA-577F-4EA6-8071-6272C3204E0E}">
          <x14:formula1>
            <xm:f>Camion!A2:A11</xm:f>
          </x14:formula1>
          <xm:sqref>L591</xm:sqref>
        </x14:dataValidation>
        <x14:dataValidation type="list" allowBlank="1" showInputMessage="1" showErrorMessage="1" xr:uid="{3D015C6C-C311-4E2F-AC3A-182DD4ADFB52}">
          <x14:formula1>
            <xm:f>Manutention!A2:A11</xm:f>
          </x14:formula1>
          <xm:sqref>H592</xm:sqref>
        </x14:dataValidation>
        <x14:dataValidation type="list" allowBlank="1" showInputMessage="1" showErrorMessage="1" xr:uid="{1B21E656-7645-48C5-829D-2FB9E50FA935}">
          <x14:formula1>
            <xm:f>Manutention!A2:A11</xm:f>
          </x14:formula1>
          <xm:sqref>H593</xm:sqref>
        </x14:dataValidation>
        <x14:dataValidation type="list" allowBlank="1" showInputMessage="1" showErrorMessage="1" xr:uid="{23F78214-49A5-4D64-A881-A665A51CD28A}">
          <x14:formula1>
            <xm:f>Manutention!A2:A11</xm:f>
          </x14:formula1>
          <xm:sqref>H594</xm:sqref>
        </x14:dataValidation>
        <x14:dataValidation type="list" allowBlank="1" showInputMessage="1" showErrorMessage="1" xr:uid="{1071970C-456E-4769-B211-711ACD0AE8BA}">
          <x14:formula1>
            <xm:f>Manutention!A2:A11</xm:f>
          </x14:formula1>
          <xm:sqref>H595</xm:sqref>
        </x14:dataValidation>
        <x14:dataValidation type="list" allowBlank="1" showInputMessage="1" showErrorMessage="1" xr:uid="{F7B58FAB-714E-43F0-8D2D-909539D976AE}">
          <x14:formula1>
            <xm:f>Manutention!A2:A11</xm:f>
          </x14:formula1>
          <xm:sqref>H596</xm:sqref>
        </x14:dataValidation>
        <x14:dataValidation type="list" allowBlank="1" showInputMessage="1" showErrorMessage="1" xr:uid="{D7ED72B0-8F43-459D-B0F4-1CDE1D06F5F0}">
          <x14:formula1>
            <xm:f>Manutention!A2:A11</xm:f>
          </x14:formula1>
          <xm:sqref>H597</xm:sqref>
        </x14:dataValidation>
        <x14:dataValidation type="list" allowBlank="1" showInputMessage="1" showErrorMessage="1" xr:uid="{FDADE353-BA10-43F7-A160-AF4C4B081A98}">
          <x14:formula1>
            <xm:f>Manutention!A2:A11</xm:f>
          </x14:formula1>
          <xm:sqref>H598</xm:sqref>
        </x14:dataValidation>
        <x14:dataValidation type="list" allowBlank="1" showInputMessage="1" showErrorMessage="1" xr:uid="{7B25BE04-C0B0-4EF6-A039-D9E8D36CB2A7}">
          <x14:formula1>
            <xm:f>Manutention!A2:A11</xm:f>
          </x14:formula1>
          <xm:sqref>H599</xm:sqref>
        </x14:dataValidation>
        <x14:dataValidation type="list" allowBlank="1" showInputMessage="1" showErrorMessage="1" xr:uid="{F6A37C65-EBBA-4892-AB37-0A5BB0CD1C3C}">
          <x14:formula1>
            <xm:f>Camion!A2:A11</xm:f>
          </x14:formula1>
          <xm:sqref>L600</xm:sqref>
        </x14:dataValidation>
        <x14:dataValidation type="list" allowBlank="1" showInputMessage="1" showErrorMessage="1" xr:uid="{17A276F3-102C-4675-A39E-118C05C4A58A}">
          <x14:formula1>
            <xm:f>Camion!A2:A11</xm:f>
          </x14:formula1>
          <xm:sqref>L601</xm:sqref>
        </x14:dataValidation>
        <x14:dataValidation type="list" allowBlank="1" showInputMessage="1" showErrorMessage="1" xr:uid="{C5A0B1D3-E842-4CE3-A399-EEB36850B23C}">
          <x14:formula1>
            <xm:f>Manutention!A2:A11</xm:f>
          </x14:formula1>
          <xm:sqref>H602</xm:sqref>
        </x14:dataValidation>
        <x14:dataValidation type="list" allowBlank="1" showInputMessage="1" showErrorMessage="1" xr:uid="{176A87F3-1CFE-4E3F-AC14-8E908184D6EE}">
          <x14:formula1>
            <xm:f>Manutention!A2:A11</xm:f>
          </x14:formula1>
          <xm:sqref>H603</xm:sqref>
        </x14:dataValidation>
        <x14:dataValidation type="list" allowBlank="1" showInputMessage="1" showErrorMessage="1" xr:uid="{91DC8905-947F-4F7F-88CD-8CC4A5B27054}">
          <x14:formula1>
            <xm:f>Manutention!A2:A11</xm:f>
          </x14:formula1>
          <xm:sqref>H604</xm:sqref>
        </x14:dataValidation>
        <x14:dataValidation type="list" allowBlank="1" showInputMessage="1" showErrorMessage="1" xr:uid="{DF037B82-BCBC-490B-843C-631CF3227B2F}">
          <x14:formula1>
            <xm:f>Manutention!A2:A11</xm:f>
          </x14:formula1>
          <xm:sqref>H605</xm:sqref>
        </x14:dataValidation>
        <x14:dataValidation type="list" allowBlank="1" showInputMessage="1" showErrorMessage="1" xr:uid="{38EAD1BD-8AB8-4572-9243-5AC538E26670}">
          <x14:formula1>
            <xm:f>Manutention!A2:A11</xm:f>
          </x14:formula1>
          <xm:sqref>H606</xm:sqref>
        </x14:dataValidation>
        <x14:dataValidation type="list" allowBlank="1" showInputMessage="1" showErrorMessage="1" xr:uid="{DB01897E-03D6-4F37-9ACF-B6B5F28C948B}">
          <x14:formula1>
            <xm:f>Manutention!A2:A11</xm:f>
          </x14:formula1>
          <xm:sqref>H607</xm:sqref>
        </x14:dataValidation>
        <x14:dataValidation type="list" allowBlank="1" showInputMessage="1" showErrorMessage="1" xr:uid="{9B4AE459-D3C7-46A8-8ABA-20B995F7E7A4}">
          <x14:formula1>
            <xm:f>Manutention!A2:A11</xm:f>
          </x14:formula1>
          <xm:sqref>H608</xm:sqref>
        </x14:dataValidation>
        <x14:dataValidation type="list" allowBlank="1" showInputMessage="1" showErrorMessage="1" xr:uid="{CF6A756E-7826-4E24-839F-21A2394596F8}">
          <x14:formula1>
            <xm:f>Manutention!A2:A11</xm:f>
          </x14:formula1>
          <xm:sqref>H609</xm:sqref>
        </x14:dataValidation>
        <x14:dataValidation type="list" allowBlank="1" showInputMessage="1" showErrorMessage="1" xr:uid="{CBEA352B-8488-4C24-AB5D-2098DF1D393B}">
          <x14:formula1>
            <xm:f>Camion!A2:A11</xm:f>
          </x14:formula1>
          <xm:sqref>L610</xm:sqref>
        </x14:dataValidation>
        <x14:dataValidation type="list" allowBlank="1" showInputMessage="1" showErrorMessage="1" xr:uid="{D49EA68E-C623-48BD-85C2-941AA68BA6A2}">
          <x14:formula1>
            <xm:f>Camion!A2:A11</xm:f>
          </x14:formula1>
          <xm:sqref>L611</xm:sqref>
        </x14:dataValidation>
        <x14:dataValidation type="list" allowBlank="1" showInputMessage="1" showErrorMessage="1" xr:uid="{6B08B96A-A9EB-432D-A083-FC332AE753B3}">
          <x14:formula1>
            <xm:f>Manutention!A2:A11</xm:f>
          </x14:formula1>
          <xm:sqref>H612</xm:sqref>
        </x14:dataValidation>
        <x14:dataValidation type="list" allowBlank="1" showInputMessage="1" showErrorMessage="1" xr:uid="{4C18E660-8A57-4C4E-9A84-2EA9D5B2E91C}">
          <x14:formula1>
            <xm:f>Manutention!A2:A11</xm:f>
          </x14:formula1>
          <xm:sqref>H613</xm:sqref>
        </x14:dataValidation>
        <x14:dataValidation type="list" allowBlank="1" showInputMessage="1" showErrorMessage="1" xr:uid="{017A1A65-BA8D-4A85-BDD4-AF2A42DFCF00}">
          <x14:formula1>
            <xm:f>Manutention!A2:A11</xm:f>
          </x14:formula1>
          <xm:sqref>H614</xm:sqref>
        </x14:dataValidation>
        <x14:dataValidation type="list" allowBlank="1" showInputMessage="1" showErrorMessage="1" xr:uid="{06590551-DC61-49FE-9784-DE67657A96DB}">
          <x14:formula1>
            <xm:f>Manutention!A2:A11</xm:f>
          </x14:formula1>
          <xm:sqref>H615</xm:sqref>
        </x14:dataValidation>
        <x14:dataValidation type="list" allowBlank="1" showInputMessage="1" showErrorMessage="1" xr:uid="{26D7FDF9-5BD0-4BDB-A14A-6869C05D8DAD}">
          <x14:formula1>
            <xm:f>Manutention!A2:A11</xm:f>
          </x14:formula1>
          <xm:sqref>H616</xm:sqref>
        </x14:dataValidation>
        <x14:dataValidation type="list" allowBlank="1" showInputMessage="1" showErrorMessage="1" xr:uid="{8E61E043-E177-476E-93EE-CF47F5EB24EE}">
          <x14:formula1>
            <xm:f>Manutention!A2:A11</xm:f>
          </x14:formula1>
          <xm:sqref>H617</xm:sqref>
        </x14:dataValidation>
        <x14:dataValidation type="list" allowBlank="1" showInputMessage="1" showErrorMessage="1" xr:uid="{556880C9-D35A-4075-8675-075FA5B9687E}">
          <x14:formula1>
            <xm:f>Manutention!A2:A11</xm:f>
          </x14:formula1>
          <xm:sqref>H618</xm:sqref>
        </x14:dataValidation>
        <x14:dataValidation type="list" allowBlank="1" showInputMessage="1" showErrorMessage="1" xr:uid="{1208863A-BA51-40DD-8E39-51E4BAE4C2B5}">
          <x14:formula1>
            <xm:f>Manutention!A2:A11</xm:f>
          </x14:formula1>
          <xm:sqref>H619</xm:sqref>
        </x14:dataValidation>
        <x14:dataValidation type="list" allowBlank="1" showInputMessage="1" showErrorMessage="1" xr:uid="{89C029AC-04EE-4017-B27C-85EC9AF192B4}">
          <x14:formula1>
            <xm:f>Camion!A2:A11</xm:f>
          </x14:formula1>
          <xm:sqref>L620</xm:sqref>
        </x14:dataValidation>
        <x14:dataValidation type="list" allowBlank="1" showInputMessage="1" showErrorMessage="1" xr:uid="{FE09D2EA-5988-4EFB-B5D8-48055C44907D}">
          <x14:formula1>
            <xm:f>Camion!A2:A11</xm:f>
          </x14:formula1>
          <xm:sqref>L621</xm:sqref>
        </x14:dataValidation>
        <x14:dataValidation type="list" allowBlank="1" showInputMessage="1" showErrorMessage="1" xr:uid="{96ACD154-9DC4-48EE-93D4-22A2292CDF2D}">
          <x14:formula1>
            <xm:f>Manutention!A2:A11</xm:f>
          </x14:formula1>
          <xm:sqref>H622</xm:sqref>
        </x14:dataValidation>
        <x14:dataValidation type="list" allowBlank="1" showInputMessage="1" showErrorMessage="1" xr:uid="{36595D77-3B8D-41C6-B4A3-98B9B6CD755D}">
          <x14:formula1>
            <xm:f>Manutention!A2:A11</xm:f>
          </x14:formula1>
          <xm:sqref>H623</xm:sqref>
        </x14:dataValidation>
        <x14:dataValidation type="list" allowBlank="1" showInputMessage="1" showErrorMessage="1" xr:uid="{498CCB17-0E52-44BC-B441-E31A889C088E}">
          <x14:formula1>
            <xm:f>Manutention!A2:A11</xm:f>
          </x14:formula1>
          <xm:sqref>H624</xm:sqref>
        </x14:dataValidation>
        <x14:dataValidation type="list" allowBlank="1" showInputMessage="1" showErrorMessage="1" xr:uid="{E4E135B3-F0FF-49C6-A0CF-C35BDC60DC62}">
          <x14:formula1>
            <xm:f>Manutention!A2:A11</xm:f>
          </x14:formula1>
          <xm:sqref>H625</xm:sqref>
        </x14:dataValidation>
        <x14:dataValidation type="list" allowBlank="1" showInputMessage="1" showErrorMessage="1" xr:uid="{F2CFA567-D19A-4117-8EF6-ADDB99085D54}">
          <x14:formula1>
            <xm:f>Manutention!A2:A11</xm:f>
          </x14:formula1>
          <xm:sqref>H626</xm:sqref>
        </x14:dataValidation>
        <x14:dataValidation type="list" allowBlank="1" showInputMessage="1" showErrorMessage="1" xr:uid="{7C7D4F3A-980A-44DC-B839-ADFA10DF4D0D}">
          <x14:formula1>
            <xm:f>Manutention!A2:A11</xm:f>
          </x14:formula1>
          <xm:sqref>H627</xm:sqref>
        </x14:dataValidation>
        <x14:dataValidation type="list" allowBlank="1" showInputMessage="1" showErrorMessage="1" xr:uid="{8C03527E-2059-421B-AE52-675E6E333561}">
          <x14:formula1>
            <xm:f>Manutention!A2:A11</xm:f>
          </x14:formula1>
          <xm:sqref>H628</xm:sqref>
        </x14:dataValidation>
        <x14:dataValidation type="list" allowBlank="1" showInputMessage="1" showErrorMessage="1" xr:uid="{4B83F1E9-9694-4BB2-BFB3-DA2EC2821A33}">
          <x14:formula1>
            <xm:f>Manutention!A2:A11</xm:f>
          </x14:formula1>
          <xm:sqref>H629</xm:sqref>
        </x14:dataValidation>
        <x14:dataValidation type="list" allowBlank="1" showInputMessage="1" showErrorMessage="1" xr:uid="{E9CB8105-F7F9-45E5-8CBD-C67701C0456E}">
          <x14:formula1>
            <xm:f>Camion!A2:A11</xm:f>
          </x14:formula1>
          <xm:sqref>L630</xm:sqref>
        </x14:dataValidation>
        <x14:dataValidation type="list" allowBlank="1" showInputMessage="1" showErrorMessage="1" xr:uid="{DBC29B6B-9679-48E6-A9C6-D85836685A21}">
          <x14:formula1>
            <xm:f>Camion!A2:A11</xm:f>
          </x14:formula1>
          <xm:sqref>L631</xm:sqref>
        </x14:dataValidation>
        <x14:dataValidation type="list" allowBlank="1" showInputMessage="1" showErrorMessage="1" xr:uid="{36A4F653-DDA7-4378-A0B5-599899E227C1}">
          <x14:formula1>
            <xm:f>Manutention!A2:A11</xm:f>
          </x14:formula1>
          <xm:sqref>H632</xm:sqref>
        </x14:dataValidation>
        <x14:dataValidation type="list" allowBlank="1" showInputMessage="1" showErrorMessage="1" xr:uid="{98F307EA-5550-46FA-AFC4-6602414E6D54}">
          <x14:formula1>
            <xm:f>Manutention!A2:A11</xm:f>
          </x14:formula1>
          <xm:sqref>H633</xm:sqref>
        </x14:dataValidation>
        <x14:dataValidation type="list" allowBlank="1" showInputMessage="1" showErrorMessage="1" xr:uid="{CF948355-136E-43E3-A20D-95F55592B64A}">
          <x14:formula1>
            <xm:f>Manutention!A2:A11</xm:f>
          </x14:formula1>
          <xm:sqref>H634</xm:sqref>
        </x14:dataValidation>
        <x14:dataValidation type="list" allowBlank="1" showInputMessage="1" showErrorMessage="1" xr:uid="{E2FCABB1-0613-4FB6-926F-AD4A7C01D297}">
          <x14:formula1>
            <xm:f>Manutention!A2:A11</xm:f>
          </x14:formula1>
          <xm:sqref>H635</xm:sqref>
        </x14:dataValidation>
        <x14:dataValidation type="list" allowBlank="1" showInputMessage="1" showErrorMessage="1" xr:uid="{3DBADF19-1D5F-4AFA-BA20-B56B32C022D2}">
          <x14:formula1>
            <xm:f>Manutention!A2:A11</xm:f>
          </x14:formula1>
          <xm:sqref>H636</xm:sqref>
        </x14:dataValidation>
        <x14:dataValidation type="list" allowBlank="1" showInputMessage="1" showErrorMessage="1" xr:uid="{16C3AA9C-53DC-405A-B746-0AB004E92A4B}">
          <x14:formula1>
            <xm:f>Manutention!A2:A11</xm:f>
          </x14:formula1>
          <xm:sqref>H637</xm:sqref>
        </x14:dataValidation>
        <x14:dataValidation type="list" allowBlank="1" showInputMessage="1" showErrorMessage="1" xr:uid="{2CFB3929-B671-4DBC-A261-0CE815A667A1}">
          <x14:formula1>
            <xm:f>Manutention!A2:A11</xm:f>
          </x14:formula1>
          <xm:sqref>H638</xm:sqref>
        </x14:dataValidation>
        <x14:dataValidation type="list" allowBlank="1" showInputMessage="1" showErrorMessage="1" xr:uid="{8249DA76-5EDF-4655-8995-725E7A2B7881}">
          <x14:formula1>
            <xm:f>Manutention!A2:A11</xm:f>
          </x14:formula1>
          <xm:sqref>H639</xm:sqref>
        </x14:dataValidation>
        <x14:dataValidation type="list" allowBlank="1" showInputMessage="1" showErrorMessage="1" xr:uid="{61F6D5D6-096F-4AE6-B34B-A882AF35FDF2}">
          <x14:formula1>
            <xm:f>Camion!A2:A11</xm:f>
          </x14:formula1>
          <xm:sqref>L640</xm:sqref>
        </x14:dataValidation>
        <x14:dataValidation type="list" allowBlank="1" showInputMessage="1" showErrorMessage="1" xr:uid="{C5281A7A-6EE2-4C03-A8AD-E2001ECFA658}">
          <x14:formula1>
            <xm:f>Camion!A2:A11</xm:f>
          </x14:formula1>
          <xm:sqref>L641</xm:sqref>
        </x14:dataValidation>
        <x14:dataValidation type="list" allowBlank="1" showInputMessage="1" showErrorMessage="1" xr:uid="{4C70D54A-1B1F-4830-83E4-3E0A69F517D5}">
          <x14:formula1>
            <xm:f>Manutention!A2:A11</xm:f>
          </x14:formula1>
          <xm:sqref>H642</xm:sqref>
        </x14:dataValidation>
        <x14:dataValidation type="list" allowBlank="1" showInputMessage="1" showErrorMessage="1" xr:uid="{9A3F222D-F02A-4531-BC9D-EA374FC73CD6}">
          <x14:formula1>
            <xm:f>Manutention!A2:A11</xm:f>
          </x14:formula1>
          <xm:sqref>H643</xm:sqref>
        </x14:dataValidation>
        <x14:dataValidation type="list" allowBlank="1" showInputMessage="1" showErrorMessage="1" xr:uid="{C6383236-5ABA-424A-A3D2-630069B9E146}">
          <x14:formula1>
            <xm:f>Manutention!A2:A11</xm:f>
          </x14:formula1>
          <xm:sqref>H644</xm:sqref>
        </x14:dataValidation>
        <x14:dataValidation type="list" allowBlank="1" showInputMessage="1" showErrorMessage="1" xr:uid="{195D8D29-95B8-4D7F-B60C-073E407AEE53}">
          <x14:formula1>
            <xm:f>Manutention!A2:A11</xm:f>
          </x14:formula1>
          <xm:sqref>H645</xm:sqref>
        </x14:dataValidation>
        <x14:dataValidation type="list" allowBlank="1" showInputMessage="1" showErrorMessage="1" xr:uid="{0140551C-040A-489C-8597-8A2FBECD3C56}">
          <x14:formula1>
            <xm:f>Manutention!A2:A11</xm:f>
          </x14:formula1>
          <xm:sqref>H646</xm:sqref>
        </x14:dataValidation>
        <x14:dataValidation type="list" allowBlank="1" showInputMessage="1" showErrorMessage="1" xr:uid="{239F069E-FE76-44B1-81EF-C67B45C5FEE3}">
          <x14:formula1>
            <xm:f>Manutention!A2:A11</xm:f>
          </x14:formula1>
          <xm:sqref>H647</xm:sqref>
        </x14:dataValidation>
        <x14:dataValidation type="list" allowBlank="1" showInputMessage="1" showErrorMessage="1" xr:uid="{CB361C1F-5AE2-4F63-88EB-5CB4DA58FD09}">
          <x14:formula1>
            <xm:f>Manutention!A2:A11</xm:f>
          </x14:formula1>
          <xm:sqref>H648</xm:sqref>
        </x14:dataValidation>
        <x14:dataValidation type="list" allowBlank="1" showInputMessage="1" showErrorMessage="1" xr:uid="{3D0DBB33-9813-4B3D-81B0-8C67D8DB8778}">
          <x14:formula1>
            <xm:f>Manutention!A2:A11</xm:f>
          </x14:formula1>
          <xm:sqref>H649</xm:sqref>
        </x14:dataValidation>
        <x14:dataValidation type="list" allowBlank="1" showInputMessage="1" showErrorMessage="1" xr:uid="{3471EA68-677B-4315-9828-1D213CECFE84}">
          <x14:formula1>
            <xm:f>Camion!A2:A11</xm:f>
          </x14:formula1>
          <xm:sqref>L650</xm:sqref>
        </x14:dataValidation>
        <x14:dataValidation type="list" allowBlank="1" showInputMessage="1" showErrorMessage="1" xr:uid="{ED518BCC-7B10-458A-9891-ABB74CBED079}">
          <x14:formula1>
            <xm:f>Camion!A2:A11</xm:f>
          </x14:formula1>
          <xm:sqref>L651</xm:sqref>
        </x14:dataValidation>
        <x14:dataValidation type="list" allowBlank="1" showInputMessage="1" showErrorMessage="1" xr:uid="{6F6A1E4E-9B86-4542-9F67-62D73CF911E9}">
          <x14:formula1>
            <xm:f>Manutention!A2:A11</xm:f>
          </x14:formula1>
          <xm:sqref>H652</xm:sqref>
        </x14:dataValidation>
        <x14:dataValidation type="list" allowBlank="1" showInputMessage="1" showErrorMessage="1" xr:uid="{E566D96A-147A-488E-86C7-0B2D852021DE}">
          <x14:formula1>
            <xm:f>Manutention!A2:A11</xm:f>
          </x14:formula1>
          <xm:sqref>H653</xm:sqref>
        </x14:dataValidation>
        <x14:dataValidation type="list" allowBlank="1" showInputMessage="1" showErrorMessage="1" xr:uid="{8A90471D-3C20-47B4-95EB-BE421D662CF6}">
          <x14:formula1>
            <xm:f>Manutention!A2:A11</xm:f>
          </x14:formula1>
          <xm:sqref>H654</xm:sqref>
        </x14:dataValidation>
        <x14:dataValidation type="list" allowBlank="1" showInputMessage="1" showErrorMessage="1" xr:uid="{B498DACB-B4D2-4BDC-9FD1-E0A0141FBBE2}">
          <x14:formula1>
            <xm:f>Manutention!A2:A11</xm:f>
          </x14:formula1>
          <xm:sqref>H655</xm:sqref>
        </x14:dataValidation>
        <x14:dataValidation type="list" allowBlank="1" showInputMessage="1" showErrorMessage="1" xr:uid="{787E56F7-BD22-40EC-A5EA-129D7EE1DBE3}">
          <x14:formula1>
            <xm:f>Manutention!A2:A11</xm:f>
          </x14:formula1>
          <xm:sqref>H656</xm:sqref>
        </x14:dataValidation>
        <x14:dataValidation type="list" allowBlank="1" showInputMessage="1" showErrorMessage="1" xr:uid="{0EA9252F-BB90-4DF3-895C-A81E84F50387}">
          <x14:formula1>
            <xm:f>Manutention!A2:A11</xm:f>
          </x14:formula1>
          <xm:sqref>H657</xm:sqref>
        </x14:dataValidation>
        <x14:dataValidation type="list" allowBlank="1" showInputMessage="1" showErrorMessage="1" xr:uid="{A0D7CD9C-2097-46B0-A194-1B198FFF821C}">
          <x14:formula1>
            <xm:f>Manutention!A2:A11</xm:f>
          </x14:formula1>
          <xm:sqref>H658</xm:sqref>
        </x14:dataValidation>
        <x14:dataValidation type="list" allowBlank="1" showInputMessage="1" showErrorMessage="1" xr:uid="{0D97BEB6-594A-4A57-9FD0-D72945A78EAA}">
          <x14:formula1>
            <xm:f>Manutention!A2:A11</xm:f>
          </x14:formula1>
          <xm:sqref>H659</xm:sqref>
        </x14:dataValidation>
        <x14:dataValidation type="list" allowBlank="1" showInputMessage="1" showErrorMessage="1" xr:uid="{8B6D6929-2255-46FE-A30F-8C23D0D75350}">
          <x14:formula1>
            <xm:f>Camion!A2:A11</xm:f>
          </x14:formula1>
          <xm:sqref>L660</xm:sqref>
        </x14:dataValidation>
        <x14:dataValidation type="list" allowBlank="1" showInputMessage="1" showErrorMessage="1" xr:uid="{11F9D8C7-1384-4E0F-909A-88767B67BA98}">
          <x14:formula1>
            <xm:f>Camion!A2:A11</xm:f>
          </x14:formula1>
          <xm:sqref>L661</xm:sqref>
        </x14:dataValidation>
        <x14:dataValidation type="list" allowBlank="1" showInputMessage="1" showErrorMessage="1" xr:uid="{A646C5AD-B4A6-46E6-B0A4-A807028AC58F}">
          <x14:formula1>
            <xm:f>Manutention!A2:A11</xm:f>
          </x14:formula1>
          <xm:sqref>H662</xm:sqref>
        </x14:dataValidation>
        <x14:dataValidation type="list" allowBlank="1" showInputMessage="1" showErrorMessage="1" xr:uid="{DC993301-77C7-44A7-B2B5-F7710F0C9A55}">
          <x14:formula1>
            <xm:f>Manutention!A2:A11</xm:f>
          </x14:formula1>
          <xm:sqref>H663</xm:sqref>
        </x14:dataValidation>
        <x14:dataValidation type="list" allowBlank="1" showInputMessage="1" showErrorMessage="1" xr:uid="{A2A01C4A-EF9C-455A-8FFC-E1BDF6DD871D}">
          <x14:formula1>
            <xm:f>Manutention!A2:A11</xm:f>
          </x14:formula1>
          <xm:sqref>H664</xm:sqref>
        </x14:dataValidation>
        <x14:dataValidation type="list" allowBlank="1" showInputMessage="1" showErrorMessage="1" xr:uid="{3691B8B2-D94D-4BB1-AC59-35E095E25D71}">
          <x14:formula1>
            <xm:f>Manutention!A2:A11</xm:f>
          </x14:formula1>
          <xm:sqref>H665</xm:sqref>
        </x14:dataValidation>
        <x14:dataValidation type="list" allowBlank="1" showInputMessage="1" showErrorMessage="1" xr:uid="{A409C6B9-489F-4C5C-850F-0B3487446AF9}">
          <x14:formula1>
            <xm:f>Manutention!A2:A11</xm:f>
          </x14:formula1>
          <xm:sqref>H666</xm:sqref>
        </x14:dataValidation>
        <x14:dataValidation type="list" allowBlank="1" showInputMessage="1" showErrorMessage="1" xr:uid="{A5096B6E-06AB-419A-BE01-E0BB0F517466}">
          <x14:formula1>
            <xm:f>Manutention!A2:A11</xm:f>
          </x14:formula1>
          <xm:sqref>H667</xm:sqref>
        </x14:dataValidation>
        <x14:dataValidation type="list" allowBlank="1" showInputMessage="1" showErrorMessage="1" xr:uid="{42163507-41A6-4680-B147-3BA967F46D22}">
          <x14:formula1>
            <xm:f>Manutention!A2:A11</xm:f>
          </x14:formula1>
          <xm:sqref>H668</xm:sqref>
        </x14:dataValidation>
        <x14:dataValidation type="list" allowBlank="1" showInputMessage="1" showErrorMessage="1" xr:uid="{B76C54C2-CA3C-462F-8420-05E6661B95E7}">
          <x14:formula1>
            <xm:f>Manutention!A2:A11</xm:f>
          </x14:formula1>
          <xm:sqref>H669</xm:sqref>
        </x14:dataValidation>
        <x14:dataValidation type="list" allowBlank="1" showInputMessage="1" showErrorMessage="1" xr:uid="{E770EEE2-4A57-45F1-AB3E-703911FBA9D8}">
          <x14:formula1>
            <xm:f>Camion!A2:A11</xm:f>
          </x14:formula1>
          <xm:sqref>L670</xm:sqref>
        </x14:dataValidation>
        <x14:dataValidation type="list" allowBlank="1" showInputMessage="1" showErrorMessage="1" xr:uid="{88C69F78-6D05-40D1-9D2A-ACBEC702F405}">
          <x14:formula1>
            <xm:f>Camion!A2:A11</xm:f>
          </x14:formula1>
          <xm:sqref>L671</xm:sqref>
        </x14:dataValidation>
        <x14:dataValidation type="list" allowBlank="1" showInputMessage="1" showErrorMessage="1" xr:uid="{5579D046-726D-4ECC-8A0F-38E9E71AFB8D}">
          <x14:formula1>
            <xm:f>Manutention!A2:A11</xm:f>
          </x14:formula1>
          <xm:sqref>H672</xm:sqref>
        </x14:dataValidation>
        <x14:dataValidation type="list" allowBlank="1" showInputMessage="1" showErrorMessage="1" xr:uid="{89794878-D57A-49E7-8E00-0EA350B26417}">
          <x14:formula1>
            <xm:f>Manutention!A2:A11</xm:f>
          </x14:formula1>
          <xm:sqref>H673</xm:sqref>
        </x14:dataValidation>
        <x14:dataValidation type="list" allowBlank="1" showInputMessage="1" showErrorMessage="1" xr:uid="{3FF3429F-AC58-42BB-AD21-29F9654F68FB}">
          <x14:formula1>
            <xm:f>Manutention!A2:A11</xm:f>
          </x14:formula1>
          <xm:sqref>H674</xm:sqref>
        </x14:dataValidation>
        <x14:dataValidation type="list" allowBlank="1" showInputMessage="1" showErrorMessage="1" xr:uid="{8F70A6BC-5E62-49C6-BB58-247B0B30E97B}">
          <x14:formula1>
            <xm:f>Manutention!A2:A11</xm:f>
          </x14:formula1>
          <xm:sqref>H675</xm:sqref>
        </x14:dataValidation>
        <x14:dataValidation type="list" allowBlank="1" showInputMessage="1" showErrorMessage="1" xr:uid="{D38825EF-D21F-4007-87C1-3E8F23C0514A}">
          <x14:formula1>
            <xm:f>Manutention!A2:A11</xm:f>
          </x14:formula1>
          <xm:sqref>H676</xm:sqref>
        </x14:dataValidation>
        <x14:dataValidation type="list" allowBlank="1" showInputMessage="1" showErrorMessage="1" xr:uid="{2271268B-4C93-4B1F-A711-447F972B651A}">
          <x14:formula1>
            <xm:f>Manutention!A2:A11</xm:f>
          </x14:formula1>
          <xm:sqref>H677</xm:sqref>
        </x14:dataValidation>
        <x14:dataValidation type="list" allowBlank="1" showInputMessage="1" showErrorMessage="1" xr:uid="{0B4EE916-601F-45E1-881A-46450D8A06F8}">
          <x14:formula1>
            <xm:f>Manutention!A2:A11</xm:f>
          </x14:formula1>
          <xm:sqref>H678</xm:sqref>
        </x14:dataValidation>
        <x14:dataValidation type="list" allowBlank="1" showInputMessage="1" showErrorMessage="1" xr:uid="{2DC40381-9FC3-482C-9E4D-58FCDD2C2CCE}">
          <x14:formula1>
            <xm:f>Manutention!A2:A11</xm:f>
          </x14:formula1>
          <xm:sqref>H679</xm:sqref>
        </x14:dataValidation>
        <x14:dataValidation type="list" allowBlank="1" showInputMessage="1" showErrorMessage="1" xr:uid="{5ED04545-D856-469B-89D4-2931272715AE}">
          <x14:formula1>
            <xm:f>Camion!A2:A11</xm:f>
          </x14:formula1>
          <xm:sqref>L680</xm:sqref>
        </x14:dataValidation>
        <x14:dataValidation type="list" allowBlank="1" showInputMessage="1" showErrorMessage="1" xr:uid="{B3E8DC09-9D8B-44C7-A40A-C67100995103}">
          <x14:formula1>
            <xm:f>Camion!A2:A11</xm:f>
          </x14:formula1>
          <xm:sqref>L681</xm:sqref>
        </x14:dataValidation>
        <x14:dataValidation type="list" allowBlank="1" showInputMessage="1" showErrorMessage="1" xr:uid="{2744223C-67C9-4A80-9873-407582E5A0FD}">
          <x14:formula1>
            <xm:f>Manutention!A2:A11</xm:f>
          </x14:formula1>
          <xm:sqref>H682</xm:sqref>
        </x14:dataValidation>
        <x14:dataValidation type="list" allowBlank="1" showInputMessage="1" showErrorMessage="1" xr:uid="{15C791E7-5682-45F1-ADE7-19BE7CA825DA}">
          <x14:formula1>
            <xm:f>Manutention!A2:A11</xm:f>
          </x14:formula1>
          <xm:sqref>H683</xm:sqref>
        </x14:dataValidation>
        <x14:dataValidation type="list" allowBlank="1" showInputMessage="1" showErrorMessage="1" xr:uid="{1FFA6AF4-706C-4708-B80E-93EBFCC17E5E}">
          <x14:formula1>
            <xm:f>Manutention!A2:A11</xm:f>
          </x14:formula1>
          <xm:sqref>H684</xm:sqref>
        </x14:dataValidation>
        <x14:dataValidation type="list" allowBlank="1" showInputMessage="1" showErrorMessage="1" xr:uid="{0E834BD8-0E6A-4E68-9B6F-2870C01CFE20}">
          <x14:formula1>
            <xm:f>Manutention!A2:A11</xm:f>
          </x14:formula1>
          <xm:sqref>H685</xm:sqref>
        </x14:dataValidation>
        <x14:dataValidation type="list" allowBlank="1" showInputMessage="1" showErrorMessage="1" xr:uid="{C6D0361D-1FF7-4577-A2C8-29102108B5A2}">
          <x14:formula1>
            <xm:f>Manutention!A2:A11</xm:f>
          </x14:formula1>
          <xm:sqref>H686</xm:sqref>
        </x14:dataValidation>
        <x14:dataValidation type="list" allowBlank="1" showInputMessage="1" showErrorMessage="1" xr:uid="{14654FC4-D1DD-41CD-9CF0-8F68B6748B88}">
          <x14:formula1>
            <xm:f>Manutention!A2:A11</xm:f>
          </x14:formula1>
          <xm:sqref>H687</xm:sqref>
        </x14:dataValidation>
        <x14:dataValidation type="list" allowBlank="1" showInputMessage="1" showErrorMessage="1" xr:uid="{DBF30E26-6472-4D08-90FF-D1FC8571445D}">
          <x14:formula1>
            <xm:f>Manutention!A2:A11</xm:f>
          </x14:formula1>
          <xm:sqref>H688</xm:sqref>
        </x14:dataValidation>
        <x14:dataValidation type="list" allowBlank="1" showInputMessage="1" showErrorMessage="1" xr:uid="{AD349EDC-E102-4E85-9D32-C3290E1AF8DF}">
          <x14:formula1>
            <xm:f>Manutention!A2:A11</xm:f>
          </x14:formula1>
          <xm:sqref>H689</xm:sqref>
        </x14:dataValidation>
        <x14:dataValidation type="list" allowBlank="1" showInputMessage="1" showErrorMessage="1" xr:uid="{E9C75BE4-28A2-4EE6-A6F0-5E02B27E7821}">
          <x14:formula1>
            <xm:f>Camion!A2:A11</xm:f>
          </x14:formula1>
          <xm:sqref>L690</xm:sqref>
        </x14:dataValidation>
        <x14:dataValidation type="list" allowBlank="1" showInputMessage="1" showErrorMessage="1" xr:uid="{20E20318-76F4-45FF-91CC-D7130E936274}">
          <x14:formula1>
            <xm:f>Camion!A2:A11</xm:f>
          </x14:formula1>
          <xm:sqref>L691</xm:sqref>
        </x14:dataValidation>
        <x14:dataValidation type="list" allowBlank="1" showInputMessage="1" showErrorMessage="1" xr:uid="{C1408172-3BB4-4BC7-82F4-673D8508A7D4}">
          <x14:formula1>
            <xm:f>Manutention!A2:A11</xm:f>
          </x14:formula1>
          <xm:sqref>H692</xm:sqref>
        </x14:dataValidation>
        <x14:dataValidation type="list" allowBlank="1" showInputMessage="1" showErrorMessage="1" xr:uid="{726BB8CF-4B13-4D6E-B425-3DDB22E4429F}">
          <x14:formula1>
            <xm:f>Manutention!A2:A11</xm:f>
          </x14:formula1>
          <xm:sqref>H693</xm:sqref>
        </x14:dataValidation>
        <x14:dataValidation type="list" allowBlank="1" showInputMessage="1" showErrorMessage="1" xr:uid="{BFAD1049-DF93-46D5-89E1-8A7A11AA7241}">
          <x14:formula1>
            <xm:f>Manutention!A2:A11</xm:f>
          </x14:formula1>
          <xm:sqref>H694</xm:sqref>
        </x14:dataValidation>
        <x14:dataValidation type="list" allowBlank="1" showInputMessage="1" showErrorMessage="1" xr:uid="{676380EB-05FC-42CA-BCF5-DDD6D06CEC3C}">
          <x14:formula1>
            <xm:f>Manutention!A2:A11</xm:f>
          </x14:formula1>
          <xm:sqref>H695</xm:sqref>
        </x14:dataValidation>
        <x14:dataValidation type="list" allowBlank="1" showInputMessage="1" showErrorMessage="1" xr:uid="{AAFABC3C-81D4-4810-B8F3-83D276E7B557}">
          <x14:formula1>
            <xm:f>Manutention!A2:A11</xm:f>
          </x14:formula1>
          <xm:sqref>H696</xm:sqref>
        </x14:dataValidation>
        <x14:dataValidation type="list" allowBlank="1" showInputMessage="1" showErrorMessage="1" xr:uid="{9D2E67ED-80EE-4FD9-9CE7-6634A580513E}">
          <x14:formula1>
            <xm:f>Manutention!A2:A11</xm:f>
          </x14:formula1>
          <xm:sqref>H697</xm:sqref>
        </x14:dataValidation>
        <x14:dataValidation type="list" allowBlank="1" showInputMessage="1" showErrorMessage="1" xr:uid="{293872F7-A9EA-4575-B405-C4B7D1371BEB}">
          <x14:formula1>
            <xm:f>Manutention!A2:A11</xm:f>
          </x14:formula1>
          <xm:sqref>H698</xm:sqref>
        </x14:dataValidation>
        <x14:dataValidation type="list" allowBlank="1" showInputMessage="1" showErrorMessage="1" xr:uid="{62CF9477-1CED-472E-BE8F-28FDD6A2C5F3}">
          <x14:formula1>
            <xm:f>Manutention!A2:A11</xm:f>
          </x14:formula1>
          <xm:sqref>H699</xm:sqref>
        </x14:dataValidation>
        <x14:dataValidation type="list" allowBlank="1" showInputMessage="1" showErrorMessage="1" xr:uid="{45EC525C-6318-4F5B-B37E-B981E7520CA0}">
          <x14:formula1>
            <xm:f>Camion!A2:A11</xm:f>
          </x14:formula1>
          <xm:sqref>L700</xm:sqref>
        </x14:dataValidation>
        <x14:dataValidation type="list" allowBlank="1" showInputMessage="1" showErrorMessage="1" xr:uid="{2F65436D-0DE5-4108-952B-E4CC090F4378}">
          <x14:formula1>
            <xm:f>Camion!A2:A11</xm:f>
          </x14:formula1>
          <xm:sqref>L701</xm:sqref>
        </x14:dataValidation>
        <x14:dataValidation type="list" allowBlank="1" showInputMessage="1" showErrorMessage="1" xr:uid="{95B29B63-2379-4A0B-BDFA-E037C8ABB420}">
          <x14:formula1>
            <xm:f>Manutention!A2:A11</xm:f>
          </x14:formula1>
          <xm:sqref>H702</xm:sqref>
        </x14:dataValidation>
        <x14:dataValidation type="list" allowBlank="1" showInputMessage="1" showErrorMessage="1" xr:uid="{76FA7E6F-21C6-40E4-8094-070A8E64AC05}">
          <x14:formula1>
            <xm:f>Manutention!A2:A11</xm:f>
          </x14:formula1>
          <xm:sqref>H703</xm:sqref>
        </x14:dataValidation>
        <x14:dataValidation type="list" allowBlank="1" showInputMessage="1" showErrorMessage="1" xr:uid="{F8D98AD0-C6F0-4C5B-81B4-075CAFC143CC}">
          <x14:formula1>
            <xm:f>Manutention!A2:A11</xm:f>
          </x14:formula1>
          <xm:sqref>H704</xm:sqref>
        </x14:dataValidation>
        <x14:dataValidation type="list" allowBlank="1" showInputMessage="1" showErrorMessage="1" xr:uid="{9EA9D294-2EFD-4DCC-B961-3F17C12E1B9D}">
          <x14:formula1>
            <xm:f>Manutention!A2:A11</xm:f>
          </x14:formula1>
          <xm:sqref>H705</xm:sqref>
        </x14:dataValidation>
        <x14:dataValidation type="list" allowBlank="1" showInputMessage="1" showErrorMessage="1" xr:uid="{C3550DB4-9604-4853-88C7-1378AD78656D}">
          <x14:formula1>
            <xm:f>Manutention!A2:A11</xm:f>
          </x14:formula1>
          <xm:sqref>H706</xm:sqref>
        </x14:dataValidation>
        <x14:dataValidation type="list" allowBlank="1" showInputMessage="1" showErrorMessage="1" xr:uid="{1828BB36-9087-4A2A-BF09-71FD3AAC3007}">
          <x14:formula1>
            <xm:f>Manutention!A2:A11</xm:f>
          </x14:formula1>
          <xm:sqref>H707</xm:sqref>
        </x14:dataValidation>
        <x14:dataValidation type="list" allowBlank="1" showInputMessage="1" showErrorMessage="1" xr:uid="{C34E2050-F5B0-4736-A724-A5CC0420684A}">
          <x14:formula1>
            <xm:f>Manutention!A2:A11</xm:f>
          </x14:formula1>
          <xm:sqref>H708</xm:sqref>
        </x14:dataValidation>
        <x14:dataValidation type="list" allowBlank="1" showInputMessage="1" showErrorMessage="1" xr:uid="{52DCCFE5-7AFE-4C80-AF5C-24F4416E66F7}">
          <x14:formula1>
            <xm:f>Manutention!A2:A11</xm:f>
          </x14:formula1>
          <xm:sqref>H709</xm:sqref>
        </x14:dataValidation>
        <x14:dataValidation type="list" allowBlank="1" showInputMessage="1" showErrorMessage="1" xr:uid="{509DBEA1-001E-4555-B56E-3A0D95B982F0}">
          <x14:formula1>
            <xm:f>Camion!A2:A11</xm:f>
          </x14:formula1>
          <xm:sqref>L710</xm:sqref>
        </x14:dataValidation>
        <x14:dataValidation type="list" allowBlank="1" showInputMessage="1" showErrorMessage="1" xr:uid="{60BF1CD9-6F82-43CD-AEB1-DB1BE69E5DCF}">
          <x14:formula1>
            <xm:f>Camion!A2:A11</xm:f>
          </x14:formula1>
          <xm:sqref>L711</xm:sqref>
        </x14:dataValidation>
        <x14:dataValidation type="list" allowBlank="1" showInputMessage="1" showErrorMessage="1" xr:uid="{7E00DD59-AF4F-43F0-B481-F45259780664}">
          <x14:formula1>
            <xm:f>Manutention!A2:A11</xm:f>
          </x14:formula1>
          <xm:sqref>H712</xm:sqref>
        </x14:dataValidation>
        <x14:dataValidation type="list" allowBlank="1" showInputMessage="1" showErrorMessage="1" xr:uid="{4571DF11-105D-4AB0-8B98-7A629E31AE46}">
          <x14:formula1>
            <xm:f>Manutention!A2:A11</xm:f>
          </x14:formula1>
          <xm:sqref>H713</xm:sqref>
        </x14:dataValidation>
        <x14:dataValidation type="list" allowBlank="1" showInputMessage="1" showErrorMessage="1" xr:uid="{83C032BB-36E4-4BE6-BAF1-E1FE73EA4D31}">
          <x14:formula1>
            <xm:f>Manutention!A2:A11</xm:f>
          </x14:formula1>
          <xm:sqref>H714</xm:sqref>
        </x14:dataValidation>
        <x14:dataValidation type="list" allowBlank="1" showInputMessage="1" showErrorMessage="1" xr:uid="{46F2D309-AF9F-4112-9556-ECE607BAB3BE}">
          <x14:formula1>
            <xm:f>Manutention!A2:A11</xm:f>
          </x14:formula1>
          <xm:sqref>H715</xm:sqref>
        </x14:dataValidation>
        <x14:dataValidation type="list" allowBlank="1" showInputMessage="1" showErrorMessage="1" xr:uid="{96503998-4508-4B45-9B4F-C1A2DA7E17FC}">
          <x14:formula1>
            <xm:f>Manutention!A2:A11</xm:f>
          </x14:formula1>
          <xm:sqref>H716</xm:sqref>
        </x14:dataValidation>
        <x14:dataValidation type="list" allowBlank="1" showInputMessage="1" showErrorMessage="1" xr:uid="{770B34C8-A53A-4CA0-A29D-F15973A0379F}">
          <x14:formula1>
            <xm:f>Manutention!A2:A11</xm:f>
          </x14:formula1>
          <xm:sqref>H717</xm:sqref>
        </x14:dataValidation>
        <x14:dataValidation type="list" allowBlank="1" showInputMessage="1" showErrorMessage="1" xr:uid="{CC5E73C1-316D-4878-8C06-3F6348D0E940}">
          <x14:formula1>
            <xm:f>Manutention!A2:A11</xm:f>
          </x14:formula1>
          <xm:sqref>H718</xm:sqref>
        </x14:dataValidation>
        <x14:dataValidation type="list" allowBlank="1" showInputMessage="1" showErrorMessage="1" xr:uid="{38842882-2365-4ECC-9A58-F281DDF1A543}">
          <x14:formula1>
            <xm:f>Manutention!A2:A11</xm:f>
          </x14:formula1>
          <xm:sqref>H719</xm:sqref>
        </x14:dataValidation>
        <x14:dataValidation type="list" allowBlank="1" showInputMessage="1" showErrorMessage="1" xr:uid="{41CF2EF3-DC4A-4ACA-B6DC-3D5CD00D6D0F}">
          <x14:formula1>
            <xm:f>Manutention!A2:A11</xm:f>
          </x14:formula1>
          <xm:sqref>H720</xm:sqref>
        </x14:dataValidation>
        <x14:dataValidation type="list" allowBlank="1" showInputMessage="1" showErrorMessage="1" xr:uid="{B02BE206-2089-4CFB-A1A4-D52DE19983A4}">
          <x14:formula1>
            <xm:f>Manutention!A2:A11</xm:f>
          </x14:formula1>
          <xm:sqref>H721</xm:sqref>
        </x14:dataValidation>
        <x14:dataValidation type="list" allowBlank="1" showInputMessage="1" showErrorMessage="1" xr:uid="{65930F93-188C-4A36-B45F-8041298045B5}">
          <x14:formula1>
            <xm:f>Manutention!A2:A11</xm:f>
          </x14:formula1>
          <xm:sqref>H722</xm:sqref>
        </x14:dataValidation>
        <x14:dataValidation type="list" allowBlank="1" showInputMessage="1" showErrorMessage="1" xr:uid="{61ED7D66-F460-4386-B24B-F32F96E1B213}">
          <x14:formula1>
            <xm:f>Camion!A2:A11</xm:f>
          </x14:formula1>
          <xm:sqref>L723</xm:sqref>
        </x14:dataValidation>
        <x14:dataValidation type="list" allowBlank="1" showInputMessage="1" showErrorMessage="1" xr:uid="{813375B9-0118-4CF4-B8A2-460FBDD81F8E}">
          <x14:formula1>
            <xm:f>Camion!A2:A11</xm:f>
          </x14:formula1>
          <xm:sqref>L724</xm:sqref>
        </x14:dataValidation>
        <x14:dataValidation type="list" allowBlank="1" showInputMessage="1" showErrorMessage="1" xr:uid="{A38F17A3-918C-4E0C-9DA7-262099EB56CA}">
          <x14:formula1>
            <xm:f>Manutention!A2:A11</xm:f>
          </x14:formula1>
          <xm:sqref>H725</xm:sqref>
        </x14:dataValidation>
        <x14:dataValidation type="list" allowBlank="1" showInputMessage="1" showErrorMessage="1" xr:uid="{1A55ABCA-3D30-4E1D-AD8A-B9B4D13DDD09}">
          <x14:formula1>
            <xm:f>Manutention!A2:A11</xm:f>
          </x14:formula1>
          <xm:sqref>H726</xm:sqref>
        </x14:dataValidation>
        <x14:dataValidation type="list" allowBlank="1" showInputMessage="1" showErrorMessage="1" xr:uid="{B04C1071-7AC4-4FB3-ABFC-A60EB92D31D4}">
          <x14:formula1>
            <xm:f>Manutention!A2:A11</xm:f>
          </x14:formula1>
          <xm:sqref>H727</xm:sqref>
        </x14:dataValidation>
        <x14:dataValidation type="list" allowBlank="1" showInputMessage="1" showErrorMessage="1" xr:uid="{0BD02AA2-9EA0-4AFE-9C18-38054886486C}">
          <x14:formula1>
            <xm:f>Manutention!A2:A11</xm:f>
          </x14:formula1>
          <xm:sqref>H728</xm:sqref>
        </x14:dataValidation>
        <x14:dataValidation type="list" allowBlank="1" showInputMessage="1" showErrorMessage="1" xr:uid="{87CC559A-3D0C-48F4-BF59-747A8CCD753B}">
          <x14:formula1>
            <xm:f>Manutention!A2:A11</xm:f>
          </x14:formula1>
          <xm:sqref>H729</xm:sqref>
        </x14:dataValidation>
        <x14:dataValidation type="list" allowBlank="1" showInputMessage="1" showErrorMessage="1" xr:uid="{D1B14C55-E4A4-4223-B651-B07CC77C0DDF}">
          <x14:formula1>
            <xm:f>Manutention!A2:A11</xm:f>
          </x14:formula1>
          <xm:sqref>H730</xm:sqref>
        </x14:dataValidation>
        <x14:dataValidation type="list" allowBlank="1" showInputMessage="1" showErrorMessage="1" xr:uid="{B682E208-9E1F-4143-BBEE-276CC2311A23}">
          <x14:formula1>
            <xm:f>Manutention!A2:A11</xm:f>
          </x14:formula1>
          <xm:sqref>H731</xm:sqref>
        </x14:dataValidation>
        <x14:dataValidation type="list" allowBlank="1" showInputMessage="1" showErrorMessage="1" xr:uid="{D85C539B-04C0-4D09-A737-7E37B0BCF628}">
          <x14:formula1>
            <xm:f>Manutention!A2:A11</xm:f>
          </x14:formula1>
          <xm:sqref>H732</xm:sqref>
        </x14:dataValidation>
        <x14:dataValidation type="list" allowBlank="1" showInputMessage="1" showErrorMessage="1" xr:uid="{F8B04779-0359-4B9A-8AF8-6EAD2A40BD68}">
          <x14:formula1>
            <xm:f>Manutention!A2:A11</xm:f>
          </x14:formula1>
          <xm:sqref>H733</xm:sqref>
        </x14:dataValidation>
        <x14:dataValidation type="list" allowBlank="1" showInputMessage="1" showErrorMessage="1" xr:uid="{F2210A9B-FBC7-4C85-8DEA-4CB0BBE57FE3}">
          <x14:formula1>
            <xm:f>Manutention!A2:A11</xm:f>
          </x14:formula1>
          <xm:sqref>H734</xm:sqref>
        </x14:dataValidation>
        <x14:dataValidation type="list" allowBlank="1" showInputMessage="1" showErrorMessage="1" xr:uid="{4A3FE2B8-8B10-402E-9156-E848B109310B}">
          <x14:formula1>
            <xm:f>Manutention!A2:A11</xm:f>
          </x14:formula1>
          <xm:sqref>H735</xm:sqref>
        </x14:dataValidation>
        <x14:dataValidation type="list" allowBlank="1" showInputMessage="1" showErrorMessage="1" xr:uid="{377941B5-4534-491E-9A75-8E6656BE20A2}">
          <x14:formula1>
            <xm:f>Camion!A2:A11</xm:f>
          </x14:formula1>
          <xm:sqref>L736</xm:sqref>
        </x14:dataValidation>
        <x14:dataValidation type="list" allowBlank="1" showInputMessage="1" showErrorMessage="1" xr:uid="{72085AA1-5F81-4829-A845-F55815E14DD9}">
          <x14:formula1>
            <xm:f>Camion!A2:A11</xm:f>
          </x14:formula1>
          <xm:sqref>L737</xm:sqref>
        </x14:dataValidation>
        <x14:dataValidation type="list" allowBlank="1" showInputMessage="1" showErrorMessage="1" xr:uid="{1005B76A-309F-4681-95F1-B26D86D538AF}">
          <x14:formula1>
            <xm:f>Manutention!A2:A11</xm:f>
          </x14:formula1>
          <xm:sqref>H738</xm:sqref>
        </x14:dataValidation>
        <x14:dataValidation type="list" allowBlank="1" showInputMessage="1" showErrorMessage="1" xr:uid="{B1E07BFF-8E8E-4CC5-B971-FB3F7A8DA8B8}">
          <x14:formula1>
            <xm:f>Manutention!A2:A11</xm:f>
          </x14:formula1>
          <xm:sqref>H739</xm:sqref>
        </x14:dataValidation>
        <x14:dataValidation type="list" allowBlank="1" showInputMessage="1" showErrorMessage="1" xr:uid="{817404B9-6633-4ED6-A757-732F5E88C2AF}">
          <x14:formula1>
            <xm:f>Manutention!A2:A11</xm:f>
          </x14:formula1>
          <xm:sqref>H740</xm:sqref>
        </x14:dataValidation>
        <x14:dataValidation type="list" allowBlank="1" showInputMessage="1" showErrorMessage="1" xr:uid="{AF1D4CA1-9780-43AF-8EC3-566DDAA2ED9E}">
          <x14:formula1>
            <xm:f>Manutention!A2:A11</xm:f>
          </x14:formula1>
          <xm:sqref>H741</xm:sqref>
        </x14:dataValidation>
        <x14:dataValidation type="list" allowBlank="1" showInputMessage="1" showErrorMessage="1" xr:uid="{8DDDE072-E146-41CC-959E-F736FFF5A16B}">
          <x14:formula1>
            <xm:f>Manutention!A2:A11</xm:f>
          </x14:formula1>
          <xm:sqref>H742</xm:sqref>
        </x14:dataValidation>
        <x14:dataValidation type="list" allowBlank="1" showInputMessage="1" showErrorMessage="1" xr:uid="{ECA6F6E1-0979-4CFD-9D5B-7BADCE664965}">
          <x14:formula1>
            <xm:f>Manutention!A2:A11</xm:f>
          </x14:formula1>
          <xm:sqref>H743</xm:sqref>
        </x14:dataValidation>
        <x14:dataValidation type="list" allowBlank="1" showInputMessage="1" showErrorMessage="1" xr:uid="{4A8C44BA-89C0-4380-981F-5CD4F7BCD409}">
          <x14:formula1>
            <xm:f>Manutention!A2:A11</xm:f>
          </x14:formula1>
          <xm:sqref>H744</xm:sqref>
        </x14:dataValidation>
        <x14:dataValidation type="list" allowBlank="1" showInputMessage="1" showErrorMessage="1" xr:uid="{FA7D29C4-1BF0-4493-90DC-884C5E201B9C}">
          <x14:formula1>
            <xm:f>Manutention!A2:A11</xm:f>
          </x14:formula1>
          <xm:sqref>H745</xm:sqref>
        </x14:dataValidation>
        <x14:dataValidation type="list" allowBlank="1" showInputMessage="1" showErrorMessage="1" xr:uid="{D129589A-BA3C-4FFD-A2A9-39ADA169D745}">
          <x14:formula1>
            <xm:f>Camion!A2:A11</xm:f>
          </x14:formula1>
          <xm:sqref>L746</xm:sqref>
        </x14:dataValidation>
        <x14:dataValidation type="list" allowBlank="1" showInputMessage="1" showErrorMessage="1" xr:uid="{A35621D8-D877-45AB-B00B-04BEBFFC3BAA}">
          <x14:formula1>
            <xm:f>Camion!A2:A11</xm:f>
          </x14:formula1>
          <xm:sqref>L747</xm:sqref>
        </x14:dataValidation>
        <x14:dataValidation type="list" allowBlank="1" showInputMessage="1" showErrorMessage="1" xr:uid="{9ECD1492-8787-4A14-BC4B-C0CFCAC8E243}">
          <x14:formula1>
            <xm:f>Manutention!A2:A11</xm:f>
          </x14:formula1>
          <xm:sqref>H748</xm:sqref>
        </x14:dataValidation>
        <x14:dataValidation type="list" allowBlank="1" showInputMessage="1" showErrorMessage="1" xr:uid="{34CED39D-E098-487A-B07B-7A3C6CAD65B1}">
          <x14:formula1>
            <xm:f>Manutention!A2:A11</xm:f>
          </x14:formula1>
          <xm:sqref>H749</xm:sqref>
        </x14:dataValidation>
        <x14:dataValidation type="list" allowBlank="1" showInputMessage="1" showErrorMessage="1" xr:uid="{14543D9A-9116-4672-8C52-0340DF9BC1CD}">
          <x14:formula1>
            <xm:f>Manutention!A2:A11</xm:f>
          </x14:formula1>
          <xm:sqref>H750</xm:sqref>
        </x14:dataValidation>
        <x14:dataValidation type="list" allowBlank="1" showInputMessage="1" showErrorMessage="1" xr:uid="{16F6BCAF-68C5-493B-A9AA-AB8053B6C4FF}">
          <x14:formula1>
            <xm:f>Manutention!A2:A11</xm:f>
          </x14:formula1>
          <xm:sqref>H751</xm:sqref>
        </x14:dataValidation>
        <x14:dataValidation type="list" allowBlank="1" showInputMessage="1" showErrorMessage="1" xr:uid="{B99FA12F-37E7-401B-B358-296E517B15BD}">
          <x14:formula1>
            <xm:f>Manutention!A2:A11</xm:f>
          </x14:formula1>
          <xm:sqref>H752</xm:sqref>
        </x14:dataValidation>
        <x14:dataValidation type="list" allowBlank="1" showInputMessage="1" showErrorMessage="1" xr:uid="{EF7B0F83-5864-45F5-8158-891BEA45E68E}">
          <x14:formula1>
            <xm:f>Manutention!A2:A11</xm:f>
          </x14:formula1>
          <xm:sqref>H753</xm:sqref>
        </x14:dataValidation>
        <x14:dataValidation type="list" allowBlank="1" showInputMessage="1" showErrorMessage="1" xr:uid="{368DB24C-74AA-4BF8-AE71-0661E9F6FD81}">
          <x14:formula1>
            <xm:f>Manutention!A2:A11</xm:f>
          </x14:formula1>
          <xm:sqref>H754</xm:sqref>
        </x14:dataValidation>
        <x14:dataValidation type="list" allowBlank="1" showInputMessage="1" showErrorMessage="1" xr:uid="{AA748821-47EA-454A-9705-C1E638C8456F}">
          <x14:formula1>
            <xm:f>Manutention!A2:A11</xm:f>
          </x14:formula1>
          <xm:sqref>H755</xm:sqref>
        </x14:dataValidation>
        <x14:dataValidation type="list" allowBlank="1" showInputMessage="1" showErrorMessage="1" xr:uid="{CACD4695-2858-4109-8B88-BE5CA5475C8F}">
          <x14:formula1>
            <xm:f>Camion!A2:A11</xm:f>
          </x14:formula1>
          <xm:sqref>L756</xm:sqref>
        </x14:dataValidation>
        <x14:dataValidation type="list" allowBlank="1" showInputMessage="1" showErrorMessage="1" xr:uid="{932ED84C-4F4E-41CA-AFD8-9666CB32EFDB}">
          <x14:formula1>
            <xm:f>Camion!A2:A11</xm:f>
          </x14:formula1>
          <xm:sqref>L757</xm:sqref>
        </x14:dataValidation>
        <x14:dataValidation type="list" allowBlank="1" showInputMessage="1" showErrorMessage="1" xr:uid="{60A341E0-6482-4110-AE29-607F6ABA28C7}">
          <x14:formula1>
            <xm:f>Manutention!A2:A11</xm:f>
          </x14:formula1>
          <xm:sqref>H758</xm:sqref>
        </x14:dataValidation>
        <x14:dataValidation type="list" allowBlank="1" showInputMessage="1" showErrorMessage="1" xr:uid="{E215457C-E942-43BD-8038-BF454C3E6904}">
          <x14:formula1>
            <xm:f>Manutention!A2:A11</xm:f>
          </x14:formula1>
          <xm:sqref>H759</xm:sqref>
        </x14:dataValidation>
        <x14:dataValidation type="list" allowBlank="1" showInputMessage="1" showErrorMessage="1" xr:uid="{D6B18551-66FC-471E-B6EA-9D63EE2CFCE5}">
          <x14:formula1>
            <xm:f>Manutention!A2:A11</xm:f>
          </x14:formula1>
          <xm:sqref>H760</xm:sqref>
        </x14:dataValidation>
        <x14:dataValidation type="list" allowBlank="1" showInputMessage="1" showErrorMessage="1" xr:uid="{4EDE7073-C802-42D1-B1CD-9A0B048B1A5A}">
          <x14:formula1>
            <xm:f>Manutention!A2:A11</xm:f>
          </x14:formula1>
          <xm:sqref>H761</xm:sqref>
        </x14:dataValidation>
        <x14:dataValidation type="list" allowBlank="1" showInputMessage="1" showErrorMessage="1" xr:uid="{4AAFD28A-3299-4EBB-B73E-4B8F71A2993C}">
          <x14:formula1>
            <xm:f>Manutention!A2:A11</xm:f>
          </x14:formula1>
          <xm:sqref>H762</xm:sqref>
        </x14:dataValidation>
        <x14:dataValidation type="list" allowBlank="1" showInputMessage="1" showErrorMessage="1" xr:uid="{1A17D0BC-7024-4334-B500-78A15C591F3E}">
          <x14:formula1>
            <xm:f>Manutention!A2:A11</xm:f>
          </x14:formula1>
          <xm:sqref>H763</xm:sqref>
        </x14:dataValidation>
        <x14:dataValidation type="list" allowBlank="1" showInputMessage="1" showErrorMessage="1" xr:uid="{3A18DF29-C967-4C39-98C4-1D7BB3299E19}">
          <x14:formula1>
            <xm:f>Manutention!A2:A11</xm:f>
          </x14:formula1>
          <xm:sqref>H764</xm:sqref>
        </x14:dataValidation>
        <x14:dataValidation type="list" allowBlank="1" showInputMessage="1" showErrorMessage="1" xr:uid="{FAE3E88D-A48F-408E-8ED4-7D726C2D264C}">
          <x14:formula1>
            <xm:f>Manutention!A2:A11</xm:f>
          </x14:formula1>
          <xm:sqref>H765</xm:sqref>
        </x14:dataValidation>
        <x14:dataValidation type="list" allowBlank="1" showInputMessage="1" showErrorMessage="1" xr:uid="{83DADA91-148C-4B99-833A-AA7761D566C2}">
          <x14:formula1>
            <xm:f>Camion!A2:A11</xm:f>
          </x14:formula1>
          <xm:sqref>L766</xm:sqref>
        </x14:dataValidation>
        <x14:dataValidation type="list" allowBlank="1" showInputMessage="1" showErrorMessage="1" xr:uid="{DC35D3A0-F603-4DB8-A1D1-B44DB94310F6}">
          <x14:formula1>
            <xm:f>Camion!A2:A11</xm:f>
          </x14:formula1>
          <xm:sqref>L767</xm:sqref>
        </x14:dataValidation>
        <x14:dataValidation type="list" allowBlank="1" showInputMessage="1" showErrorMessage="1" xr:uid="{55110E3C-98C1-4151-82BA-F705D3E36C03}">
          <x14:formula1>
            <xm:f>Manutention!A2:A11</xm:f>
          </x14:formula1>
          <xm:sqref>H768</xm:sqref>
        </x14:dataValidation>
        <x14:dataValidation type="list" allowBlank="1" showInputMessage="1" showErrorMessage="1" xr:uid="{D87DDF36-D593-4A89-BDEA-83F935EA8687}">
          <x14:formula1>
            <xm:f>Manutention!A2:A11</xm:f>
          </x14:formula1>
          <xm:sqref>H769</xm:sqref>
        </x14:dataValidation>
        <x14:dataValidation type="list" allowBlank="1" showInputMessage="1" showErrorMessage="1" xr:uid="{176FB30C-AA36-4EE9-9309-C58F87D109EE}">
          <x14:formula1>
            <xm:f>Manutention!A2:A11</xm:f>
          </x14:formula1>
          <xm:sqref>H770</xm:sqref>
        </x14:dataValidation>
        <x14:dataValidation type="list" allowBlank="1" showInputMessage="1" showErrorMessage="1" xr:uid="{88294A43-1EC4-4D60-96B1-BE42BFF4F09B}">
          <x14:formula1>
            <xm:f>Manutention!A2:A11</xm:f>
          </x14:formula1>
          <xm:sqref>H771</xm:sqref>
        </x14:dataValidation>
        <x14:dataValidation type="list" allowBlank="1" showInputMessage="1" showErrorMessage="1" xr:uid="{3AFFB099-7AC4-4DA9-80FD-59990DD4D0BB}">
          <x14:formula1>
            <xm:f>Manutention!A2:A11</xm:f>
          </x14:formula1>
          <xm:sqref>H772</xm:sqref>
        </x14:dataValidation>
        <x14:dataValidation type="list" allowBlank="1" showInputMessage="1" showErrorMessage="1" xr:uid="{19B288FB-76EA-4F30-A486-8E6EB3D96AB4}">
          <x14:formula1>
            <xm:f>Manutention!A2:A11</xm:f>
          </x14:formula1>
          <xm:sqref>H773</xm:sqref>
        </x14:dataValidation>
        <x14:dataValidation type="list" allowBlank="1" showInputMessage="1" showErrorMessage="1" xr:uid="{780473A2-726C-42D7-8AF5-75887C1AFD20}">
          <x14:formula1>
            <xm:f>Manutention!A2:A11</xm:f>
          </x14:formula1>
          <xm:sqref>H774</xm:sqref>
        </x14:dataValidation>
        <x14:dataValidation type="list" allowBlank="1" showInputMessage="1" showErrorMessage="1" xr:uid="{076798DB-63D4-4B35-AB50-02DE5039CB20}">
          <x14:formula1>
            <xm:f>Manutention!A2:A11</xm:f>
          </x14:formula1>
          <xm:sqref>H775</xm:sqref>
        </x14:dataValidation>
        <x14:dataValidation type="list" allowBlank="1" showInputMessage="1" showErrorMessage="1" xr:uid="{9BAF12B4-F152-458E-8C53-B79EF03DCA5F}">
          <x14:formula1>
            <xm:f>Camion!A2:A11</xm:f>
          </x14:formula1>
          <xm:sqref>L776</xm:sqref>
        </x14:dataValidation>
        <x14:dataValidation type="list" allowBlank="1" showInputMessage="1" showErrorMessage="1" xr:uid="{F7152626-7F0B-49DB-A262-0B4F8BAA8919}">
          <x14:formula1>
            <xm:f>Camion!A2:A11</xm:f>
          </x14:formula1>
          <xm:sqref>L777</xm:sqref>
        </x14:dataValidation>
        <x14:dataValidation type="list" allowBlank="1" showInputMessage="1" showErrorMessage="1" xr:uid="{B120F5C3-3F5F-4483-982D-A0F8E49AF1F0}">
          <x14:formula1>
            <xm:f>Manutention!A2:A11</xm:f>
          </x14:formula1>
          <xm:sqref>H778</xm:sqref>
        </x14:dataValidation>
        <x14:dataValidation type="list" allowBlank="1" showInputMessage="1" showErrorMessage="1" xr:uid="{E33C5F2A-CA41-4BC5-A156-1EFE4A2ABC7A}">
          <x14:formula1>
            <xm:f>Manutention!A2:A11</xm:f>
          </x14:formula1>
          <xm:sqref>H779</xm:sqref>
        </x14:dataValidation>
        <x14:dataValidation type="list" allowBlank="1" showInputMessage="1" showErrorMessage="1" xr:uid="{5A55D031-AA1D-42E1-BDE1-1D66515B8B59}">
          <x14:formula1>
            <xm:f>Manutention!A2:A11</xm:f>
          </x14:formula1>
          <xm:sqref>H780</xm:sqref>
        </x14:dataValidation>
        <x14:dataValidation type="list" allowBlank="1" showInputMessage="1" showErrorMessage="1" xr:uid="{82D07D2A-3A40-4063-847E-BCCB7BDE8990}">
          <x14:formula1>
            <xm:f>Manutention!A2:A11</xm:f>
          </x14:formula1>
          <xm:sqref>H781</xm:sqref>
        </x14:dataValidation>
        <x14:dataValidation type="list" allowBlank="1" showInputMessage="1" showErrorMessage="1" xr:uid="{C5C8F67B-13BE-4A3F-A463-8996608BBF9A}">
          <x14:formula1>
            <xm:f>Manutention!A2:A11</xm:f>
          </x14:formula1>
          <xm:sqref>H782</xm:sqref>
        </x14:dataValidation>
        <x14:dataValidation type="list" allowBlank="1" showInputMessage="1" showErrorMessage="1" xr:uid="{090EB525-F87D-4518-835E-95478D09257E}">
          <x14:formula1>
            <xm:f>Manutention!A2:A11</xm:f>
          </x14:formula1>
          <xm:sqref>H783</xm:sqref>
        </x14:dataValidation>
        <x14:dataValidation type="list" allowBlank="1" showInputMessage="1" showErrorMessage="1" xr:uid="{FDF85AB3-12C0-44FF-933E-242C941FE504}">
          <x14:formula1>
            <xm:f>Manutention!A2:A11</xm:f>
          </x14:formula1>
          <xm:sqref>H784</xm:sqref>
        </x14:dataValidation>
        <x14:dataValidation type="list" allowBlank="1" showInputMessage="1" showErrorMessage="1" xr:uid="{C6EEBB6D-63FB-4158-8B19-DB364AAFE45F}">
          <x14:formula1>
            <xm:f>Manutention!A2:A11</xm:f>
          </x14:formula1>
          <xm:sqref>H785</xm:sqref>
        </x14:dataValidation>
        <x14:dataValidation type="list" allowBlank="1" showInputMessage="1" showErrorMessage="1" xr:uid="{7669FAAD-BBD4-41FA-B81E-208BB2275FC6}">
          <x14:formula1>
            <xm:f>Camion!A2:A11</xm:f>
          </x14:formula1>
          <xm:sqref>L786</xm:sqref>
        </x14:dataValidation>
        <x14:dataValidation type="list" allowBlank="1" showInputMessage="1" showErrorMessage="1" xr:uid="{A5A21338-2549-47F4-922F-44650686247A}">
          <x14:formula1>
            <xm:f>Camion!A2:A11</xm:f>
          </x14:formula1>
          <xm:sqref>L787</xm:sqref>
        </x14:dataValidation>
        <x14:dataValidation type="list" allowBlank="1" showInputMessage="1" showErrorMessage="1" xr:uid="{51A5E6FE-67CE-4F35-B90C-452D427936F2}">
          <x14:formula1>
            <xm:f>Manutention!A2:A11</xm:f>
          </x14:formula1>
          <xm:sqref>H788</xm:sqref>
        </x14:dataValidation>
        <x14:dataValidation type="list" allowBlank="1" showInputMessage="1" showErrorMessage="1" xr:uid="{DB9809FB-B91D-401C-88E3-FC6A3DAB2230}">
          <x14:formula1>
            <xm:f>Manutention!A2:A11</xm:f>
          </x14:formula1>
          <xm:sqref>H789</xm:sqref>
        </x14:dataValidation>
        <x14:dataValidation type="list" allowBlank="1" showInputMessage="1" showErrorMessage="1" xr:uid="{6C991563-E8F4-4036-9916-F6CE0FFC38D6}">
          <x14:formula1>
            <xm:f>Manutention!A2:A11</xm:f>
          </x14:formula1>
          <xm:sqref>H790</xm:sqref>
        </x14:dataValidation>
        <x14:dataValidation type="list" allowBlank="1" showInputMessage="1" showErrorMessage="1" xr:uid="{FA37257F-A7A9-4E7F-9FB5-49823C13B29B}">
          <x14:formula1>
            <xm:f>Manutention!A2:A11</xm:f>
          </x14:formula1>
          <xm:sqref>H791</xm:sqref>
        </x14:dataValidation>
        <x14:dataValidation type="list" allowBlank="1" showInputMessage="1" showErrorMessage="1" xr:uid="{48F3C48C-0131-4496-A03C-DEBFD7CA7479}">
          <x14:formula1>
            <xm:f>Manutention!A2:A11</xm:f>
          </x14:formula1>
          <xm:sqref>H792</xm:sqref>
        </x14:dataValidation>
        <x14:dataValidation type="list" allowBlank="1" showInputMessage="1" showErrorMessage="1" xr:uid="{4B784C57-CDD8-47F1-B298-B35AE3F2DDC0}">
          <x14:formula1>
            <xm:f>Manutention!A2:A11</xm:f>
          </x14:formula1>
          <xm:sqref>H793</xm:sqref>
        </x14:dataValidation>
        <x14:dataValidation type="list" allowBlank="1" showInputMessage="1" showErrorMessage="1" xr:uid="{EBEA35D9-635A-43C8-94F4-AB8967537630}">
          <x14:formula1>
            <xm:f>Manutention!A2:A11</xm:f>
          </x14:formula1>
          <xm:sqref>H794</xm:sqref>
        </x14:dataValidation>
        <x14:dataValidation type="list" allowBlank="1" showInputMessage="1" showErrorMessage="1" xr:uid="{FB3F1876-3343-44AB-A8F2-7954F92F4945}">
          <x14:formula1>
            <xm:f>Manutention!A2:A11</xm:f>
          </x14:formula1>
          <xm:sqref>H795</xm:sqref>
        </x14:dataValidation>
        <x14:dataValidation type="list" allowBlank="1" showInputMessage="1" showErrorMessage="1" xr:uid="{223A392F-043E-43A4-99A7-1A982A298FCC}">
          <x14:formula1>
            <xm:f>Camion!A2:A11</xm:f>
          </x14:formula1>
          <xm:sqref>L796</xm:sqref>
        </x14:dataValidation>
        <x14:dataValidation type="list" allowBlank="1" showInputMessage="1" showErrorMessage="1" xr:uid="{38254A01-9C50-4A3D-9DBB-E8D189C5AB55}">
          <x14:formula1>
            <xm:f>Camion!A2:A11</xm:f>
          </x14:formula1>
          <xm:sqref>L797</xm:sqref>
        </x14:dataValidation>
        <x14:dataValidation type="list" allowBlank="1" showInputMessage="1" showErrorMessage="1" xr:uid="{FE2A2DE3-B53F-4333-BAEC-DC1FB5D89AA6}">
          <x14:formula1>
            <xm:f>Manutention!A2:A11</xm:f>
          </x14:formula1>
          <xm:sqref>H798</xm:sqref>
        </x14:dataValidation>
        <x14:dataValidation type="list" allowBlank="1" showInputMessage="1" showErrorMessage="1" xr:uid="{D395834B-1C29-4431-9BEB-FC6E5E71E7C7}">
          <x14:formula1>
            <xm:f>Manutention!A2:A11</xm:f>
          </x14:formula1>
          <xm:sqref>H799</xm:sqref>
        </x14:dataValidation>
        <x14:dataValidation type="list" allowBlank="1" showInputMessage="1" showErrorMessage="1" xr:uid="{1FB95397-6138-4C88-AB1B-E2481F758347}">
          <x14:formula1>
            <xm:f>Manutention!A2:A11</xm:f>
          </x14:formula1>
          <xm:sqref>H800</xm:sqref>
        </x14:dataValidation>
        <x14:dataValidation type="list" allowBlank="1" showInputMessage="1" showErrorMessage="1" xr:uid="{6C64BAE3-0DDA-40FD-A6B2-F2744AD7B172}">
          <x14:formula1>
            <xm:f>Manutention!A2:A11</xm:f>
          </x14:formula1>
          <xm:sqref>H801</xm:sqref>
        </x14:dataValidation>
        <x14:dataValidation type="list" allowBlank="1" showInputMessage="1" showErrorMessage="1" xr:uid="{DE38B97C-5759-4233-86D3-27E163695E8D}">
          <x14:formula1>
            <xm:f>Manutention!A2:A11</xm:f>
          </x14:formula1>
          <xm:sqref>H802</xm:sqref>
        </x14:dataValidation>
        <x14:dataValidation type="list" allowBlank="1" showInputMessage="1" showErrorMessage="1" xr:uid="{7FE0A88A-0499-4E8D-9ECA-BE7722D9BED3}">
          <x14:formula1>
            <xm:f>Manutention!A2:A11</xm:f>
          </x14:formula1>
          <xm:sqref>H803</xm:sqref>
        </x14:dataValidation>
        <x14:dataValidation type="list" allowBlank="1" showInputMessage="1" showErrorMessage="1" xr:uid="{5795BD73-3A4E-472D-9667-305B864F2A5E}">
          <x14:formula1>
            <xm:f>Manutention!A2:A11</xm:f>
          </x14:formula1>
          <xm:sqref>H804</xm:sqref>
        </x14:dataValidation>
        <x14:dataValidation type="list" allowBlank="1" showInputMessage="1" showErrorMessage="1" xr:uid="{908D50E4-0A06-4861-9440-9731E12F1DA2}">
          <x14:formula1>
            <xm:f>Manutention!A2:A11</xm:f>
          </x14:formula1>
          <xm:sqref>H805</xm:sqref>
        </x14:dataValidation>
        <x14:dataValidation type="list" allowBlank="1" showInputMessage="1" showErrorMessage="1" xr:uid="{9DB33DD3-81C0-4089-B28D-FE959C2BAE8A}">
          <x14:formula1>
            <xm:f>Camion!A2:A11</xm:f>
          </x14:formula1>
          <xm:sqref>L806</xm:sqref>
        </x14:dataValidation>
        <x14:dataValidation type="list" allowBlank="1" showInputMessage="1" showErrorMessage="1" xr:uid="{0F0BD9FD-5DB6-49AC-AAB4-85779F7A9CB8}">
          <x14:formula1>
            <xm:f>Camion!A2:A11</xm:f>
          </x14:formula1>
          <xm:sqref>L807</xm:sqref>
        </x14:dataValidation>
        <x14:dataValidation type="list" allowBlank="1" showInputMessage="1" showErrorMessage="1" xr:uid="{A6141258-9DCA-48F1-9E11-6D0281FED886}">
          <x14:formula1>
            <xm:f>Manutention!A2:A11</xm:f>
          </x14:formula1>
          <xm:sqref>H808</xm:sqref>
        </x14:dataValidation>
        <x14:dataValidation type="list" allowBlank="1" showInputMessage="1" showErrorMessage="1" xr:uid="{C0B7AD27-F726-44CF-817B-24BAF78C9533}">
          <x14:formula1>
            <xm:f>Manutention!A2:A11</xm:f>
          </x14:formula1>
          <xm:sqref>H809</xm:sqref>
        </x14:dataValidation>
        <x14:dataValidation type="list" allowBlank="1" showInputMessage="1" showErrorMessage="1" xr:uid="{AD310D38-4673-4B98-9343-74A111C1681F}">
          <x14:formula1>
            <xm:f>Manutention!A2:A11</xm:f>
          </x14:formula1>
          <xm:sqref>H810</xm:sqref>
        </x14:dataValidation>
        <x14:dataValidation type="list" allowBlank="1" showInputMessage="1" showErrorMessage="1" xr:uid="{EC00DDB6-31C1-4DE2-970A-BDE86505E965}">
          <x14:formula1>
            <xm:f>Manutention!A2:A11</xm:f>
          </x14:formula1>
          <xm:sqref>H811</xm:sqref>
        </x14:dataValidation>
        <x14:dataValidation type="list" allowBlank="1" showInputMessage="1" showErrorMessage="1" xr:uid="{279CAF31-D65B-46F9-BC10-AE6E04D85815}">
          <x14:formula1>
            <xm:f>Manutention!A2:A11</xm:f>
          </x14:formula1>
          <xm:sqref>H812</xm:sqref>
        </x14:dataValidation>
        <x14:dataValidation type="list" allowBlank="1" showInputMessage="1" showErrorMessage="1" xr:uid="{F7299166-BE02-4A4C-9411-F6F2A85D6D6C}">
          <x14:formula1>
            <xm:f>Manutention!A2:A11</xm:f>
          </x14:formula1>
          <xm:sqref>H813</xm:sqref>
        </x14:dataValidation>
        <x14:dataValidation type="list" allowBlank="1" showInputMessage="1" showErrorMessage="1" xr:uid="{05BC7F89-9359-4099-9508-23A6735EA874}">
          <x14:formula1>
            <xm:f>Manutention!A2:A11</xm:f>
          </x14:formula1>
          <xm:sqref>H814</xm:sqref>
        </x14:dataValidation>
        <x14:dataValidation type="list" allowBlank="1" showInputMessage="1" showErrorMessage="1" xr:uid="{2D69F962-7E14-4B71-A877-0477379D488F}">
          <x14:formula1>
            <xm:f>Manutention!A2:A11</xm:f>
          </x14:formula1>
          <xm:sqref>H815</xm:sqref>
        </x14:dataValidation>
        <x14:dataValidation type="list" allowBlank="1" showInputMessage="1" showErrorMessage="1" xr:uid="{6626D394-5C40-44E2-934B-4BF19F7EC2C1}">
          <x14:formula1>
            <xm:f>Camion!A2:A11</xm:f>
          </x14:formula1>
          <xm:sqref>L816</xm:sqref>
        </x14:dataValidation>
        <x14:dataValidation type="list" allowBlank="1" showInputMessage="1" showErrorMessage="1" xr:uid="{173F8885-47A3-4CCB-97A3-61DA5EEDDCD0}">
          <x14:formula1>
            <xm:f>Camion!A2:A11</xm:f>
          </x14:formula1>
          <xm:sqref>L817</xm:sqref>
        </x14:dataValidation>
        <x14:dataValidation type="list" allowBlank="1" showInputMessage="1" showErrorMessage="1" xr:uid="{7B6ED54A-C2D7-4D11-8B95-B342194D6C1A}">
          <x14:formula1>
            <xm:f>Manutention!A2:A11</xm:f>
          </x14:formula1>
          <xm:sqref>H818</xm:sqref>
        </x14:dataValidation>
        <x14:dataValidation type="list" allowBlank="1" showInputMessage="1" showErrorMessage="1" xr:uid="{4FA6782A-4939-4C32-9070-D1B1FAAB052C}">
          <x14:formula1>
            <xm:f>Manutention!A2:A11</xm:f>
          </x14:formula1>
          <xm:sqref>H819</xm:sqref>
        </x14:dataValidation>
        <x14:dataValidation type="list" allowBlank="1" showInputMessage="1" showErrorMessage="1" xr:uid="{B3A921B8-E900-4B9D-A345-88A484A4B49A}">
          <x14:formula1>
            <xm:f>Manutention!A2:A11</xm:f>
          </x14:formula1>
          <xm:sqref>H820</xm:sqref>
        </x14:dataValidation>
        <x14:dataValidation type="list" allowBlank="1" showInputMessage="1" showErrorMessage="1" xr:uid="{8E2544CC-78AA-4736-AFC5-C3E9659798BB}">
          <x14:formula1>
            <xm:f>Manutention!A2:A11</xm:f>
          </x14:formula1>
          <xm:sqref>H821</xm:sqref>
        </x14:dataValidation>
        <x14:dataValidation type="list" allowBlank="1" showInputMessage="1" showErrorMessage="1" xr:uid="{D25F9D39-E3BB-48C9-BA62-4A2D955853F2}">
          <x14:formula1>
            <xm:f>Manutention!A2:A11</xm:f>
          </x14:formula1>
          <xm:sqref>H822</xm:sqref>
        </x14:dataValidation>
        <x14:dataValidation type="list" allowBlank="1" showInputMessage="1" showErrorMessage="1" xr:uid="{F35F7AA4-2F68-4DD4-A336-196971805001}">
          <x14:formula1>
            <xm:f>Manutention!A2:A11</xm:f>
          </x14:formula1>
          <xm:sqref>H823</xm:sqref>
        </x14:dataValidation>
        <x14:dataValidation type="list" allowBlank="1" showInputMessage="1" showErrorMessage="1" xr:uid="{B60B584A-29BA-4B91-AC82-075668D4A503}">
          <x14:formula1>
            <xm:f>Manutention!A2:A11</xm:f>
          </x14:formula1>
          <xm:sqref>H824</xm:sqref>
        </x14:dataValidation>
        <x14:dataValidation type="list" allowBlank="1" showInputMessage="1" showErrorMessage="1" xr:uid="{B35BD389-CA9E-4553-80E1-F8568F252808}">
          <x14:formula1>
            <xm:f>Manutention!A2:A11</xm:f>
          </x14:formula1>
          <xm:sqref>H825</xm:sqref>
        </x14:dataValidation>
        <x14:dataValidation type="list" allowBlank="1" showInputMessage="1" showErrorMessage="1" xr:uid="{3B2051BD-4664-4777-988A-54854B86BEDF}">
          <x14:formula1>
            <xm:f>Camion!A2:A11</xm:f>
          </x14:formula1>
          <xm:sqref>L826</xm:sqref>
        </x14:dataValidation>
        <x14:dataValidation type="list" allowBlank="1" showInputMessage="1" showErrorMessage="1" xr:uid="{897A704A-D8C8-4222-8AAB-C04CF05CD5AC}">
          <x14:formula1>
            <xm:f>Camion!A2:A11</xm:f>
          </x14:formula1>
          <xm:sqref>L827</xm:sqref>
        </x14:dataValidation>
        <x14:dataValidation type="list" allowBlank="1" showInputMessage="1" showErrorMessage="1" xr:uid="{6254913D-A6DC-4DBB-B4E3-A55837ECD23E}">
          <x14:formula1>
            <xm:f>Manutention!A2:A11</xm:f>
          </x14:formula1>
          <xm:sqref>H828</xm:sqref>
        </x14:dataValidation>
        <x14:dataValidation type="list" allowBlank="1" showInputMessage="1" showErrorMessage="1" xr:uid="{0FEBBD33-6294-48FC-8661-3618F5D601FB}">
          <x14:formula1>
            <xm:f>Manutention!A2:A11</xm:f>
          </x14:formula1>
          <xm:sqref>H829</xm:sqref>
        </x14:dataValidation>
        <x14:dataValidation type="list" allowBlank="1" showInputMessage="1" showErrorMessage="1" xr:uid="{FE14867D-3AA4-4319-B5FF-BD35A0D476B1}">
          <x14:formula1>
            <xm:f>Manutention!A2:A11</xm:f>
          </x14:formula1>
          <xm:sqref>H830</xm:sqref>
        </x14:dataValidation>
        <x14:dataValidation type="list" allowBlank="1" showInputMessage="1" showErrorMessage="1" xr:uid="{63007CDA-8D1E-4E08-B6A7-B773A12D74D1}">
          <x14:formula1>
            <xm:f>Manutention!A2:A11</xm:f>
          </x14:formula1>
          <xm:sqref>H831</xm:sqref>
        </x14:dataValidation>
        <x14:dataValidation type="list" allowBlank="1" showInputMessage="1" showErrorMessage="1" xr:uid="{6DBCC872-E965-4050-8EC5-28727561BCAE}">
          <x14:formula1>
            <xm:f>Manutention!A2:A11</xm:f>
          </x14:formula1>
          <xm:sqref>H832</xm:sqref>
        </x14:dataValidation>
        <x14:dataValidation type="list" allowBlank="1" showInputMessage="1" showErrorMessage="1" xr:uid="{8A337AED-78F1-4FDA-8E0F-EE68F06BED6A}">
          <x14:formula1>
            <xm:f>Manutention!A2:A11</xm:f>
          </x14:formula1>
          <xm:sqref>H833</xm:sqref>
        </x14:dataValidation>
        <x14:dataValidation type="list" allowBlank="1" showInputMessage="1" showErrorMessage="1" xr:uid="{976D7D20-D364-45DC-90EC-2B7D10D10687}">
          <x14:formula1>
            <xm:f>Manutention!A2:A11</xm:f>
          </x14:formula1>
          <xm:sqref>H834</xm:sqref>
        </x14:dataValidation>
        <x14:dataValidation type="list" allowBlank="1" showInputMessage="1" showErrorMessage="1" xr:uid="{D117995E-8361-4208-A66C-3EEE00C0A7DF}">
          <x14:formula1>
            <xm:f>Manutention!A2:A11</xm:f>
          </x14:formula1>
          <xm:sqref>H835</xm:sqref>
        </x14:dataValidation>
        <x14:dataValidation type="list" allowBlank="1" showInputMessage="1" showErrorMessage="1" xr:uid="{D9AC00E8-9082-491F-BF66-0F3F76BEED49}">
          <x14:formula1>
            <xm:f>Camion!A2:A11</xm:f>
          </x14:formula1>
          <xm:sqref>L836</xm:sqref>
        </x14:dataValidation>
        <x14:dataValidation type="list" allowBlank="1" showInputMessage="1" showErrorMessage="1" xr:uid="{CB1182E4-62B8-4345-A307-EEDC4C4F444D}">
          <x14:formula1>
            <xm:f>Camion!A2:A11</xm:f>
          </x14:formula1>
          <xm:sqref>L837</xm:sqref>
        </x14:dataValidation>
        <x14:dataValidation type="list" allowBlank="1" showInputMessage="1" showErrorMessage="1" xr:uid="{198A8615-B458-47E6-9DE0-8294DDBF6D53}">
          <x14:formula1>
            <xm:f>Manutention!A2:A11</xm:f>
          </x14:formula1>
          <xm:sqref>H838</xm:sqref>
        </x14:dataValidation>
        <x14:dataValidation type="list" allowBlank="1" showInputMessage="1" showErrorMessage="1" xr:uid="{EC0F1157-5CDC-4E49-B162-39C6FD21C0FC}">
          <x14:formula1>
            <xm:f>Manutention!A2:A11</xm:f>
          </x14:formula1>
          <xm:sqref>H839</xm:sqref>
        </x14:dataValidation>
        <x14:dataValidation type="list" allowBlank="1" showInputMessage="1" showErrorMessage="1" xr:uid="{DD7926F8-82BF-4893-A367-DE36B92542F1}">
          <x14:formula1>
            <xm:f>Manutention!A2:A11</xm:f>
          </x14:formula1>
          <xm:sqref>H840</xm:sqref>
        </x14:dataValidation>
        <x14:dataValidation type="list" allowBlank="1" showInputMessage="1" showErrorMessage="1" xr:uid="{CB4DBBB8-BD1B-44AB-828A-544300B35C73}">
          <x14:formula1>
            <xm:f>Manutention!A2:A11</xm:f>
          </x14:formula1>
          <xm:sqref>H841</xm:sqref>
        </x14:dataValidation>
        <x14:dataValidation type="list" allowBlank="1" showInputMessage="1" showErrorMessage="1" xr:uid="{132799C2-3371-48C4-9907-AC1D2FB32682}">
          <x14:formula1>
            <xm:f>Manutention!A2:A11</xm:f>
          </x14:formula1>
          <xm:sqref>H842</xm:sqref>
        </x14:dataValidation>
        <x14:dataValidation type="list" allowBlank="1" showInputMessage="1" showErrorMessage="1" xr:uid="{0B72C3F0-19E2-43BE-9A8A-3F899A982B82}">
          <x14:formula1>
            <xm:f>Manutention!A2:A11</xm:f>
          </x14:formula1>
          <xm:sqref>H843</xm:sqref>
        </x14:dataValidation>
        <x14:dataValidation type="list" allowBlank="1" showInputMessage="1" showErrorMessage="1" xr:uid="{3C562C76-2586-40BF-9C53-797DECE6FF17}">
          <x14:formula1>
            <xm:f>Manutention!A2:A11</xm:f>
          </x14:formula1>
          <xm:sqref>H844</xm:sqref>
        </x14:dataValidation>
        <x14:dataValidation type="list" allowBlank="1" showInputMessage="1" showErrorMessage="1" xr:uid="{D45C9321-86C0-4B44-A7C2-E43297F91882}">
          <x14:formula1>
            <xm:f>Manutention!A2:A11</xm:f>
          </x14:formula1>
          <xm:sqref>H845</xm:sqref>
        </x14:dataValidation>
        <x14:dataValidation type="list" allowBlank="1" showInputMessage="1" showErrorMessage="1" xr:uid="{3065C4BD-4FFD-49E1-BD13-DD03EAFD4FEA}">
          <x14:formula1>
            <xm:f>Manutention!A2:A11</xm:f>
          </x14:formula1>
          <xm:sqref>H846</xm:sqref>
        </x14:dataValidation>
        <x14:dataValidation type="list" allowBlank="1" showInputMessage="1" showErrorMessage="1" xr:uid="{D779578A-4DB4-4DE8-8451-A169BEF28B31}">
          <x14:formula1>
            <xm:f>Manutention!A2:A11</xm:f>
          </x14:formula1>
          <xm:sqref>H847</xm:sqref>
        </x14:dataValidation>
        <x14:dataValidation type="list" allowBlank="1" showInputMessage="1" showErrorMessage="1" xr:uid="{014EBC02-F74A-4EFC-9736-87711EDD4C13}">
          <x14:formula1>
            <xm:f>Camion!A2:A11</xm:f>
          </x14:formula1>
          <xm:sqref>L848</xm:sqref>
        </x14:dataValidation>
        <x14:dataValidation type="list" allowBlank="1" showInputMessage="1" showErrorMessage="1" xr:uid="{0DEC406D-3E46-4C19-86FD-685C74011BB9}">
          <x14:formula1>
            <xm:f>Camion!A2:A11</xm:f>
          </x14:formula1>
          <xm:sqref>L849</xm:sqref>
        </x14:dataValidation>
        <x14:dataValidation type="list" allowBlank="1" showInputMessage="1" showErrorMessage="1" xr:uid="{26F9CFF3-655D-4B2F-86A3-810FE5182C3C}">
          <x14:formula1>
            <xm:f>Manutention!A2:A11</xm:f>
          </x14:formula1>
          <xm:sqref>H850</xm:sqref>
        </x14:dataValidation>
        <x14:dataValidation type="list" allowBlank="1" showInputMessage="1" showErrorMessage="1" xr:uid="{563EC5F6-DDBE-490A-8E00-D015A8A66753}">
          <x14:formula1>
            <xm:f>Manutention!A2:A11</xm:f>
          </x14:formula1>
          <xm:sqref>H851</xm:sqref>
        </x14:dataValidation>
        <x14:dataValidation type="list" allowBlank="1" showInputMessage="1" showErrorMessage="1" xr:uid="{E0A15801-F5BA-4C9D-906E-232CE79A71CD}">
          <x14:formula1>
            <xm:f>Manutention!A2:A11</xm:f>
          </x14:formula1>
          <xm:sqref>H852</xm:sqref>
        </x14:dataValidation>
        <x14:dataValidation type="list" allowBlank="1" showInputMessage="1" showErrorMessage="1" xr:uid="{5FDE7AC9-1C1F-4492-A707-94DD57CE6D97}">
          <x14:formula1>
            <xm:f>Manutention!A2:A11</xm:f>
          </x14:formula1>
          <xm:sqref>H853</xm:sqref>
        </x14:dataValidation>
        <x14:dataValidation type="list" allowBlank="1" showInputMessage="1" showErrorMessage="1" xr:uid="{C79C106C-62E3-4238-83CA-2FA0330B99C2}">
          <x14:formula1>
            <xm:f>Manutention!A2:A11</xm:f>
          </x14:formula1>
          <xm:sqref>H854</xm:sqref>
        </x14:dataValidation>
        <x14:dataValidation type="list" allowBlank="1" showInputMessage="1" showErrorMessage="1" xr:uid="{00B611C0-9110-4F2C-B31D-C876DC99F839}">
          <x14:formula1>
            <xm:f>Manutention!A2:A11</xm:f>
          </x14:formula1>
          <xm:sqref>H855</xm:sqref>
        </x14:dataValidation>
        <x14:dataValidation type="list" allowBlank="1" showInputMessage="1" showErrorMessage="1" xr:uid="{1D77BF5E-4C2B-479F-91D9-E7D0126C8512}">
          <x14:formula1>
            <xm:f>Manutention!A2:A11</xm:f>
          </x14:formula1>
          <xm:sqref>H856</xm:sqref>
        </x14:dataValidation>
        <x14:dataValidation type="list" allowBlank="1" showInputMessage="1" showErrorMessage="1" xr:uid="{4FF9F60B-8312-4861-866F-ADA721E7DA2C}">
          <x14:formula1>
            <xm:f>Manutention!A2:A11</xm:f>
          </x14:formula1>
          <xm:sqref>H857</xm:sqref>
        </x14:dataValidation>
        <x14:dataValidation type="list" allowBlank="1" showInputMessage="1" showErrorMessage="1" xr:uid="{FA4A10E4-ED82-4832-A350-649003E9EE6F}">
          <x14:formula1>
            <xm:f>Manutention!A2:A11</xm:f>
          </x14:formula1>
          <xm:sqref>H858</xm:sqref>
        </x14:dataValidation>
        <x14:dataValidation type="list" allowBlank="1" showInputMessage="1" showErrorMessage="1" xr:uid="{36472929-FCE9-4FF5-84E6-417593CB5BE1}">
          <x14:formula1>
            <xm:f>Manutention!A2:A11</xm:f>
          </x14:formula1>
          <xm:sqref>H859</xm:sqref>
        </x14:dataValidation>
        <x14:dataValidation type="list" allowBlank="1" showInputMessage="1" showErrorMessage="1" xr:uid="{AE6898D1-A9FE-4BED-9420-55A3D2169939}">
          <x14:formula1>
            <xm:f>Camion!A2:A11</xm:f>
          </x14:formula1>
          <xm:sqref>L860</xm:sqref>
        </x14:dataValidation>
        <x14:dataValidation type="list" allowBlank="1" showInputMessage="1" showErrorMessage="1" xr:uid="{8014A387-BDE5-41D7-8AA0-117952F06001}">
          <x14:formula1>
            <xm:f>Camion!A2:A11</xm:f>
          </x14:formula1>
          <xm:sqref>L861</xm:sqref>
        </x14:dataValidation>
        <x14:dataValidation type="list" allowBlank="1" showInputMessage="1" showErrorMessage="1" xr:uid="{5D39F193-0471-4540-8758-25CDC958A2DE}">
          <x14:formula1>
            <xm:f>Manutention!A2:A11</xm:f>
          </x14:formula1>
          <xm:sqref>H862</xm:sqref>
        </x14:dataValidation>
        <x14:dataValidation type="list" allowBlank="1" showInputMessage="1" showErrorMessage="1" xr:uid="{AF8F7D20-97AB-49D2-8F11-6DE4E79F764E}">
          <x14:formula1>
            <xm:f>Manutention!A2:A11</xm:f>
          </x14:formula1>
          <xm:sqref>H863</xm:sqref>
        </x14:dataValidation>
        <x14:dataValidation type="list" allowBlank="1" showInputMessage="1" showErrorMessage="1" xr:uid="{F5EFDE4E-B212-4DD1-B33B-28BD4C1119E4}">
          <x14:formula1>
            <xm:f>Manutention!A2:A11</xm:f>
          </x14:formula1>
          <xm:sqref>H864</xm:sqref>
        </x14:dataValidation>
        <x14:dataValidation type="list" allowBlank="1" showInputMessage="1" showErrorMessage="1" xr:uid="{C8AC04D9-F04B-4EE8-A99C-DEF185DA6ED6}">
          <x14:formula1>
            <xm:f>Manutention!A2:A11</xm:f>
          </x14:formula1>
          <xm:sqref>H865</xm:sqref>
        </x14:dataValidation>
        <x14:dataValidation type="list" allowBlank="1" showInputMessage="1" showErrorMessage="1" xr:uid="{6D1142FD-EF47-4B62-9BC9-CD1F5CB2EE8F}">
          <x14:formula1>
            <xm:f>Manutention!A2:A11</xm:f>
          </x14:formula1>
          <xm:sqref>H866</xm:sqref>
        </x14:dataValidation>
        <x14:dataValidation type="list" allowBlank="1" showInputMessage="1" showErrorMessage="1" xr:uid="{07DE1334-B9D6-49AB-B994-D7B7548DC24A}">
          <x14:formula1>
            <xm:f>Manutention!A2:A11</xm:f>
          </x14:formula1>
          <xm:sqref>H867</xm:sqref>
        </x14:dataValidation>
        <x14:dataValidation type="list" allowBlank="1" showInputMessage="1" showErrorMessage="1" xr:uid="{0BD6B29B-ACA2-4250-BA5E-713DC92143F7}">
          <x14:formula1>
            <xm:f>Manutention!A2:A11</xm:f>
          </x14:formula1>
          <xm:sqref>H868</xm:sqref>
        </x14:dataValidation>
        <x14:dataValidation type="list" allowBlank="1" showInputMessage="1" showErrorMessage="1" xr:uid="{678C2921-76AD-4719-AE23-5EEE9B9746F7}">
          <x14:formula1>
            <xm:f>Manutention!A2:A11</xm:f>
          </x14:formula1>
          <xm:sqref>H869</xm:sqref>
        </x14:dataValidation>
        <x14:dataValidation type="list" allowBlank="1" showInputMessage="1" showErrorMessage="1" xr:uid="{DC4E4750-0288-48E7-AD96-51F85044954B}">
          <x14:formula1>
            <xm:f>Manutention!A2:A11</xm:f>
          </x14:formula1>
          <xm:sqref>H870</xm:sqref>
        </x14:dataValidation>
        <x14:dataValidation type="list" allowBlank="1" showInputMessage="1" showErrorMessage="1" xr:uid="{342810FF-429A-4EF2-BCC6-C8E551C6F2DC}">
          <x14:formula1>
            <xm:f>Manutention!A2:A11</xm:f>
          </x14:formula1>
          <xm:sqref>H871</xm:sqref>
        </x14:dataValidation>
        <x14:dataValidation type="list" allowBlank="1" showInputMessage="1" showErrorMessage="1" xr:uid="{B2FA8D4D-C6E3-4319-92B3-4AB2F163208F}">
          <x14:formula1>
            <xm:f>Manutention!A2:A11</xm:f>
          </x14:formula1>
          <xm:sqref>H872</xm:sqref>
        </x14:dataValidation>
        <x14:dataValidation type="list" allowBlank="1" showInputMessage="1" showErrorMessage="1" xr:uid="{9CB12C90-7F0F-4A1C-BB88-41203707C125}">
          <x14:formula1>
            <xm:f>Camion!A2:A11</xm:f>
          </x14:formula1>
          <xm:sqref>L873</xm:sqref>
        </x14:dataValidation>
        <x14:dataValidation type="list" allowBlank="1" showInputMessage="1" showErrorMessage="1" xr:uid="{50CE5D63-F7EA-47EE-94EA-EEE439AA7C5F}">
          <x14:formula1>
            <xm:f>Camion!A2:A11</xm:f>
          </x14:formula1>
          <xm:sqref>L874</xm:sqref>
        </x14:dataValidation>
        <x14:dataValidation type="list" allowBlank="1" showInputMessage="1" showErrorMessage="1" xr:uid="{3A087C95-0746-430C-94EA-6CC85E47B900}">
          <x14:formula1>
            <xm:f>Manutention!A2:A11</xm:f>
          </x14:formula1>
          <xm:sqref>H875</xm:sqref>
        </x14:dataValidation>
        <x14:dataValidation type="list" allowBlank="1" showInputMessage="1" showErrorMessage="1" xr:uid="{13C5AEB0-E56A-45E0-AE07-275B6D3B96EA}">
          <x14:formula1>
            <xm:f>Manutention!A2:A11</xm:f>
          </x14:formula1>
          <xm:sqref>H876</xm:sqref>
        </x14:dataValidation>
        <x14:dataValidation type="list" allowBlank="1" showInputMessage="1" showErrorMessage="1" xr:uid="{85B10D9A-1EDA-4B87-85F5-B94AF21104CA}">
          <x14:formula1>
            <xm:f>Manutention!A2:A11</xm:f>
          </x14:formula1>
          <xm:sqref>H877</xm:sqref>
        </x14:dataValidation>
        <x14:dataValidation type="list" allowBlank="1" showInputMessage="1" showErrorMessage="1" xr:uid="{B658FD67-CDB9-4E9A-AD11-DD1A546CDA74}">
          <x14:formula1>
            <xm:f>Manutention!A2:A11</xm:f>
          </x14:formula1>
          <xm:sqref>H878</xm:sqref>
        </x14:dataValidation>
        <x14:dataValidation type="list" allowBlank="1" showInputMessage="1" showErrorMessage="1" xr:uid="{2B3554CD-1857-4BC3-8472-FAA6FB1C17DA}">
          <x14:formula1>
            <xm:f>Manutention!A2:A11</xm:f>
          </x14:formula1>
          <xm:sqref>H879</xm:sqref>
        </x14:dataValidation>
        <x14:dataValidation type="list" allowBlank="1" showInputMessage="1" showErrorMessage="1" xr:uid="{1F4B0729-A193-4BD4-8CC3-6ACFB60D579A}">
          <x14:formula1>
            <xm:f>Manutention!A2:A11</xm:f>
          </x14:formula1>
          <xm:sqref>H880</xm:sqref>
        </x14:dataValidation>
        <x14:dataValidation type="list" allowBlank="1" showInputMessage="1" showErrorMessage="1" xr:uid="{8FF85E8C-46B9-42CF-8596-6C09B3087B6B}">
          <x14:formula1>
            <xm:f>Manutention!A2:A11</xm:f>
          </x14:formula1>
          <xm:sqref>H881</xm:sqref>
        </x14:dataValidation>
        <x14:dataValidation type="list" allowBlank="1" showInputMessage="1" showErrorMessage="1" xr:uid="{7C1648C7-4EF8-470E-B8F7-3D3243D90524}">
          <x14:formula1>
            <xm:f>Manutention!A2:A11</xm:f>
          </x14:formula1>
          <xm:sqref>H882</xm:sqref>
        </x14:dataValidation>
        <x14:dataValidation type="list" allowBlank="1" showInputMessage="1" showErrorMessage="1" xr:uid="{7CD951B6-0491-4900-9DD6-EFC65946CB6F}">
          <x14:formula1>
            <xm:f>Manutention!A2:A11</xm:f>
          </x14:formula1>
          <xm:sqref>H883</xm:sqref>
        </x14:dataValidation>
        <x14:dataValidation type="list" allowBlank="1" showInputMessage="1" showErrorMessage="1" xr:uid="{5F5DBA80-90B1-47D3-930A-DDF881DA1439}">
          <x14:formula1>
            <xm:f>Manutention!A2:A11</xm:f>
          </x14:formula1>
          <xm:sqref>H884</xm:sqref>
        </x14:dataValidation>
        <x14:dataValidation type="list" allowBlank="1" showInputMessage="1" showErrorMessage="1" xr:uid="{B8006D89-B604-4F1B-AC84-D431A830C268}">
          <x14:formula1>
            <xm:f>Camion!A2:A11</xm:f>
          </x14:formula1>
          <xm:sqref>L885</xm:sqref>
        </x14:dataValidation>
        <x14:dataValidation type="list" allowBlank="1" showInputMessage="1" showErrorMessage="1" xr:uid="{197C915F-9490-4E09-AF71-089E44C322BF}">
          <x14:formula1>
            <xm:f>Camion!A2:A11</xm:f>
          </x14:formula1>
          <xm:sqref>L886</xm:sqref>
        </x14:dataValidation>
        <x14:dataValidation type="list" allowBlank="1" showInputMessage="1" showErrorMessage="1" xr:uid="{265F11C0-9D20-451F-8224-A2CD0C8949AD}">
          <x14:formula1>
            <xm:f>Manutention!A2:A11</xm:f>
          </x14:formula1>
          <xm:sqref>H887</xm:sqref>
        </x14:dataValidation>
        <x14:dataValidation type="list" allowBlank="1" showInputMessage="1" showErrorMessage="1" xr:uid="{197B1948-66C9-4295-870D-8378C1147F7E}">
          <x14:formula1>
            <xm:f>Manutention!A2:A11</xm:f>
          </x14:formula1>
          <xm:sqref>H888</xm:sqref>
        </x14:dataValidation>
        <x14:dataValidation type="list" allowBlank="1" showInputMessage="1" showErrorMessage="1" xr:uid="{7746AFF4-5A74-4575-94D7-F9AB7E165940}">
          <x14:formula1>
            <xm:f>Manutention!A2:A11</xm:f>
          </x14:formula1>
          <xm:sqref>H889</xm:sqref>
        </x14:dataValidation>
        <x14:dataValidation type="list" allowBlank="1" showInputMessage="1" showErrorMessage="1" xr:uid="{FC30A37A-667C-450B-88E2-8E81D2779BF9}">
          <x14:formula1>
            <xm:f>Manutention!A2:A11</xm:f>
          </x14:formula1>
          <xm:sqref>H890</xm:sqref>
        </x14:dataValidation>
        <x14:dataValidation type="list" allowBlank="1" showInputMessage="1" showErrorMessage="1" xr:uid="{72424331-EAE0-4120-B027-BAB0614EC6D3}">
          <x14:formula1>
            <xm:f>Manutention!A2:A11</xm:f>
          </x14:formula1>
          <xm:sqref>H891</xm:sqref>
        </x14:dataValidation>
        <x14:dataValidation type="list" allowBlank="1" showInputMessage="1" showErrorMessage="1" xr:uid="{9EF35B95-AADB-445C-B7C4-EB7F715313C7}">
          <x14:formula1>
            <xm:f>Manutention!A2:A11</xm:f>
          </x14:formula1>
          <xm:sqref>H892</xm:sqref>
        </x14:dataValidation>
        <x14:dataValidation type="list" allowBlank="1" showInputMessage="1" showErrorMessage="1" xr:uid="{F47B1D7C-1F3E-40E4-93B2-4B3BF7B34950}">
          <x14:formula1>
            <xm:f>Manutention!A2:A11</xm:f>
          </x14:formula1>
          <xm:sqref>H893</xm:sqref>
        </x14:dataValidation>
        <x14:dataValidation type="list" allowBlank="1" showInputMessage="1" showErrorMessage="1" xr:uid="{ADDE834A-A968-449B-A716-ACA5C7797C5C}">
          <x14:formula1>
            <xm:f>Manutention!A2:A11</xm:f>
          </x14:formula1>
          <xm:sqref>H894</xm:sqref>
        </x14:dataValidation>
        <x14:dataValidation type="list" allowBlank="1" showInputMessage="1" showErrorMessage="1" xr:uid="{2162D8DF-D77F-4EB2-A6EC-EDD5A0382FDF}">
          <x14:formula1>
            <xm:f>Manutention!A2:A11</xm:f>
          </x14:formula1>
          <xm:sqref>H895</xm:sqref>
        </x14:dataValidation>
        <x14:dataValidation type="list" allowBlank="1" showInputMessage="1" showErrorMessage="1" xr:uid="{3FF5CF08-470C-47EA-AD4C-172B873F5FDD}">
          <x14:formula1>
            <xm:f>Manutention!A2:A11</xm:f>
          </x14:formula1>
          <xm:sqref>H896</xm:sqref>
        </x14:dataValidation>
        <x14:dataValidation type="list" allowBlank="1" showInputMessage="1" showErrorMessage="1" xr:uid="{60169E4C-1D32-40EB-95ED-44A9DF8493BD}">
          <x14:formula1>
            <xm:f>Manutention!A2:A11</xm:f>
          </x14:formula1>
          <xm:sqref>H897</xm:sqref>
        </x14:dataValidation>
        <x14:dataValidation type="list" allowBlank="1" showInputMessage="1" showErrorMessage="1" xr:uid="{4FC64639-1C46-4971-BDA8-4FA4EF06ACDC}">
          <x14:formula1>
            <xm:f>Camion!A2:A11</xm:f>
          </x14:formula1>
          <xm:sqref>L898</xm:sqref>
        </x14:dataValidation>
        <x14:dataValidation type="list" allowBlank="1" showInputMessage="1" showErrorMessage="1" xr:uid="{563328A0-1D76-4014-A730-7A5ABC3250D7}">
          <x14:formula1>
            <xm:f>Camion!A2:A11</xm:f>
          </x14:formula1>
          <xm:sqref>L899</xm:sqref>
        </x14:dataValidation>
        <x14:dataValidation type="list" allowBlank="1" showInputMessage="1" showErrorMessage="1" xr:uid="{2B0F5639-82CC-4A4F-AF9E-144430A48736}">
          <x14:formula1>
            <xm:f>Manutention!A2:A11</xm:f>
          </x14:formula1>
          <xm:sqref>H900</xm:sqref>
        </x14:dataValidation>
        <x14:dataValidation type="list" allowBlank="1" showInputMessage="1" showErrorMessage="1" xr:uid="{A4BC80C1-E26D-4759-8E5D-9306E689D327}">
          <x14:formula1>
            <xm:f>Manutention!A2:A11</xm:f>
          </x14:formula1>
          <xm:sqref>H901</xm:sqref>
        </x14:dataValidation>
        <x14:dataValidation type="list" allowBlank="1" showInputMessage="1" showErrorMessage="1" xr:uid="{CE24D88A-8FB3-48DC-A3E3-F5E94E4AD868}">
          <x14:formula1>
            <xm:f>Manutention!A2:A11</xm:f>
          </x14:formula1>
          <xm:sqref>H902</xm:sqref>
        </x14:dataValidation>
        <x14:dataValidation type="list" allowBlank="1" showInputMessage="1" showErrorMessage="1" xr:uid="{63C5BCE4-B9D1-4421-9D7C-E4E0CDDEB046}">
          <x14:formula1>
            <xm:f>Manutention!A2:A11</xm:f>
          </x14:formula1>
          <xm:sqref>H903</xm:sqref>
        </x14:dataValidation>
        <x14:dataValidation type="list" allowBlank="1" showInputMessage="1" showErrorMessage="1" xr:uid="{7EC4A7AD-81B1-47D9-8310-E5E618EC5629}">
          <x14:formula1>
            <xm:f>Manutention!A2:A11</xm:f>
          </x14:formula1>
          <xm:sqref>H904</xm:sqref>
        </x14:dataValidation>
        <x14:dataValidation type="list" allowBlank="1" showInputMessage="1" showErrorMessage="1" xr:uid="{88DF84B9-F251-490C-A53F-D75ADC477659}">
          <x14:formula1>
            <xm:f>Manutention!A2:A11</xm:f>
          </x14:formula1>
          <xm:sqref>H905</xm:sqref>
        </x14:dataValidation>
        <x14:dataValidation type="list" allowBlank="1" showInputMessage="1" showErrorMessage="1" xr:uid="{EB193331-27C9-4866-8798-D4BE3C6C699E}">
          <x14:formula1>
            <xm:f>Manutention!A2:A11</xm:f>
          </x14:formula1>
          <xm:sqref>H906</xm:sqref>
        </x14:dataValidation>
        <x14:dataValidation type="list" allowBlank="1" showInputMessage="1" showErrorMessage="1" xr:uid="{39DD4CA1-4F06-4114-800F-DE122896DAB3}">
          <x14:formula1>
            <xm:f>Manutention!A2:A11</xm:f>
          </x14:formula1>
          <xm:sqref>H907</xm:sqref>
        </x14:dataValidation>
        <x14:dataValidation type="list" allowBlank="1" showInputMessage="1" showErrorMessage="1" xr:uid="{FC9DB560-7B9A-4D8D-9350-65F35EFB665D}">
          <x14:formula1>
            <xm:f>Manutention!A2:A11</xm:f>
          </x14:formula1>
          <xm:sqref>H908</xm:sqref>
        </x14:dataValidation>
        <x14:dataValidation type="list" allowBlank="1" showInputMessage="1" showErrorMessage="1" xr:uid="{43F81F13-303A-4E81-A8B7-7AEBD44E3C09}">
          <x14:formula1>
            <xm:f>Manutention!A2:A11</xm:f>
          </x14:formula1>
          <xm:sqref>H909</xm:sqref>
        </x14:dataValidation>
        <x14:dataValidation type="list" allowBlank="1" showInputMessage="1" showErrorMessage="1" xr:uid="{BF0DE2D7-D770-48AC-8534-C238174BE8D1}">
          <x14:formula1>
            <xm:f>Camion!A2:A11</xm:f>
          </x14:formula1>
          <xm:sqref>L910</xm:sqref>
        </x14:dataValidation>
        <x14:dataValidation type="list" allowBlank="1" showInputMessage="1" showErrorMessage="1" xr:uid="{DCF2369B-9AA0-46F9-9784-E116470810F6}">
          <x14:formula1>
            <xm:f>Camion!A2:A11</xm:f>
          </x14:formula1>
          <xm:sqref>L911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L268"/>
  <sheetViews>
    <sheetView zoomScaleNormal="100" workbookViewId="0"/>
  </sheetViews>
  <sheetFormatPr baseColWidth="10" defaultColWidth="11.42578125" defaultRowHeight="15" x14ac:dyDescent="0.25"/>
  <cols>
    <col min="1" max="1" width="5.85546875" style="6" bestFit="1" customWidth="1"/>
    <col min="2" max="2" width="5.42578125" style="33" bestFit="1" customWidth="1"/>
    <col min="3" max="3" width="10.7109375" bestFit="1" customWidth="1"/>
    <col min="4" max="4" width="23.28515625" bestFit="1" customWidth="1"/>
    <col min="6" max="6" width="5.85546875" style="6" bestFit="1" customWidth="1"/>
    <col min="7" max="7" width="5.42578125" style="33" bestFit="1" customWidth="1"/>
    <col min="8" max="8" width="10.7109375" bestFit="1" customWidth="1"/>
    <col min="9" max="9" width="32" bestFit="1" customWidth="1"/>
    <col min="10" max="10" width="32.140625" bestFit="1" customWidth="1"/>
    <col min="11" max="11" width="27.28515625" bestFit="1" customWidth="1"/>
    <col min="12" max="12" width="27.42578125" bestFit="1" customWidth="1"/>
  </cols>
  <sheetData>
    <row r="1" spans="1:12" s="6" customFormat="1" x14ac:dyDescent="0.25">
      <c r="A1" s="7" t="s">
        <v>93</v>
      </c>
      <c r="B1" s="7" t="s">
        <v>4</v>
      </c>
      <c r="C1" s="7" t="s">
        <v>94</v>
      </c>
      <c r="D1" s="7" t="s">
        <v>95</v>
      </c>
      <c r="F1" s="7" t="s">
        <v>93</v>
      </c>
      <c r="G1" s="7" t="s">
        <v>4</v>
      </c>
      <c r="H1" s="7" t="s">
        <v>94</v>
      </c>
      <c r="I1" s="7" t="s">
        <v>96</v>
      </c>
      <c r="J1" s="7" t="s">
        <v>97</v>
      </c>
      <c r="K1" s="7" t="s">
        <v>98</v>
      </c>
      <c r="L1" s="7" t="s">
        <v>99</v>
      </c>
    </row>
    <row r="2" spans="1:12" x14ac:dyDescent="0.25">
      <c r="A2" s="7">
        <v>-2</v>
      </c>
      <c r="B2" s="67" t="s">
        <v>184</v>
      </c>
      <c r="C2" t="s">
        <v>128</v>
      </c>
      <c r="D2">
        <v>29</v>
      </c>
      <c r="F2" s="7">
        <v>-2</v>
      </c>
      <c r="G2" s="67" t="s">
        <v>184</v>
      </c>
      <c r="H2" t="s">
        <v>128</v>
      </c>
      <c r="I2">
        <v>6</v>
      </c>
      <c r="J2">
        <v>5</v>
      </c>
      <c r="K2" s="48">
        <v>0.41000000000000003</v>
      </c>
      <c r="L2" s="48">
        <v>0.49</v>
      </c>
    </row>
    <row r="3" spans="1:12" x14ac:dyDescent="0.25">
      <c r="C3" s="63" t="s">
        <v>135</v>
      </c>
      <c r="D3" s="63">
        <v>79</v>
      </c>
      <c r="H3" s="63" t="s">
        <v>135</v>
      </c>
      <c r="I3" s="63">
        <v>5</v>
      </c>
      <c r="J3" s="63">
        <v>4</v>
      </c>
      <c r="K3" s="64">
        <v>0.53</v>
      </c>
      <c r="L3" s="64">
        <v>0.62</v>
      </c>
    </row>
    <row r="4" spans="1:12" x14ac:dyDescent="0.25">
      <c r="C4" s="5" t="s">
        <v>189</v>
      </c>
      <c r="D4" s="5">
        <v>108</v>
      </c>
      <c r="H4" s="5" t="s">
        <v>189</v>
      </c>
      <c r="I4" s="5">
        <v>11</v>
      </c>
      <c r="J4" s="5">
        <v>9</v>
      </c>
      <c r="K4" s="49">
        <v>0.46</v>
      </c>
      <c r="L4" s="49">
        <v>0.55000000000000004</v>
      </c>
    </row>
    <row r="5" spans="1:12" x14ac:dyDescent="0.25">
      <c r="A5" s="7">
        <v>-2</v>
      </c>
      <c r="B5" s="67" t="s">
        <v>185</v>
      </c>
      <c r="C5" t="s">
        <v>128</v>
      </c>
      <c r="D5">
        <v>24</v>
      </c>
      <c r="F5" s="7">
        <v>-2</v>
      </c>
      <c r="G5" s="67" t="s">
        <v>185</v>
      </c>
      <c r="H5" t="s">
        <v>128</v>
      </c>
      <c r="I5">
        <v>5</v>
      </c>
      <c r="J5">
        <v>4</v>
      </c>
      <c r="K5" s="48">
        <v>0.38</v>
      </c>
      <c r="L5" s="48">
        <v>0.47000000000000003</v>
      </c>
    </row>
    <row r="6" spans="1:12" x14ac:dyDescent="0.25">
      <c r="C6" s="63" t="s">
        <v>135</v>
      </c>
      <c r="D6" s="63">
        <v>73</v>
      </c>
      <c r="H6" s="63" t="s">
        <v>135</v>
      </c>
      <c r="I6" s="63">
        <v>5</v>
      </c>
      <c r="J6" s="63">
        <v>4</v>
      </c>
      <c r="K6" s="64">
        <v>0.57999999999999996</v>
      </c>
      <c r="L6" s="64">
        <v>0.57999999999999996</v>
      </c>
    </row>
    <row r="7" spans="1:12" x14ac:dyDescent="0.25">
      <c r="C7" s="5" t="s">
        <v>189</v>
      </c>
      <c r="D7" s="5">
        <v>97</v>
      </c>
      <c r="H7" s="5" t="s">
        <v>189</v>
      </c>
      <c r="I7" s="5">
        <v>10</v>
      </c>
      <c r="J7" s="5">
        <v>8</v>
      </c>
      <c r="K7" s="49">
        <v>0.48</v>
      </c>
      <c r="L7" s="49">
        <v>0.53</v>
      </c>
    </row>
    <row r="8" spans="1:12" x14ac:dyDescent="0.25">
      <c r="A8" s="7">
        <v>-1</v>
      </c>
      <c r="B8" s="67" t="s">
        <v>184</v>
      </c>
      <c r="C8" t="s">
        <v>128</v>
      </c>
      <c r="D8">
        <v>28</v>
      </c>
      <c r="F8" s="7">
        <v>-1</v>
      </c>
      <c r="G8" s="67" t="s">
        <v>184</v>
      </c>
      <c r="H8" t="s">
        <v>128</v>
      </c>
      <c r="I8">
        <v>6</v>
      </c>
      <c r="J8">
        <v>5</v>
      </c>
      <c r="K8" s="48">
        <v>0.39</v>
      </c>
      <c r="L8" s="48">
        <v>0.47000000000000003</v>
      </c>
    </row>
    <row r="9" spans="1:12" x14ac:dyDescent="0.25">
      <c r="C9" s="63" t="s">
        <v>135</v>
      </c>
      <c r="D9" s="63">
        <v>73</v>
      </c>
      <c r="H9" s="63" t="s">
        <v>135</v>
      </c>
      <c r="I9" s="63">
        <v>5</v>
      </c>
      <c r="J9" s="63">
        <v>4</v>
      </c>
      <c r="K9" s="64">
        <v>0.57999999999999996</v>
      </c>
      <c r="L9" s="64">
        <v>0.57999999999999996</v>
      </c>
    </row>
    <row r="10" spans="1:12" x14ac:dyDescent="0.25">
      <c r="C10" s="5" t="s">
        <v>189</v>
      </c>
      <c r="D10" s="5">
        <v>101</v>
      </c>
      <c r="H10" s="5" t="s">
        <v>189</v>
      </c>
      <c r="I10" s="5">
        <v>11</v>
      </c>
      <c r="J10" s="5">
        <v>9</v>
      </c>
      <c r="K10" s="49">
        <v>0.48</v>
      </c>
      <c r="L10" s="49">
        <v>0.52</v>
      </c>
    </row>
    <row r="11" spans="1:12" x14ac:dyDescent="0.25">
      <c r="A11" s="7">
        <v>-1</v>
      </c>
      <c r="B11" s="67" t="s">
        <v>185</v>
      </c>
      <c r="C11" t="s">
        <v>128</v>
      </c>
      <c r="D11">
        <v>24</v>
      </c>
      <c r="F11" s="7">
        <v>-1</v>
      </c>
      <c r="G11" s="67" t="s">
        <v>185</v>
      </c>
      <c r="H11" t="s">
        <v>128</v>
      </c>
      <c r="I11">
        <v>5</v>
      </c>
      <c r="J11">
        <v>4</v>
      </c>
      <c r="K11" s="48">
        <v>0.38</v>
      </c>
      <c r="L11" s="48">
        <v>0.47000000000000003</v>
      </c>
    </row>
    <row r="12" spans="1:12" x14ac:dyDescent="0.25">
      <c r="C12" s="63" t="s">
        <v>135</v>
      </c>
      <c r="D12" s="63">
        <v>71</v>
      </c>
      <c r="H12" s="63" t="s">
        <v>135</v>
      </c>
      <c r="I12" s="63">
        <v>5</v>
      </c>
      <c r="J12" s="63">
        <v>4</v>
      </c>
      <c r="K12" s="64">
        <v>0.57000000000000006</v>
      </c>
      <c r="L12" s="64">
        <v>0.57000000000000006</v>
      </c>
    </row>
    <row r="13" spans="1:12" x14ac:dyDescent="0.25">
      <c r="C13" s="5" t="s">
        <v>189</v>
      </c>
      <c r="D13" s="5">
        <v>95</v>
      </c>
      <c r="H13" s="5" t="s">
        <v>189</v>
      </c>
      <c r="I13" s="5">
        <v>10</v>
      </c>
      <c r="J13" s="5">
        <v>8</v>
      </c>
      <c r="K13" s="49">
        <v>0.47000000000000003</v>
      </c>
      <c r="L13" s="49">
        <v>0.52</v>
      </c>
    </row>
    <row r="14" spans="1:12" x14ac:dyDescent="0.25">
      <c r="A14" s="7">
        <v>0</v>
      </c>
      <c r="B14" s="67" t="s">
        <v>184</v>
      </c>
      <c r="C14" t="s">
        <v>128</v>
      </c>
      <c r="D14">
        <v>17</v>
      </c>
      <c r="F14" s="7">
        <v>0</v>
      </c>
      <c r="G14" s="67" t="s">
        <v>184</v>
      </c>
      <c r="H14" t="s">
        <v>128</v>
      </c>
      <c r="I14">
        <v>3</v>
      </c>
      <c r="J14">
        <v>3</v>
      </c>
      <c r="K14" s="48">
        <v>0.37</v>
      </c>
      <c r="L14" s="48">
        <v>0.37</v>
      </c>
    </row>
    <row r="15" spans="1:12" x14ac:dyDescent="0.25">
      <c r="C15" s="63" t="s">
        <v>135</v>
      </c>
      <c r="D15" s="63">
        <v>56</v>
      </c>
      <c r="H15" s="63" t="s">
        <v>135</v>
      </c>
      <c r="I15" s="63">
        <v>5</v>
      </c>
      <c r="J15" s="63">
        <v>3</v>
      </c>
      <c r="K15" s="64">
        <v>0.64</v>
      </c>
      <c r="L15" s="64">
        <v>0.61</v>
      </c>
    </row>
    <row r="16" spans="1:12" x14ac:dyDescent="0.25">
      <c r="C16" s="5" t="s">
        <v>189</v>
      </c>
      <c r="D16" s="5">
        <v>73</v>
      </c>
      <c r="H16" s="5" t="s">
        <v>189</v>
      </c>
      <c r="I16" s="5">
        <v>8</v>
      </c>
      <c r="J16" s="5">
        <v>6</v>
      </c>
      <c r="K16" s="49">
        <v>0.54</v>
      </c>
      <c r="L16" s="49">
        <v>0.49</v>
      </c>
    </row>
    <row r="17" spans="1:12" x14ac:dyDescent="0.25">
      <c r="A17" s="7">
        <v>0</v>
      </c>
      <c r="B17" s="67" t="s">
        <v>185</v>
      </c>
      <c r="C17" t="s">
        <v>128</v>
      </c>
      <c r="D17">
        <v>17</v>
      </c>
      <c r="F17" s="7">
        <v>0</v>
      </c>
      <c r="G17" s="67" t="s">
        <v>185</v>
      </c>
      <c r="H17" t="s">
        <v>128</v>
      </c>
      <c r="I17">
        <v>3</v>
      </c>
      <c r="J17">
        <v>3</v>
      </c>
      <c r="K17" s="48">
        <v>0.37</v>
      </c>
      <c r="L17" s="48">
        <v>0.37</v>
      </c>
    </row>
    <row r="18" spans="1:12" x14ac:dyDescent="0.25">
      <c r="C18" s="63" t="s">
        <v>135</v>
      </c>
      <c r="D18" s="63">
        <v>53</v>
      </c>
      <c r="H18" s="63" t="s">
        <v>135</v>
      </c>
      <c r="I18" s="63">
        <v>5</v>
      </c>
      <c r="J18" s="63">
        <v>3</v>
      </c>
      <c r="K18" s="64">
        <v>0.6</v>
      </c>
      <c r="L18" s="64">
        <v>0.57999999999999996</v>
      </c>
    </row>
    <row r="19" spans="1:12" x14ac:dyDescent="0.25">
      <c r="C19" s="5" t="s">
        <v>189</v>
      </c>
      <c r="D19" s="5">
        <v>70</v>
      </c>
      <c r="H19" s="5" t="s">
        <v>189</v>
      </c>
      <c r="I19" s="5">
        <v>8</v>
      </c>
      <c r="J19" s="5">
        <v>6</v>
      </c>
      <c r="K19" s="49">
        <v>0.52</v>
      </c>
      <c r="L19" s="49">
        <v>0.47</v>
      </c>
    </row>
    <row r="20" spans="1:12" x14ac:dyDescent="0.25">
      <c r="A20" s="7">
        <v>1</v>
      </c>
      <c r="B20" s="67" t="s">
        <v>184</v>
      </c>
      <c r="C20" t="s">
        <v>128</v>
      </c>
      <c r="D20">
        <v>17</v>
      </c>
      <c r="F20" s="7">
        <v>1</v>
      </c>
      <c r="G20" s="67" t="s">
        <v>184</v>
      </c>
      <c r="H20" t="s">
        <v>128</v>
      </c>
      <c r="I20">
        <v>3</v>
      </c>
      <c r="J20">
        <v>3</v>
      </c>
      <c r="K20" s="48">
        <v>0.37</v>
      </c>
      <c r="L20" s="48">
        <v>0.37</v>
      </c>
    </row>
    <row r="21" spans="1:12" x14ac:dyDescent="0.25">
      <c r="C21" s="63" t="s">
        <v>135</v>
      </c>
      <c r="D21" s="63">
        <v>53</v>
      </c>
      <c r="H21" s="63" t="s">
        <v>135</v>
      </c>
      <c r="I21" s="63">
        <v>5</v>
      </c>
      <c r="J21" s="63">
        <v>3</v>
      </c>
      <c r="K21" s="64">
        <v>0.6</v>
      </c>
      <c r="L21" s="64">
        <v>0.57999999999999996</v>
      </c>
    </row>
    <row r="22" spans="1:12" x14ac:dyDescent="0.25">
      <c r="C22" s="5" t="s">
        <v>189</v>
      </c>
      <c r="D22" s="5">
        <v>70</v>
      </c>
      <c r="H22" s="5" t="s">
        <v>189</v>
      </c>
      <c r="I22" s="5">
        <v>8</v>
      </c>
      <c r="J22" s="5">
        <v>6</v>
      </c>
      <c r="K22" s="49">
        <v>0.52</v>
      </c>
      <c r="L22" s="49">
        <v>0.47</v>
      </c>
    </row>
    <row r="23" spans="1:12" x14ac:dyDescent="0.25">
      <c r="A23" s="7">
        <v>1</v>
      </c>
      <c r="B23" s="67" t="s">
        <v>185</v>
      </c>
      <c r="C23" t="s">
        <v>128</v>
      </c>
      <c r="D23">
        <v>17</v>
      </c>
      <c r="F23" s="7">
        <v>1</v>
      </c>
      <c r="G23" s="67" t="s">
        <v>185</v>
      </c>
      <c r="H23" t="s">
        <v>128</v>
      </c>
      <c r="I23">
        <v>3</v>
      </c>
      <c r="J23">
        <v>3</v>
      </c>
      <c r="K23" s="48">
        <v>0.37</v>
      </c>
      <c r="L23" s="48">
        <v>0.37</v>
      </c>
    </row>
    <row r="24" spans="1:12" x14ac:dyDescent="0.25">
      <c r="C24" s="63" t="s">
        <v>135</v>
      </c>
      <c r="D24" s="63">
        <v>53</v>
      </c>
      <c r="H24" s="63" t="s">
        <v>135</v>
      </c>
      <c r="I24" s="63">
        <v>5</v>
      </c>
      <c r="J24" s="63">
        <v>3</v>
      </c>
      <c r="K24" s="64">
        <v>0.6</v>
      </c>
      <c r="L24" s="64">
        <v>0.57999999999999996</v>
      </c>
    </row>
    <row r="25" spans="1:12" x14ac:dyDescent="0.25">
      <c r="C25" s="5" t="s">
        <v>189</v>
      </c>
      <c r="D25" s="5">
        <v>70</v>
      </c>
      <c r="H25" s="5" t="s">
        <v>189</v>
      </c>
      <c r="I25" s="5">
        <v>8</v>
      </c>
      <c r="J25" s="5">
        <v>6</v>
      </c>
      <c r="K25" s="49">
        <v>0.52</v>
      </c>
      <c r="L25" s="49">
        <v>0.47</v>
      </c>
    </row>
    <row r="26" spans="1:12" x14ac:dyDescent="0.25">
      <c r="A26" s="7">
        <v>2</v>
      </c>
      <c r="B26" s="67" t="s">
        <v>184</v>
      </c>
      <c r="C26" t="s">
        <v>128</v>
      </c>
      <c r="D26">
        <v>17</v>
      </c>
      <c r="F26" s="7">
        <v>2</v>
      </c>
      <c r="G26" s="67" t="s">
        <v>184</v>
      </c>
      <c r="H26" t="s">
        <v>128</v>
      </c>
      <c r="I26">
        <v>3</v>
      </c>
      <c r="J26">
        <v>3</v>
      </c>
      <c r="K26" s="48">
        <v>0.37</v>
      </c>
      <c r="L26" s="48">
        <v>0.37</v>
      </c>
    </row>
    <row r="27" spans="1:12" x14ac:dyDescent="0.25">
      <c r="C27" s="63" t="s">
        <v>135</v>
      </c>
      <c r="D27" s="63">
        <v>53</v>
      </c>
      <c r="H27" s="63" t="s">
        <v>135</v>
      </c>
      <c r="I27" s="63">
        <v>5</v>
      </c>
      <c r="J27" s="63">
        <v>3</v>
      </c>
      <c r="K27" s="64">
        <v>0.6</v>
      </c>
      <c r="L27" s="64">
        <v>0.57999999999999996</v>
      </c>
    </row>
    <row r="28" spans="1:12" x14ac:dyDescent="0.25">
      <c r="C28" s="5" t="s">
        <v>189</v>
      </c>
      <c r="D28" s="5">
        <v>70</v>
      </c>
      <c r="H28" s="5" t="s">
        <v>189</v>
      </c>
      <c r="I28" s="5">
        <v>8</v>
      </c>
      <c r="J28" s="5">
        <v>6</v>
      </c>
      <c r="K28" s="49">
        <v>0.52</v>
      </c>
      <c r="L28" s="49">
        <v>0.47</v>
      </c>
    </row>
    <row r="29" spans="1:12" x14ac:dyDescent="0.25">
      <c r="A29" s="7">
        <v>2</v>
      </c>
      <c r="B29" s="67" t="s">
        <v>185</v>
      </c>
      <c r="C29" t="s">
        <v>128</v>
      </c>
      <c r="D29">
        <v>17</v>
      </c>
      <c r="F29" s="7">
        <v>2</v>
      </c>
      <c r="G29" s="67" t="s">
        <v>185</v>
      </c>
      <c r="H29" t="s">
        <v>128</v>
      </c>
      <c r="I29">
        <v>3</v>
      </c>
      <c r="J29">
        <v>3</v>
      </c>
      <c r="K29" s="48">
        <v>0.37</v>
      </c>
      <c r="L29" s="48">
        <v>0.37</v>
      </c>
    </row>
    <row r="30" spans="1:12" x14ac:dyDescent="0.25">
      <c r="C30" s="63" t="s">
        <v>135</v>
      </c>
      <c r="D30" s="63">
        <v>53</v>
      </c>
      <c r="H30" s="63" t="s">
        <v>135</v>
      </c>
      <c r="I30" s="63">
        <v>5</v>
      </c>
      <c r="J30" s="63">
        <v>3</v>
      </c>
      <c r="K30" s="64">
        <v>0.6</v>
      </c>
      <c r="L30" s="64">
        <v>0.57999999999999996</v>
      </c>
    </row>
    <row r="31" spans="1:12" x14ac:dyDescent="0.25">
      <c r="C31" s="5" t="s">
        <v>189</v>
      </c>
      <c r="D31" s="5">
        <v>70</v>
      </c>
      <c r="H31" s="5" t="s">
        <v>189</v>
      </c>
      <c r="I31" s="5">
        <v>8</v>
      </c>
      <c r="J31" s="5">
        <v>6</v>
      </c>
      <c r="K31" s="49">
        <v>0.52</v>
      </c>
      <c r="L31" s="49">
        <v>0.47</v>
      </c>
    </row>
    <row r="32" spans="1:12" x14ac:dyDescent="0.25">
      <c r="A32" s="7">
        <v>3</v>
      </c>
      <c r="B32" s="67" t="s">
        <v>184</v>
      </c>
      <c r="C32" t="s">
        <v>128</v>
      </c>
      <c r="D32">
        <v>14</v>
      </c>
      <c r="F32" s="7">
        <v>3</v>
      </c>
      <c r="G32" s="67" t="s">
        <v>184</v>
      </c>
      <c r="H32" t="s">
        <v>128</v>
      </c>
      <c r="I32">
        <v>3</v>
      </c>
      <c r="J32">
        <v>3</v>
      </c>
      <c r="K32" s="48">
        <v>0.41000000000000003</v>
      </c>
      <c r="L32" s="48">
        <v>0.41000000000000003</v>
      </c>
    </row>
    <row r="33" spans="1:12" x14ac:dyDescent="0.25">
      <c r="C33" s="63" t="s">
        <v>135</v>
      </c>
      <c r="D33" s="63">
        <v>46</v>
      </c>
      <c r="H33" s="63" t="s">
        <v>135</v>
      </c>
      <c r="I33" s="63">
        <v>5</v>
      </c>
      <c r="J33" s="63">
        <v>3</v>
      </c>
      <c r="K33" s="64">
        <v>0.6</v>
      </c>
      <c r="L33" s="64">
        <v>0.51</v>
      </c>
    </row>
    <row r="34" spans="1:12" x14ac:dyDescent="0.25">
      <c r="C34" s="5" t="s">
        <v>189</v>
      </c>
      <c r="D34" s="5">
        <v>60</v>
      </c>
      <c r="H34" s="5" t="s">
        <v>189</v>
      </c>
      <c r="I34" s="5">
        <v>8</v>
      </c>
      <c r="J34" s="5">
        <v>6</v>
      </c>
      <c r="K34" s="49">
        <v>0.53</v>
      </c>
      <c r="L34" s="49">
        <v>0.46</v>
      </c>
    </row>
    <row r="35" spans="1:12" x14ac:dyDescent="0.25">
      <c r="A35" s="7">
        <v>3</v>
      </c>
      <c r="B35" s="67" t="s">
        <v>185</v>
      </c>
      <c r="C35" t="s">
        <v>128</v>
      </c>
      <c r="D35">
        <v>14</v>
      </c>
      <c r="F35" s="7">
        <v>3</v>
      </c>
      <c r="G35" s="67" t="s">
        <v>185</v>
      </c>
      <c r="H35" t="s">
        <v>128</v>
      </c>
      <c r="I35">
        <v>3</v>
      </c>
      <c r="J35">
        <v>3</v>
      </c>
      <c r="K35" s="48">
        <v>0.41000000000000003</v>
      </c>
      <c r="L35" s="48">
        <v>0.41000000000000003</v>
      </c>
    </row>
    <row r="36" spans="1:12" x14ac:dyDescent="0.25">
      <c r="C36" s="63" t="s">
        <v>135</v>
      </c>
      <c r="D36" s="63">
        <v>46</v>
      </c>
      <c r="H36" s="63" t="s">
        <v>135</v>
      </c>
      <c r="I36" s="63">
        <v>5</v>
      </c>
      <c r="J36" s="63">
        <v>3</v>
      </c>
      <c r="K36" s="64">
        <v>0.6</v>
      </c>
      <c r="L36" s="64">
        <v>0.51</v>
      </c>
    </row>
    <row r="37" spans="1:12" x14ac:dyDescent="0.25">
      <c r="C37" s="5" t="s">
        <v>189</v>
      </c>
      <c r="D37" s="5">
        <v>60</v>
      </c>
      <c r="H37" s="5" t="s">
        <v>189</v>
      </c>
      <c r="I37" s="5">
        <v>8</v>
      </c>
      <c r="J37" s="5">
        <v>6</v>
      </c>
      <c r="K37" s="49">
        <v>0.53</v>
      </c>
      <c r="L37" s="49">
        <v>0.46</v>
      </c>
    </row>
    <row r="38" spans="1:12" x14ac:dyDescent="0.25">
      <c r="A38" s="7">
        <v>4</v>
      </c>
      <c r="B38" s="67" t="s">
        <v>184</v>
      </c>
      <c r="C38" t="s">
        <v>128</v>
      </c>
      <c r="D38">
        <v>14</v>
      </c>
      <c r="F38" s="7">
        <v>4</v>
      </c>
      <c r="G38" s="67" t="s">
        <v>184</v>
      </c>
      <c r="H38" t="s">
        <v>128</v>
      </c>
      <c r="I38">
        <v>3</v>
      </c>
      <c r="J38">
        <v>3</v>
      </c>
      <c r="K38" s="48">
        <v>0.41000000000000003</v>
      </c>
      <c r="L38" s="48">
        <v>0.41000000000000003</v>
      </c>
    </row>
    <row r="39" spans="1:12" x14ac:dyDescent="0.25">
      <c r="C39" s="63" t="s">
        <v>135</v>
      </c>
      <c r="D39" s="63">
        <v>46</v>
      </c>
      <c r="H39" s="63" t="s">
        <v>135</v>
      </c>
      <c r="I39" s="63">
        <v>5</v>
      </c>
      <c r="J39" s="63">
        <v>3</v>
      </c>
      <c r="K39" s="64">
        <v>0.6</v>
      </c>
      <c r="L39" s="64">
        <v>0.51</v>
      </c>
    </row>
    <row r="40" spans="1:12" x14ac:dyDescent="0.25">
      <c r="C40" s="5" t="s">
        <v>189</v>
      </c>
      <c r="D40" s="5">
        <v>60</v>
      </c>
      <c r="H40" s="5" t="s">
        <v>189</v>
      </c>
      <c r="I40" s="5">
        <v>8</v>
      </c>
      <c r="J40" s="5">
        <v>6</v>
      </c>
      <c r="K40" s="49">
        <v>0.53</v>
      </c>
      <c r="L40" s="49">
        <v>0.46</v>
      </c>
    </row>
    <row r="41" spans="1:12" x14ac:dyDescent="0.25">
      <c r="A41" s="7">
        <v>4</v>
      </c>
      <c r="B41" s="67" t="s">
        <v>185</v>
      </c>
      <c r="C41" t="s">
        <v>128</v>
      </c>
      <c r="D41">
        <v>14</v>
      </c>
      <c r="F41" s="7">
        <v>4</v>
      </c>
      <c r="G41" s="67" t="s">
        <v>185</v>
      </c>
      <c r="H41" t="s">
        <v>128</v>
      </c>
      <c r="I41">
        <v>3</v>
      </c>
      <c r="J41">
        <v>3</v>
      </c>
      <c r="K41" s="48">
        <v>0.41000000000000003</v>
      </c>
      <c r="L41" s="48">
        <v>0.41000000000000003</v>
      </c>
    </row>
    <row r="42" spans="1:12" x14ac:dyDescent="0.25">
      <c r="C42" s="63" t="s">
        <v>135</v>
      </c>
      <c r="D42" s="63">
        <v>45</v>
      </c>
      <c r="H42" s="63" t="s">
        <v>135</v>
      </c>
      <c r="I42" s="63">
        <v>5</v>
      </c>
      <c r="J42" s="63">
        <v>3</v>
      </c>
      <c r="K42" s="64">
        <v>0.62</v>
      </c>
      <c r="L42" s="64">
        <v>0.5</v>
      </c>
    </row>
    <row r="43" spans="1:12" x14ac:dyDescent="0.25">
      <c r="C43" s="5" t="s">
        <v>189</v>
      </c>
      <c r="D43" s="5">
        <v>59</v>
      </c>
      <c r="H43" s="5" t="s">
        <v>189</v>
      </c>
      <c r="I43" s="5">
        <v>8</v>
      </c>
      <c r="J43" s="5">
        <v>6</v>
      </c>
      <c r="K43" s="49">
        <v>0.54</v>
      </c>
      <c r="L43" s="49">
        <v>0.45</v>
      </c>
    </row>
    <row r="44" spans="1:12" x14ac:dyDescent="0.25">
      <c r="A44" s="7">
        <v>5</v>
      </c>
      <c r="B44" s="67" t="s">
        <v>184</v>
      </c>
      <c r="C44" t="s">
        <v>128</v>
      </c>
      <c r="D44">
        <v>14</v>
      </c>
      <c r="F44" s="7">
        <v>5</v>
      </c>
      <c r="G44" s="67" t="s">
        <v>184</v>
      </c>
      <c r="H44" t="s">
        <v>128</v>
      </c>
      <c r="I44">
        <v>3</v>
      </c>
      <c r="J44">
        <v>3</v>
      </c>
      <c r="K44" s="48">
        <v>0.41000000000000003</v>
      </c>
      <c r="L44" s="48">
        <v>0.41000000000000003</v>
      </c>
    </row>
    <row r="45" spans="1:12" x14ac:dyDescent="0.25">
      <c r="C45" s="63" t="s">
        <v>135</v>
      </c>
      <c r="D45" s="63">
        <v>45</v>
      </c>
      <c r="H45" s="63" t="s">
        <v>135</v>
      </c>
      <c r="I45" s="63">
        <v>5</v>
      </c>
      <c r="J45" s="63">
        <v>3</v>
      </c>
      <c r="K45" s="64">
        <v>0.62</v>
      </c>
      <c r="L45" s="64">
        <v>0.5</v>
      </c>
    </row>
    <row r="46" spans="1:12" x14ac:dyDescent="0.25">
      <c r="C46" s="5" t="s">
        <v>189</v>
      </c>
      <c r="D46" s="5">
        <v>59</v>
      </c>
      <c r="H46" s="5" t="s">
        <v>189</v>
      </c>
      <c r="I46" s="5">
        <v>8</v>
      </c>
      <c r="J46" s="5">
        <v>6</v>
      </c>
      <c r="K46" s="49">
        <v>0.54</v>
      </c>
      <c r="L46" s="49">
        <v>0.45</v>
      </c>
    </row>
    <row r="47" spans="1:12" x14ac:dyDescent="0.25">
      <c r="A47" s="7">
        <v>5</v>
      </c>
      <c r="B47" s="67" t="s">
        <v>185</v>
      </c>
      <c r="C47" t="s">
        <v>128</v>
      </c>
      <c r="D47">
        <v>14</v>
      </c>
      <c r="F47" s="7">
        <v>5</v>
      </c>
      <c r="G47" s="67" t="s">
        <v>185</v>
      </c>
      <c r="H47" t="s">
        <v>128</v>
      </c>
      <c r="I47">
        <v>3</v>
      </c>
      <c r="J47">
        <v>3</v>
      </c>
      <c r="K47" s="48">
        <v>0.41000000000000003</v>
      </c>
      <c r="L47" s="48">
        <v>0.41000000000000003</v>
      </c>
    </row>
    <row r="48" spans="1:12" x14ac:dyDescent="0.25">
      <c r="C48" s="63" t="s">
        <v>135</v>
      </c>
      <c r="D48" s="63">
        <v>43</v>
      </c>
      <c r="H48" s="63" t="s">
        <v>135</v>
      </c>
      <c r="I48" s="63">
        <v>5</v>
      </c>
      <c r="J48" s="63">
        <v>3</v>
      </c>
      <c r="K48" s="64">
        <v>0.63</v>
      </c>
      <c r="L48" s="64">
        <v>0.48</v>
      </c>
    </row>
    <row r="49" spans="1:12" x14ac:dyDescent="0.25">
      <c r="C49" s="5" t="s">
        <v>189</v>
      </c>
      <c r="D49" s="5">
        <v>57</v>
      </c>
      <c r="H49" s="5" t="s">
        <v>189</v>
      </c>
      <c r="I49" s="5">
        <v>8</v>
      </c>
      <c r="J49" s="5">
        <v>6</v>
      </c>
      <c r="K49" s="49">
        <v>0.55000000000000004</v>
      </c>
      <c r="L49" s="49">
        <v>0.45</v>
      </c>
    </row>
    <row r="50" spans="1:12" x14ac:dyDescent="0.25">
      <c r="A50" s="7">
        <v>6</v>
      </c>
      <c r="B50" s="67" t="s">
        <v>184</v>
      </c>
      <c r="C50" t="s">
        <v>128</v>
      </c>
      <c r="D50">
        <v>14</v>
      </c>
      <c r="F50" s="7">
        <v>6</v>
      </c>
      <c r="G50" s="67" t="s">
        <v>184</v>
      </c>
      <c r="H50" t="s">
        <v>128</v>
      </c>
      <c r="I50">
        <v>3</v>
      </c>
      <c r="J50">
        <v>3</v>
      </c>
      <c r="K50" s="48">
        <v>0.41000000000000003</v>
      </c>
      <c r="L50" s="48">
        <v>0.41000000000000003</v>
      </c>
    </row>
    <row r="51" spans="1:12" x14ac:dyDescent="0.25">
      <c r="C51" s="63" t="s">
        <v>135</v>
      </c>
      <c r="D51" s="63">
        <v>43</v>
      </c>
      <c r="H51" s="63" t="s">
        <v>135</v>
      </c>
      <c r="I51" s="63">
        <v>5</v>
      </c>
      <c r="J51" s="63">
        <v>3</v>
      </c>
      <c r="K51" s="64">
        <v>0.63</v>
      </c>
      <c r="L51" s="64">
        <v>0.48</v>
      </c>
    </row>
    <row r="52" spans="1:12" x14ac:dyDescent="0.25">
      <c r="C52" s="5" t="s">
        <v>189</v>
      </c>
      <c r="D52" s="5">
        <v>57</v>
      </c>
      <c r="H52" s="5" t="s">
        <v>189</v>
      </c>
      <c r="I52" s="5">
        <v>8</v>
      </c>
      <c r="J52" s="5">
        <v>6</v>
      </c>
      <c r="K52" s="49">
        <v>0.55000000000000004</v>
      </c>
      <c r="L52" s="49">
        <v>0.45</v>
      </c>
    </row>
    <row r="53" spans="1:12" x14ac:dyDescent="0.25">
      <c r="A53" s="7">
        <v>6</v>
      </c>
      <c r="B53" s="67" t="s">
        <v>185</v>
      </c>
      <c r="C53" t="s">
        <v>128</v>
      </c>
      <c r="D53">
        <v>14</v>
      </c>
      <c r="F53" s="7">
        <v>6</v>
      </c>
      <c r="G53" s="67" t="s">
        <v>185</v>
      </c>
      <c r="H53" t="s">
        <v>128</v>
      </c>
      <c r="I53">
        <v>3</v>
      </c>
      <c r="J53">
        <v>3</v>
      </c>
      <c r="K53" s="48">
        <v>0.41000000000000003</v>
      </c>
      <c r="L53" s="48">
        <v>0.41000000000000003</v>
      </c>
    </row>
    <row r="54" spans="1:12" x14ac:dyDescent="0.25">
      <c r="C54" s="63" t="s">
        <v>135</v>
      </c>
      <c r="D54" s="63">
        <v>40</v>
      </c>
      <c r="H54" s="63" t="s">
        <v>135</v>
      </c>
      <c r="I54" s="63">
        <v>5</v>
      </c>
      <c r="J54" s="63">
        <v>3</v>
      </c>
      <c r="K54" s="64">
        <v>0.66</v>
      </c>
      <c r="L54" s="64">
        <v>0.71</v>
      </c>
    </row>
    <row r="55" spans="1:12" x14ac:dyDescent="0.25">
      <c r="C55" s="5" t="s">
        <v>189</v>
      </c>
      <c r="D55" s="5">
        <v>54</v>
      </c>
      <c r="H55" s="5" t="s">
        <v>189</v>
      </c>
      <c r="I55" s="5">
        <v>8</v>
      </c>
      <c r="J55" s="5">
        <v>6</v>
      </c>
      <c r="K55" s="49">
        <v>0.57000000000000006</v>
      </c>
      <c r="L55" s="49">
        <v>0.56000000000000005</v>
      </c>
    </row>
    <row r="56" spans="1:12" x14ac:dyDescent="0.25">
      <c r="A56" s="7">
        <v>7</v>
      </c>
      <c r="B56" s="67" t="s">
        <v>184</v>
      </c>
      <c r="C56" t="s">
        <v>128</v>
      </c>
      <c r="D56">
        <v>14</v>
      </c>
      <c r="F56" s="7">
        <v>7</v>
      </c>
      <c r="G56" s="67" t="s">
        <v>184</v>
      </c>
      <c r="H56" t="s">
        <v>128</v>
      </c>
      <c r="I56">
        <v>3</v>
      </c>
      <c r="J56">
        <v>3</v>
      </c>
      <c r="K56" s="48">
        <v>0.41000000000000003</v>
      </c>
      <c r="L56" s="48">
        <v>0.41000000000000003</v>
      </c>
    </row>
    <row r="57" spans="1:12" x14ac:dyDescent="0.25">
      <c r="C57" s="63" t="s">
        <v>135</v>
      </c>
      <c r="D57" s="63">
        <v>40</v>
      </c>
      <c r="H57" s="63" t="s">
        <v>135</v>
      </c>
      <c r="I57" s="63">
        <v>5</v>
      </c>
      <c r="J57" s="63">
        <v>3</v>
      </c>
      <c r="K57" s="64">
        <v>0.66</v>
      </c>
      <c r="L57" s="64">
        <v>0.71</v>
      </c>
    </row>
    <row r="58" spans="1:12" x14ac:dyDescent="0.25">
      <c r="C58" s="5" t="s">
        <v>189</v>
      </c>
      <c r="D58" s="5">
        <v>54</v>
      </c>
      <c r="H58" s="5" t="s">
        <v>189</v>
      </c>
      <c r="I58" s="5">
        <v>8</v>
      </c>
      <c r="J58" s="5">
        <v>6</v>
      </c>
      <c r="K58" s="49">
        <v>0.57000000000000006</v>
      </c>
      <c r="L58" s="49">
        <v>0.56000000000000005</v>
      </c>
    </row>
    <row r="59" spans="1:12" x14ac:dyDescent="0.25">
      <c r="A59" s="7">
        <v>7</v>
      </c>
      <c r="B59" s="67" t="s">
        <v>185</v>
      </c>
      <c r="C59" t="s">
        <v>128</v>
      </c>
      <c r="D59">
        <v>14</v>
      </c>
      <c r="F59" s="7">
        <v>7</v>
      </c>
      <c r="G59" s="67" t="s">
        <v>185</v>
      </c>
      <c r="H59" t="s">
        <v>128</v>
      </c>
      <c r="I59">
        <v>3</v>
      </c>
      <c r="J59">
        <v>3</v>
      </c>
      <c r="K59" s="48">
        <v>0.41000000000000003</v>
      </c>
      <c r="L59" s="48">
        <v>0.41000000000000003</v>
      </c>
    </row>
    <row r="60" spans="1:12" x14ac:dyDescent="0.25">
      <c r="C60" s="63" t="s">
        <v>135</v>
      </c>
      <c r="D60" s="63">
        <v>40</v>
      </c>
      <c r="H60" s="63" t="s">
        <v>135</v>
      </c>
      <c r="I60" s="63">
        <v>5</v>
      </c>
      <c r="J60" s="63">
        <v>3</v>
      </c>
      <c r="K60" s="64">
        <v>0.66</v>
      </c>
      <c r="L60" s="64">
        <v>0.71</v>
      </c>
    </row>
    <row r="61" spans="1:12" x14ac:dyDescent="0.25">
      <c r="C61" s="5" t="s">
        <v>189</v>
      </c>
      <c r="D61" s="5">
        <v>54</v>
      </c>
      <c r="H61" s="5" t="s">
        <v>189</v>
      </c>
      <c r="I61" s="5">
        <v>8</v>
      </c>
      <c r="J61" s="5">
        <v>6</v>
      </c>
      <c r="K61" s="49">
        <v>0.57000000000000006</v>
      </c>
      <c r="L61" s="49">
        <v>0.56000000000000005</v>
      </c>
    </row>
    <row r="62" spans="1:12" x14ac:dyDescent="0.25">
      <c r="A62" s="7">
        <v>8</v>
      </c>
      <c r="B62" s="67" t="s">
        <v>184</v>
      </c>
      <c r="C62" t="s">
        <v>128</v>
      </c>
      <c r="D62">
        <v>14</v>
      </c>
      <c r="F62" s="7">
        <v>8</v>
      </c>
      <c r="G62" s="67" t="s">
        <v>184</v>
      </c>
      <c r="H62" t="s">
        <v>128</v>
      </c>
      <c r="I62">
        <v>3</v>
      </c>
      <c r="J62">
        <v>3</v>
      </c>
      <c r="K62" s="48">
        <v>0.41000000000000003</v>
      </c>
      <c r="L62" s="48">
        <v>0.41000000000000003</v>
      </c>
    </row>
    <row r="63" spans="1:12" x14ac:dyDescent="0.25">
      <c r="C63" s="63" t="s">
        <v>135</v>
      </c>
      <c r="D63" s="63">
        <v>40</v>
      </c>
      <c r="H63" s="63" t="s">
        <v>135</v>
      </c>
      <c r="I63" s="63">
        <v>5</v>
      </c>
      <c r="J63" s="63">
        <v>3</v>
      </c>
      <c r="K63" s="64">
        <v>0.66</v>
      </c>
      <c r="L63" s="64">
        <v>0.71</v>
      </c>
    </row>
    <row r="64" spans="1:12" x14ac:dyDescent="0.25">
      <c r="C64" s="5" t="s">
        <v>189</v>
      </c>
      <c r="D64" s="5">
        <v>54</v>
      </c>
      <c r="H64" s="5" t="s">
        <v>189</v>
      </c>
      <c r="I64" s="5">
        <v>8</v>
      </c>
      <c r="J64" s="5">
        <v>6</v>
      </c>
      <c r="K64" s="49">
        <v>0.57000000000000006</v>
      </c>
      <c r="L64" s="49">
        <v>0.56000000000000005</v>
      </c>
    </row>
    <row r="65" spans="1:12" x14ac:dyDescent="0.25">
      <c r="A65" s="7">
        <v>8</v>
      </c>
      <c r="B65" s="67" t="s">
        <v>185</v>
      </c>
      <c r="C65" t="s">
        <v>128</v>
      </c>
      <c r="D65">
        <v>14</v>
      </c>
      <c r="F65" s="7">
        <v>8</v>
      </c>
      <c r="G65" s="67" t="s">
        <v>185</v>
      </c>
      <c r="H65" t="s">
        <v>128</v>
      </c>
      <c r="I65">
        <v>3</v>
      </c>
      <c r="J65">
        <v>3</v>
      </c>
      <c r="K65" s="48">
        <v>0.41000000000000003</v>
      </c>
      <c r="L65" s="48">
        <v>0.41000000000000003</v>
      </c>
    </row>
    <row r="66" spans="1:12" x14ac:dyDescent="0.25">
      <c r="C66" s="63" t="s">
        <v>135</v>
      </c>
      <c r="D66" s="63">
        <v>39</v>
      </c>
      <c r="H66" s="63" t="s">
        <v>135</v>
      </c>
      <c r="I66" s="63">
        <v>5</v>
      </c>
      <c r="J66" s="63">
        <v>3</v>
      </c>
      <c r="K66" s="64">
        <v>0.65</v>
      </c>
      <c r="L66" s="64">
        <v>0.69</v>
      </c>
    </row>
    <row r="67" spans="1:12" x14ac:dyDescent="0.25">
      <c r="C67" s="5" t="s">
        <v>189</v>
      </c>
      <c r="D67" s="5">
        <v>53</v>
      </c>
      <c r="H67" s="5" t="s">
        <v>189</v>
      </c>
      <c r="I67" s="5">
        <v>8</v>
      </c>
      <c r="J67" s="5">
        <v>6</v>
      </c>
      <c r="K67" s="49">
        <v>0.56000000000000005</v>
      </c>
      <c r="L67" s="49">
        <v>0.55000000000000004</v>
      </c>
    </row>
    <row r="68" spans="1:12" x14ac:dyDescent="0.25">
      <c r="A68" s="7">
        <v>9</v>
      </c>
      <c r="B68" s="67" t="s">
        <v>184</v>
      </c>
      <c r="C68" t="s">
        <v>128</v>
      </c>
      <c r="D68">
        <v>14</v>
      </c>
      <c r="F68" s="7">
        <v>9</v>
      </c>
      <c r="G68" s="67" t="s">
        <v>184</v>
      </c>
      <c r="H68" t="s">
        <v>128</v>
      </c>
      <c r="I68">
        <v>3</v>
      </c>
      <c r="J68">
        <v>3</v>
      </c>
      <c r="K68" s="48">
        <v>0.41000000000000003</v>
      </c>
      <c r="L68" s="48">
        <v>0.41000000000000003</v>
      </c>
    </row>
    <row r="69" spans="1:12" x14ac:dyDescent="0.25">
      <c r="C69" s="63" t="s">
        <v>135</v>
      </c>
      <c r="D69" s="63">
        <v>39</v>
      </c>
      <c r="H69" s="63" t="s">
        <v>135</v>
      </c>
      <c r="I69" s="63">
        <v>5</v>
      </c>
      <c r="J69" s="63">
        <v>3</v>
      </c>
      <c r="K69" s="64">
        <v>0.65</v>
      </c>
      <c r="L69" s="64">
        <v>0.69</v>
      </c>
    </row>
    <row r="70" spans="1:12" x14ac:dyDescent="0.25">
      <c r="C70" s="5" t="s">
        <v>189</v>
      </c>
      <c r="D70" s="5">
        <v>53</v>
      </c>
      <c r="H70" s="5" t="s">
        <v>189</v>
      </c>
      <c r="I70" s="5">
        <v>8</v>
      </c>
      <c r="J70" s="5">
        <v>6</v>
      </c>
      <c r="K70" s="49">
        <v>0.56000000000000005</v>
      </c>
      <c r="L70" s="49">
        <v>0.55000000000000004</v>
      </c>
    </row>
    <row r="71" spans="1:12" x14ac:dyDescent="0.25">
      <c r="A71" s="7">
        <v>9</v>
      </c>
      <c r="B71" s="67" t="s">
        <v>185</v>
      </c>
      <c r="C71" t="s">
        <v>128</v>
      </c>
      <c r="D71">
        <v>11</v>
      </c>
      <c r="F71" s="7">
        <v>9</v>
      </c>
      <c r="G71" s="67" t="s">
        <v>185</v>
      </c>
      <c r="H71" t="s">
        <v>128</v>
      </c>
      <c r="I71">
        <v>3</v>
      </c>
      <c r="J71">
        <v>3</v>
      </c>
      <c r="K71" s="48">
        <v>0.41000000000000003</v>
      </c>
      <c r="L71" s="48">
        <v>0.41000000000000003</v>
      </c>
    </row>
    <row r="72" spans="1:12" x14ac:dyDescent="0.25">
      <c r="C72" s="63" t="s">
        <v>135</v>
      </c>
      <c r="D72" s="63">
        <v>39</v>
      </c>
      <c r="H72" s="63" t="s">
        <v>135</v>
      </c>
      <c r="I72" s="63">
        <v>5</v>
      </c>
      <c r="J72" s="63">
        <v>3</v>
      </c>
      <c r="K72" s="64">
        <v>0.65</v>
      </c>
      <c r="L72" s="64">
        <v>0.69</v>
      </c>
    </row>
    <row r="73" spans="1:12" x14ac:dyDescent="0.25">
      <c r="C73" s="5" t="s">
        <v>189</v>
      </c>
      <c r="D73" s="5">
        <v>50</v>
      </c>
      <c r="H73" s="5" t="s">
        <v>189</v>
      </c>
      <c r="I73" s="5">
        <v>8</v>
      </c>
      <c r="J73" s="5">
        <v>6</v>
      </c>
      <c r="K73" s="49">
        <v>0.56000000000000005</v>
      </c>
      <c r="L73" s="49">
        <v>0.55000000000000004</v>
      </c>
    </row>
    <row r="74" spans="1:12" x14ac:dyDescent="0.25">
      <c r="A74" s="7">
        <v>10</v>
      </c>
      <c r="B74" s="67" t="s">
        <v>184</v>
      </c>
      <c r="C74" t="s">
        <v>128</v>
      </c>
      <c r="D74">
        <v>11</v>
      </c>
      <c r="F74" s="7">
        <v>10</v>
      </c>
      <c r="G74" s="67" t="s">
        <v>184</v>
      </c>
      <c r="H74" t="s">
        <v>128</v>
      </c>
      <c r="I74">
        <v>3</v>
      </c>
      <c r="J74">
        <v>3</v>
      </c>
      <c r="K74" s="48">
        <v>0.41000000000000003</v>
      </c>
      <c r="L74" s="48">
        <v>0.41000000000000003</v>
      </c>
    </row>
    <row r="75" spans="1:12" x14ac:dyDescent="0.25">
      <c r="C75" s="63" t="s">
        <v>135</v>
      </c>
      <c r="D75" s="63">
        <v>39</v>
      </c>
      <c r="H75" s="63" t="s">
        <v>135</v>
      </c>
      <c r="I75" s="63">
        <v>5</v>
      </c>
      <c r="J75" s="63">
        <v>3</v>
      </c>
      <c r="K75" s="64">
        <v>0.65</v>
      </c>
      <c r="L75" s="64">
        <v>0.69</v>
      </c>
    </row>
    <row r="76" spans="1:12" x14ac:dyDescent="0.25">
      <c r="C76" s="5" t="s">
        <v>189</v>
      </c>
      <c r="D76" s="5">
        <v>50</v>
      </c>
      <c r="H76" s="5" t="s">
        <v>189</v>
      </c>
      <c r="I76" s="5">
        <v>8</v>
      </c>
      <c r="J76" s="5">
        <v>6</v>
      </c>
      <c r="K76" s="49">
        <v>0.56000000000000005</v>
      </c>
      <c r="L76" s="49">
        <v>0.55000000000000004</v>
      </c>
    </row>
    <row r="77" spans="1:12" x14ac:dyDescent="0.25">
      <c r="A77" s="7">
        <v>10</v>
      </c>
      <c r="B77" s="67" t="s">
        <v>185</v>
      </c>
      <c r="C77" t="s">
        <v>128</v>
      </c>
      <c r="D77">
        <v>11</v>
      </c>
      <c r="F77" s="7">
        <v>10</v>
      </c>
      <c r="G77" s="67" t="s">
        <v>185</v>
      </c>
      <c r="H77" t="s">
        <v>128</v>
      </c>
      <c r="I77">
        <v>3</v>
      </c>
      <c r="J77">
        <v>3</v>
      </c>
      <c r="K77" s="48">
        <v>0.41000000000000003</v>
      </c>
      <c r="L77" s="48">
        <v>0.41000000000000003</v>
      </c>
    </row>
    <row r="78" spans="1:12" x14ac:dyDescent="0.25">
      <c r="C78" s="63" t="s">
        <v>135</v>
      </c>
      <c r="D78" s="63">
        <v>39</v>
      </c>
      <c r="H78" s="63" t="s">
        <v>135</v>
      </c>
      <c r="I78" s="63">
        <v>5</v>
      </c>
      <c r="J78" s="63">
        <v>3</v>
      </c>
      <c r="K78" s="64">
        <v>0.65</v>
      </c>
      <c r="L78" s="64">
        <v>0.69</v>
      </c>
    </row>
    <row r="79" spans="1:12" x14ac:dyDescent="0.25">
      <c r="C79" s="5" t="s">
        <v>189</v>
      </c>
      <c r="D79" s="5">
        <v>50</v>
      </c>
      <c r="H79" s="5" t="s">
        <v>189</v>
      </c>
      <c r="I79" s="5">
        <v>8</v>
      </c>
      <c r="J79" s="5">
        <v>6</v>
      </c>
      <c r="K79" s="49">
        <v>0.56000000000000005</v>
      </c>
      <c r="L79" s="49">
        <v>0.55000000000000004</v>
      </c>
    </row>
    <row r="80" spans="1:12" x14ac:dyDescent="0.25">
      <c r="A80" s="7">
        <v>11</v>
      </c>
      <c r="B80" s="67" t="s">
        <v>184</v>
      </c>
      <c r="C80" t="s">
        <v>128</v>
      </c>
      <c r="D80">
        <v>11</v>
      </c>
      <c r="F80" s="7">
        <v>11</v>
      </c>
      <c r="G80" s="67" t="s">
        <v>184</v>
      </c>
      <c r="H80" t="s">
        <v>128</v>
      </c>
      <c r="I80">
        <v>3</v>
      </c>
      <c r="J80">
        <v>3</v>
      </c>
      <c r="K80" s="48">
        <v>0.41000000000000003</v>
      </c>
      <c r="L80" s="48">
        <v>0.41000000000000003</v>
      </c>
    </row>
    <row r="81" spans="1:12" x14ac:dyDescent="0.25">
      <c r="C81" s="63" t="s">
        <v>135</v>
      </c>
      <c r="D81" s="63">
        <v>38</v>
      </c>
      <c r="H81" s="63" t="s">
        <v>135</v>
      </c>
      <c r="I81" s="63">
        <v>5</v>
      </c>
      <c r="J81" s="63">
        <v>3</v>
      </c>
      <c r="K81" s="64">
        <v>0.63</v>
      </c>
      <c r="L81" s="64">
        <v>0.68</v>
      </c>
    </row>
    <row r="82" spans="1:12" x14ac:dyDescent="0.25">
      <c r="C82" s="5" t="s">
        <v>189</v>
      </c>
      <c r="D82" s="5">
        <v>49</v>
      </c>
      <c r="H82" s="5" t="s">
        <v>189</v>
      </c>
      <c r="I82" s="5">
        <v>8</v>
      </c>
      <c r="J82" s="5">
        <v>6</v>
      </c>
      <c r="K82" s="49">
        <v>0.55000000000000004</v>
      </c>
      <c r="L82" s="49">
        <v>0.54</v>
      </c>
    </row>
    <row r="83" spans="1:12" x14ac:dyDescent="0.25">
      <c r="A83" s="7">
        <v>11</v>
      </c>
      <c r="B83" s="67" t="s">
        <v>185</v>
      </c>
      <c r="C83" t="s">
        <v>128</v>
      </c>
      <c r="D83">
        <v>11</v>
      </c>
      <c r="F83" s="7">
        <v>11</v>
      </c>
      <c r="G83" s="67" t="s">
        <v>185</v>
      </c>
      <c r="H83" t="s">
        <v>128</v>
      </c>
      <c r="I83">
        <v>3</v>
      </c>
      <c r="J83">
        <v>3</v>
      </c>
      <c r="K83" s="48">
        <v>0.41000000000000003</v>
      </c>
      <c r="L83" s="48">
        <v>0.41000000000000003</v>
      </c>
    </row>
    <row r="84" spans="1:12" x14ac:dyDescent="0.25">
      <c r="C84" s="63" t="s">
        <v>135</v>
      </c>
      <c r="D84" s="63">
        <v>36</v>
      </c>
      <c r="H84" s="63" t="s">
        <v>135</v>
      </c>
      <c r="I84" s="63">
        <v>5</v>
      </c>
      <c r="J84" s="63">
        <v>2</v>
      </c>
      <c r="K84" s="64">
        <v>0.6</v>
      </c>
      <c r="L84" s="64">
        <v>0.61</v>
      </c>
    </row>
    <row r="85" spans="1:12" x14ac:dyDescent="0.25">
      <c r="C85" s="5" t="s">
        <v>189</v>
      </c>
      <c r="D85" s="5">
        <v>47</v>
      </c>
      <c r="H85" s="5" t="s">
        <v>189</v>
      </c>
      <c r="I85" s="5">
        <v>8</v>
      </c>
      <c r="J85" s="5">
        <v>5</v>
      </c>
      <c r="K85" s="49">
        <v>0.53</v>
      </c>
      <c r="L85" s="49">
        <v>0.49</v>
      </c>
    </row>
    <row r="86" spans="1:12" x14ac:dyDescent="0.25">
      <c r="A86" s="7">
        <v>12</v>
      </c>
      <c r="B86" s="67" t="s">
        <v>184</v>
      </c>
      <c r="C86" t="s">
        <v>128</v>
      </c>
      <c r="D86">
        <v>11</v>
      </c>
      <c r="F86" s="7">
        <v>12</v>
      </c>
      <c r="G86" s="67" t="s">
        <v>184</v>
      </c>
      <c r="H86" t="s">
        <v>128</v>
      </c>
      <c r="I86">
        <v>3</v>
      </c>
      <c r="J86">
        <v>3</v>
      </c>
      <c r="K86" s="48">
        <v>0.41000000000000003</v>
      </c>
      <c r="L86" s="48">
        <v>0.41000000000000003</v>
      </c>
    </row>
    <row r="87" spans="1:12" x14ac:dyDescent="0.25">
      <c r="C87" s="63" t="s">
        <v>135</v>
      </c>
      <c r="D87" s="63">
        <v>36</v>
      </c>
      <c r="H87" s="63" t="s">
        <v>135</v>
      </c>
      <c r="I87" s="63">
        <v>5</v>
      </c>
      <c r="J87" s="63">
        <v>2</v>
      </c>
      <c r="K87" s="64">
        <v>0.6</v>
      </c>
      <c r="L87" s="64">
        <v>0.61</v>
      </c>
    </row>
    <row r="88" spans="1:12" x14ac:dyDescent="0.25">
      <c r="C88" s="5" t="s">
        <v>189</v>
      </c>
      <c r="D88" s="5">
        <v>47</v>
      </c>
      <c r="H88" s="5" t="s">
        <v>189</v>
      </c>
      <c r="I88" s="5">
        <v>8</v>
      </c>
      <c r="J88" s="5">
        <v>5</v>
      </c>
      <c r="K88" s="49">
        <v>0.53</v>
      </c>
      <c r="L88" s="49">
        <v>0.49</v>
      </c>
    </row>
    <row r="89" spans="1:12" x14ac:dyDescent="0.25">
      <c r="A89" s="7">
        <v>12</v>
      </c>
      <c r="B89" s="67" t="s">
        <v>185</v>
      </c>
      <c r="C89" t="s">
        <v>128</v>
      </c>
      <c r="D89">
        <v>11</v>
      </c>
      <c r="F89" s="7">
        <v>12</v>
      </c>
      <c r="G89" s="67" t="s">
        <v>185</v>
      </c>
      <c r="H89" t="s">
        <v>128</v>
      </c>
      <c r="I89">
        <v>3</v>
      </c>
      <c r="J89">
        <v>3</v>
      </c>
      <c r="K89" s="48">
        <v>0.41000000000000003</v>
      </c>
      <c r="L89" s="48">
        <v>0.41000000000000003</v>
      </c>
    </row>
    <row r="90" spans="1:12" x14ac:dyDescent="0.25">
      <c r="C90" s="63" t="s">
        <v>135</v>
      </c>
      <c r="D90" s="63">
        <v>36</v>
      </c>
      <c r="H90" s="63" t="s">
        <v>135</v>
      </c>
      <c r="I90" s="63">
        <v>5</v>
      </c>
      <c r="J90" s="63">
        <v>2</v>
      </c>
      <c r="K90" s="64">
        <v>0.6</v>
      </c>
      <c r="L90" s="64">
        <v>0.61</v>
      </c>
    </row>
    <row r="91" spans="1:12" x14ac:dyDescent="0.25">
      <c r="C91" s="5" t="s">
        <v>189</v>
      </c>
      <c r="D91" s="5">
        <v>47</v>
      </c>
      <c r="H91" s="5" t="s">
        <v>189</v>
      </c>
      <c r="I91" s="5">
        <v>8</v>
      </c>
      <c r="J91" s="5">
        <v>5</v>
      </c>
      <c r="K91" s="49">
        <v>0.53</v>
      </c>
      <c r="L91" s="49">
        <v>0.49</v>
      </c>
    </row>
    <row r="92" spans="1:12" x14ac:dyDescent="0.25">
      <c r="A92" s="7">
        <v>13</v>
      </c>
      <c r="B92" s="67" t="s">
        <v>184</v>
      </c>
      <c r="C92" t="s">
        <v>128</v>
      </c>
      <c r="D92">
        <v>11</v>
      </c>
      <c r="F92" s="7">
        <v>13</v>
      </c>
      <c r="G92" s="67" t="s">
        <v>184</v>
      </c>
      <c r="H92" t="s">
        <v>128</v>
      </c>
      <c r="I92">
        <v>3</v>
      </c>
      <c r="J92">
        <v>3</v>
      </c>
      <c r="K92" s="48">
        <v>0.41000000000000003</v>
      </c>
      <c r="L92" s="48">
        <v>0.41000000000000003</v>
      </c>
    </row>
    <row r="93" spans="1:12" x14ac:dyDescent="0.25">
      <c r="C93" s="63" t="s">
        <v>135</v>
      </c>
      <c r="D93" s="63">
        <v>34</v>
      </c>
      <c r="H93" s="63" t="s">
        <v>135</v>
      </c>
      <c r="I93" s="63">
        <v>5</v>
      </c>
      <c r="J93" s="63">
        <v>2</v>
      </c>
      <c r="K93" s="64">
        <v>0.56000000000000005</v>
      </c>
      <c r="L93" s="64">
        <v>0.57999999999999996</v>
      </c>
    </row>
    <row r="94" spans="1:12" x14ac:dyDescent="0.25">
      <c r="C94" s="5" t="s">
        <v>189</v>
      </c>
      <c r="D94" s="5">
        <v>45</v>
      </c>
      <c r="H94" s="5" t="s">
        <v>189</v>
      </c>
      <c r="I94" s="5">
        <v>8</v>
      </c>
      <c r="J94" s="5">
        <v>5</v>
      </c>
      <c r="K94" s="49">
        <v>0.5</v>
      </c>
      <c r="L94" s="49">
        <v>0.48</v>
      </c>
    </row>
    <row r="95" spans="1:12" x14ac:dyDescent="0.25">
      <c r="A95" s="7">
        <v>13</v>
      </c>
      <c r="B95" s="67" t="s">
        <v>185</v>
      </c>
      <c r="C95" t="s">
        <v>128</v>
      </c>
      <c r="D95">
        <v>11</v>
      </c>
      <c r="F95" s="7">
        <v>13</v>
      </c>
      <c r="G95" s="67" t="s">
        <v>185</v>
      </c>
      <c r="H95" t="s">
        <v>128</v>
      </c>
      <c r="I95">
        <v>3</v>
      </c>
      <c r="J95">
        <v>3</v>
      </c>
      <c r="K95" s="48">
        <v>0.41000000000000003</v>
      </c>
      <c r="L95" s="48">
        <v>0.41000000000000003</v>
      </c>
    </row>
    <row r="96" spans="1:12" x14ac:dyDescent="0.25">
      <c r="C96" s="63" t="s">
        <v>135</v>
      </c>
      <c r="D96" s="63">
        <v>33</v>
      </c>
      <c r="H96" s="63" t="s">
        <v>135</v>
      </c>
      <c r="I96" s="63">
        <v>5</v>
      </c>
      <c r="J96" s="63">
        <v>2</v>
      </c>
      <c r="K96" s="64">
        <v>0.54</v>
      </c>
      <c r="L96" s="64">
        <v>0.57000000000000006</v>
      </c>
    </row>
    <row r="97" spans="1:12" x14ac:dyDescent="0.25">
      <c r="C97" s="5" t="s">
        <v>189</v>
      </c>
      <c r="D97" s="5">
        <v>44</v>
      </c>
      <c r="H97" s="5" t="s">
        <v>189</v>
      </c>
      <c r="I97" s="5">
        <v>8</v>
      </c>
      <c r="J97" s="5">
        <v>5</v>
      </c>
      <c r="K97" s="49">
        <v>0.49</v>
      </c>
      <c r="L97" s="49">
        <v>0.47</v>
      </c>
    </row>
    <row r="98" spans="1:12" x14ac:dyDescent="0.25">
      <c r="A98" s="7">
        <v>14</v>
      </c>
      <c r="B98" s="67" t="s">
        <v>184</v>
      </c>
      <c r="C98" t="s">
        <v>128</v>
      </c>
      <c r="D98">
        <v>11</v>
      </c>
      <c r="F98" s="7">
        <v>14</v>
      </c>
      <c r="G98" s="67" t="s">
        <v>184</v>
      </c>
      <c r="H98" t="s">
        <v>128</v>
      </c>
      <c r="I98">
        <v>3</v>
      </c>
      <c r="J98">
        <v>3</v>
      </c>
      <c r="K98" s="48">
        <v>0.41000000000000003</v>
      </c>
      <c r="L98" s="48">
        <v>0.41000000000000003</v>
      </c>
    </row>
    <row r="99" spans="1:12" x14ac:dyDescent="0.25">
      <c r="C99" s="63" t="s">
        <v>135</v>
      </c>
      <c r="D99" s="63">
        <v>33</v>
      </c>
      <c r="H99" s="63" t="s">
        <v>135</v>
      </c>
      <c r="I99" s="63">
        <v>5</v>
      </c>
      <c r="J99" s="63">
        <v>2</v>
      </c>
      <c r="K99" s="64">
        <v>0.54</v>
      </c>
      <c r="L99" s="64">
        <v>0.57000000000000006</v>
      </c>
    </row>
    <row r="100" spans="1:12" x14ac:dyDescent="0.25">
      <c r="C100" s="5" t="s">
        <v>189</v>
      </c>
      <c r="D100" s="5">
        <v>44</v>
      </c>
      <c r="H100" s="5" t="s">
        <v>189</v>
      </c>
      <c r="I100" s="5">
        <v>8</v>
      </c>
      <c r="J100" s="5">
        <v>5</v>
      </c>
      <c r="K100" s="49">
        <v>0.49</v>
      </c>
      <c r="L100" s="49">
        <v>0.47</v>
      </c>
    </row>
    <row r="101" spans="1:12" x14ac:dyDescent="0.25">
      <c r="A101" s="7">
        <v>14</v>
      </c>
      <c r="B101" s="67" t="s">
        <v>185</v>
      </c>
      <c r="C101" t="s">
        <v>128</v>
      </c>
      <c r="D101">
        <v>11</v>
      </c>
      <c r="F101" s="7">
        <v>14</v>
      </c>
      <c r="G101" s="67" t="s">
        <v>185</v>
      </c>
      <c r="H101" t="s">
        <v>128</v>
      </c>
      <c r="I101">
        <v>3</v>
      </c>
      <c r="J101">
        <v>3</v>
      </c>
      <c r="K101" s="48">
        <v>0.41000000000000003</v>
      </c>
      <c r="L101" s="48">
        <v>0.41000000000000003</v>
      </c>
    </row>
    <row r="102" spans="1:12" x14ac:dyDescent="0.25">
      <c r="C102" s="63" t="s">
        <v>135</v>
      </c>
      <c r="D102" s="63">
        <v>32</v>
      </c>
      <c r="H102" s="63" t="s">
        <v>135</v>
      </c>
      <c r="I102" s="63">
        <v>5</v>
      </c>
      <c r="J102" s="63">
        <v>2</v>
      </c>
      <c r="K102" s="64">
        <v>0.52</v>
      </c>
      <c r="L102" s="64">
        <v>0.55000000000000004</v>
      </c>
    </row>
    <row r="103" spans="1:12" x14ac:dyDescent="0.25">
      <c r="C103" s="5" t="s">
        <v>189</v>
      </c>
      <c r="D103" s="5">
        <v>43</v>
      </c>
      <c r="H103" s="5" t="s">
        <v>189</v>
      </c>
      <c r="I103" s="5">
        <v>8</v>
      </c>
      <c r="J103" s="5">
        <v>5</v>
      </c>
      <c r="K103" s="49">
        <v>0.48</v>
      </c>
      <c r="L103" s="49">
        <v>0.47000000000000003</v>
      </c>
    </row>
    <row r="104" spans="1:12" x14ac:dyDescent="0.25">
      <c r="A104" s="7">
        <v>15</v>
      </c>
      <c r="B104" s="67" t="s">
        <v>184</v>
      </c>
      <c r="C104" t="s">
        <v>128</v>
      </c>
      <c r="D104">
        <v>11</v>
      </c>
      <c r="F104" s="7">
        <v>15</v>
      </c>
      <c r="G104" s="67" t="s">
        <v>184</v>
      </c>
      <c r="H104" t="s">
        <v>128</v>
      </c>
      <c r="I104">
        <v>3</v>
      </c>
      <c r="J104">
        <v>3</v>
      </c>
      <c r="K104" s="48">
        <v>0.41000000000000003</v>
      </c>
      <c r="L104" s="48">
        <v>0.41000000000000003</v>
      </c>
    </row>
    <row r="105" spans="1:12" x14ac:dyDescent="0.25">
      <c r="C105" s="63" t="s">
        <v>135</v>
      </c>
      <c r="D105" s="63">
        <v>32</v>
      </c>
      <c r="H105" s="63" t="s">
        <v>135</v>
      </c>
      <c r="I105" s="63">
        <v>5</v>
      </c>
      <c r="J105" s="63">
        <v>2</v>
      </c>
      <c r="K105" s="64">
        <v>0.52</v>
      </c>
      <c r="L105" s="64">
        <v>0.55000000000000004</v>
      </c>
    </row>
    <row r="106" spans="1:12" x14ac:dyDescent="0.25">
      <c r="C106" s="5" t="s">
        <v>189</v>
      </c>
      <c r="D106" s="5">
        <v>43</v>
      </c>
      <c r="H106" s="5" t="s">
        <v>189</v>
      </c>
      <c r="I106" s="5">
        <v>8</v>
      </c>
      <c r="J106" s="5">
        <v>5</v>
      </c>
      <c r="K106" s="49">
        <v>0.48</v>
      </c>
      <c r="L106" s="49">
        <v>0.47000000000000003</v>
      </c>
    </row>
    <row r="107" spans="1:12" x14ac:dyDescent="0.25">
      <c r="A107" s="7">
        <v>15</v>
      </c>
      <c r="B107" s="67" t="s">
        <v>185</v>
      </c>
      <c r="C107" t="s">
        <v>128</v>
      </c>
      <c r="D107">
        <v>11</v>
      </c>
      <c r="F107" s="7">
        <v>15</v>
      </c>
      <c r="G107" s="67" t="s">
        <v>185</v>
      </c>
      <c r="H107" t="s">
        <v>128</v>
      </c>
      <c r="I107">
        <v>3</v>
      </c>
      <c r="J107">
        <v>3</v>
      </c>
      <c r="K107" s="48">
        <v>0.41000000000000003</v>
      </c>
      <c r="L107" s="48">
        <v>0.41000000000000003</v>
      </c>
    </row>
    <row r="108" spans="1:12" x14ac:dyDescent="0.25">
      <c r="C108" s="63" t="s">
        <v>135</v>
      </c>
      <c r="D108" s="63">
        <v>32</v>
      </c>
      <c r="H108" s="63" t="s">
        <v>135</v>
      </c>
      <c r="I108" s="63">
        <v>5</v>
      </c>
      <c r="J108" s="63">
        <v>2</v>
      </c>
      <c r="K108" s="64">
        <v>0.52</v>
      </c>
      <c r="L108" s="64">
        <v>0.55000000000000004</v>
      </c>
    </row>
    <row r="109" spans="1:12" x14ac:dyDescent="0.25">
      <c r="C109" s="5" t="s">
        <v>189</v>
      </c>
      <c r="D109" s="5">
        <v>43</v>
      </c>
      <c r="H109" s="5" t="s">
        <v>189</v>
      </c>
      <c r="I109" s="5">
        <v>8</v>
      </c>
      <c r="J109" s="5">
        <v>5</v>
      </c>
      <c r="K109" s="49">
        <v>0.48</v>
      </c>
      <c r="L109" s="49">
        <v>0.47000000000000003</v>
      </c>
    </row>
    <row r="110" spans="1:12" x14ac:dyDescent="0.25">
      <c r="A110" s="7">
        <v>16</v>
      </c>
      <c r="B110" s="67" t="s">
        <v>184</v>
      </c>
      <c r="C110" t="s">
        <v>128</v>
      </c>
      <c r="D110">
        <v>11</v>
      </c>
      <c r="F110" s="7">
        <v>16</v>
      </c>
      <c r="G110" s="67" t="s">
        <v>184</v>
      </c>
      <c r="H110" t="s">
        <v>128</v>
      </c>
      <c r="I110">
        <v>3</v>
      </c>
      <c r="J110">
        <v>3</v>
      </c>
      <c r="K110" s="48">
        <v>0.41000000000000003</v>
      </c>
      <c r="L110" s="48">
        <v>0.41000000000000003</v>
      </c>
    </row>
    <row r="111" spans="1:12" x14ac:dyDescent="0.25">
      <c r="C111" s="63" t="s">
        <v>135</v>
      </c>
      <c r="D111" s="63">
        <v>31</v>
      </c>
      <c r="H111" s="63" t="s">
        <v>135</v>
      </c>
      <c r="I111" s="63">
        <v>5</v>
      </c>
      <c r="J111" s="63">
        <v>2</v>
      </c>
      <c r="K111" s="64">
        <v>0.57000000000000006</v>
      </c>
      <c r="L111" s="64">
        <v>0.54</v>
      </c>
    </row>
    <row r="112" spans="1:12" x14ac:dyDescent="0.25">
      <c r="C112" s="5" t="s">
        <v>189</v>
      </c>
      <c r="D112" s="5">
        <v>42</v>
      </c>
      <c r="H112" s="5" t="s">
        <v>189</v>
      </c>
      <c r="I112" s="5">
        <v>8</v>
      </c>
      <c r="J112" s="5">
        <v>5</v>
      </c>
      <c r="K112" s="49">
        <v>0.51</v>
      </c>
      <c r="L112" s="49">
        <v>0.46</v>
      </c>
    </row>
    <row r="113" spans="1:12" x14ac:dyDescent="0.25">
      <c r="A113" s="7">
        <v>16</v>
      </c>
      <c r="B113" s="67" t="s">
        <v>185</v>
      </c>
      <c r="C113" t="s">
        <v>128</v>
      </c>
      <c r="D113">
        <v>11</v>
      </c>
      <c r="F113" s="7">
        <v>16</v>
      </c>
      <c r="G113" s="67" t="s">
        <v>185</v>
      </c>
      <c r="H113" t="s">
        <v>128</v>
      </c>
      <c r="I113">
        <v>3</v>
      </c>
      <c r="J113">
        <v>3</v>
      </c>
      <c r="K113" s="48">
        <v>0.41000000000000003</v>
      </c>
      <c r="L113" s="48">
        <v>0.41000000000000003</v>
      </c>
    </row>
    <row r="114" spans="1:12" x14ac:dyDescent="0.25">
      <c r="C114" s="63" t="s">
        <v>135</v>
      </c>
      <c r="D114" s="63">
        <v>31</v>
      </c>
      <c r="H114" s="63" t="s">
        <v>135</v>
      </c>
      <c r="I114" s="63">
        <v>5</v>
      </c>
      <c r="J114" s="63">
        <v>2</v>
      </c>
      <c r="K114" s="64">
        <v>0.57000000000000006</v>
      </c>
      <c r="L114" s="64">
        <v>0.54</v>
      </c>
    </row>
    <row r="115" spans="1:12" x14ac:dyDescent="0.25">
      <c r="C115" s="5" t="s">
        <v>189</v>
      </c>
      <c r="D115" s="5">
        <v>42</v>
      </c>
      <c r="H115" s="5" t="s">
        <v>189</v>
      </c>
      <c r="I115" s="5">
        <v>8</v>
      </c>
      <c r="J115" s="5">
        <v>5</v>
      </c>
      <c r="K115" s="49">
        <v>0.51</v>
      </c>
      <c r="L115" s="49">
        <v>0.46</v>
      </c>
    </row>
    <row r="116" spans="1:12" x14ac:dyDescent="0.25">
      <c r="A116" s="7">
        <v>17</v>
      </c>
      <c r="B116" s="67" t="s">
        <v>184</v>
      </c>
      <c r="C116" t="s">
        <v>128</v>
      </c>
      <c r="D116">
        <v>11</v>
      </c>
      <c r="F116" s="7">
        <v>17</v>
      </c>
      <c r="G116" s="67" t="s">
        <v>184</v>
      </c>
      <c r="H116" t="s">
        <v>128</v>
      </c>
      <c r="I116">
        <v>3</v>
      </c>
      <c r="J116">
        <v>3</v>
      </c>
      <c r="K116" s="48">
        <v>0.41000000000000003</v>
      </c>
      <c r="L116" s="48">
        <v>0.41000000000000003</v>
      </c>
    </row>
    <row r="117" spans="1:12" x14ac:dyDescent="0.25">
      <c r="C117" s="63" t="s">
        <v>135</v>
      </c>
      <c r="D117" s="63">
        <v>31</v>
      </c>
      <c r="H117" s="63" t="s">
        <v>135</v>
      </c>
      <c r="I117" s="63">
        <v>5</v>
      </c>
      <c r="J117" s="63">
        <v>2</v>
      </c>
      <c r="K117" s="64">
        <v>0.57000000000000006</v>
      </c>
      <c r="L117" s="64">
        <v>0.54</v>
      </c>
    </row>
    <row r="118" spans="1:12" x14ac:dyDescent="0.25">
      <c r="C118" s="5" t="s">
        <v>189</v>
      </c>
      <c r="D118" s="5">
        <v>42</v>
      </c>
      <c r="H118" s="5" t="s">
        <v>189</v>
      </c>
      <c r="I118" s="5">
        <v>8</v>
      </c>
      <c r="J118" s="5">
        <v>5</v>
      </c>
      <c r="K118" s="49">
        <v>0.51</v>
      </c>
      <c r="L118" s="49">
        <v>0.46</v>
      </c>
    </row>
    <row r="119" spans="1:12" x14ac:dyDescent="0.25">
      <c r="A119" s="7">
        <v>17</v>
      </c>
      <c r="B119" s="67" t="s">
        <v>185</v>
      </c>
      <c r="C119" t="s">
        <v>128</v>
      </c>
      <c r="D119">
        <v>11</v>
      </c>
      <c r="F119" s="7">
        <v>17</v>
      </c>
      <c r="G119" s="67" t="s">
        <v>185</v>
      </c>
      <c r="H119" t="s">
        <v>128</v>
      </c>
      <c r="I119">
        <v>3</v>
      </c>
      <c r="J119">
        <v>3</v>
      </c>
      <c r="K119" s="48">
        <v>0.41000000000000003</v>
      </c>
      <c r="L119" s="48">
        <v>0.41000000000000003</v>
      </c>
    </row>
    <row r="120" spans="1:12" x14ac:dyDescent="0.25">
      <c r="C120" s="63" t="s">
        <v>135</v>
      </c>
      <c r="D120" s="63">
        <v>29</v>
      </c>
      <c r="H120" s="63" t="s">
        <v>135</v>
      </c>
      <c r="I120" s="63">
        <v>5</v>
      </c>
      <c r="J120" s="63">
        <v>2</v>
      </c>
      <c r="K120" s="64">
        <v>0.57999999999999996</v>
      </c>
      <c r="L120" s="64">
        <v>0.51</v>
      </c>
    </row>
    <row r="121" spans="1:12" x14ac:dyDescent="0.25">
      <c r="C121" s="5" t="s">
        <v>189</v>
      </c>
      <c r="D121" s="5">
        <v>40</v>
      </c>
      <c r="H121" s="5" t="s">
        <v>189</v>
      </c>
      <c r="I121" s="5">
        <v>8</v>
      </c>
      <c r="J121" s="5">
        <v>5</v>
      </c>
      <c r="K121" s="49">
        <v>0.52</v>
      </c>
      <c r="L121" s="49">
        <v>0.45</v>
      </c>
    </row>
    <row r="122" spans="1:12" x14ac:dyDescent="0.25">
      <c r="A122" s="7">
        <v>18</v>
      </c>
      <c r="B122" s="67" t="s">
        <v>184</v>
      </c>
      <c r="C122" t="s">
        <v>128</v>
      </c>
      <c r="D122">
        <v>11</v>
      </c>
      <c r="F122" s="7">
        <v>18</v>
      </c>
      <c r="G122" s="67" t="s">
        <v>184</v>
      </c>
      <c r="H122" t="s">
        <v>128</v>
      </c>
      <c r="I122">
        <v>3</v>
      </c>
      <c r="J122">
        <v>3</v>
      </c>
      <c r="K122" s="48">
        <v>0.41000000000000003</v>
      </c>
      <c r="L122" s="48">
        <v>0.41000000000000003</v>
      </c>
    </row>
    <row r="123" spans="1:12" x14ac:dyDescent="0.25">
      <c r="C123" s="63" t="s">
        <v>135</v>
      </c>
      <c r="D123" s="63">
        <v>29</v>
      </c>
      <c r="H123" s="63" t="s">
        <v>135</v>
      </c>
      <c r="I123" s="63">
        <v>5</v>
      </c>
      <c r="J123" s="63">
        <v>2</v>
      </c>
      <c r="K123" s="64">
        <v>0.57999999999999996</v>
      </c>
      <c r="L123" s="64">
        <v>0.51</v>
      </c>
    </row>
    <row r="124" spans="1:12" x14ac:dyDescent="0.25">
      <c r="C124" s="5" t="s">
        <v>189</v>
      </c>
      <c r="D124" s="5">
        <v>40</v>
      </c>
      <c r="H124" s="5" t="s">
        <v>189</v>
      </c>
      <c r="I124" s="5">
        <v>8</v>
      </c>
      <c r="J124" s="5">
        <v>5</v>
      </c>
      <c r="K124" s="49">
        <v>0.52</v>
      </c>
      <c r="L124" s="49">
        <v>0.45</v>
      </c>
    </row>
    <row r="125" spans="1:12" x14ac:dyDescent="0.25">
      <c r="A125" s="7">
        <v>18</v>
      </c>
      <c r="B125" s="67" t="s">
        <v>185</v>
      </c>
      <c r="C125" t="s">
        <v>128</v>
      </c>
      <c r="D125">
        <v>11</v>
      </c>
      <c r="F125" s="7">
        <v>18</v>
      </c>
      <c r="G125" s="67" t="s">
        <v>185</v>
      </c>
      <c r="H125" t="s">
        <v>128</v>
      </c>
      <c r="I125">
        <v>3</v>
      </c>
      <c r="J125">
        <v>3</v>
      </c>
      <c r="K125" s="48">
        <v>0.41000000000000003</v>
      </c>
      <c r="L125" s="48">
        <v>0.41000000000000003</v>
      </c>
    </row>
    <row r="126" spans="1:12" x14ac:dyDescent="0.25">
      <c r="C126" s="63" t="s">
        <v>135</v>
      </c>
      <c r="D126" s="63">
        <v>29</v>
      </c>
      <c r="H126" s="63" t="s">
        <v>135</v>
      </c>
      <c r="I126" s="63">
        <v>5</v>
      </c>
      <c r="J126" s="63">
        <v>2</v>
      </c>
      <c r="K126" s="64">
        <v>0.57999999999999996</v>
      </c>
      <c r="L126" s="64">
        <v>0.51</v>
      </c>
    </row>
    <row r="127" spans="1:12" x14ac:dyDescent="0.25">
      <c r="C127" s="5" t="s">
        <v>189</v>
      </c>
      <c r="D127" s="5">
        <v>40</v>
      </c>
      <c r="H127" s="5" t="s">
        <v>189</v>
      </c>
      <c r="I127" s="5">
        <v>8</v>
      </c>
      <c r="J127" s="5">
        <v>5</v>
      </c>
      <c r="K127" s="49">
        <v>0.52</v>
      </c>
      <c r="L127" s="49">
        <v>0.45</v>
      </c>
    </row>
    <row r="128" spans="1:12" x14ac:dyDescent="0.25">
      <c r="A128" s="7">
        <v>19</v>
      </c>
      <c r="B128" s="67" t="s">
        <v>184</v>
      </c>
      <c r="C128" t="s">
        <v>128</v>
      </c>
      <c r="D128">
        <v>11</v>
      </c>
      <c r="F128" s="7">
        <v>19</v>
      </c>
      <c r="G128" s="67" t="s">
        <v>184</v>
      </c>
      <c r="H128" t="s">
        <v>128</v>
      </c>
      <c r="I128">
        <v>3</v>
      </c>
      <c r="J128">
        <v>3</v>
      </c>
      <c r="K128" s="48">
        <v>0.41000000000000003</v>
      </c>
      <c r="L128" s="48">
        <v>0.41000000000000003</v>
      </c>
    </row>
    <row r="129" spans="1:12" x14ac:dyDescent="0.25">
      <c r="C129" s="63" t="s">
        <v>135</v>
      </c>
      <c r="D129" s="63">
        <v>28</v>
      </c>
      <c r="H129" s="63" t="s">
        <v>135</v>
      </c>
      <c r="I129" s="63">
        <v>5</v>
      </c>
      <c r="J129" s="63">
        <v>2</v>
      </c>
      <c r="K129" s="64">
        <v>0.57000000000000006</v>
      </c>
      <c r="L129" s="64">
        <v>0.49</v>
      </c>
    </row>
    <row r="130" spans="1:12" x14ac:dyDescent="0.25">
      <c r="C130" s="5" t="s">
        <v>189</v>
      </c>
      <c r="D130" s="5">
        <v>39</v>
      </c>
      <c r="H130" s="5" t="s">
        <v>189</v>
      </c>
      <c r="I130" s="5">
        <v>8</v>
      </c>
      <c r="J130" s="5">
        <v>5</v>
      </c>
      <c r="K130" s="49">
        <v>0.51</v>
      </c>
      <c r="L130" s="49">
        <v>0.44</v>
      </c>
    </row>
    <row r="131" spans="1:12" x14ac:dyDescent="0.25">
      <c r="A131" s="7">
        <v>19</v>
      </c>
      <c r="B131" s="67" t="s">
        <v>185</v>
      </c>
      <c r="C131" t="s">
        <v>128</v>
      </c>
      <c r="D131">
        <v>11</v>
      </c>
      <c r="F131" s="7">
        <v>19</v>
      </c>
      <c r="G131" s="67" t="s">
        <v>185</v>
      </c>
      <c r="H131" t="s">
        <v>128</v>
      </c>
      <c r="I131">
        <v>3</v>
      </c>
      <c r="J131">
        <v>3</v>
      </c>
      <c r="K131" s="48">
        <v>0.41000000000000003</v>
      </c>
      <c r="L131" s="48">
        <v>0.41000000000000003</v>
      </c>
    </row>
    <row r="132" spans="1:12" x14ac:dyDescent="0.25">
      <c r="C132" s="63" t="s">
        <v>135</v>
      </c>
      <c r="D132" s="63">
        <v>28</v>
      </c>
      <c r="H132" s="63" t="s">
        <v>135</v>
      </c>
      <c r="I132" s="63">
        <v>5</v>
      </c>
      <c r="J132" s="63">
        <v>2</v>
      </c>
      <c r="K132" s="64">
        <v>0.57000000000000006</v>
      </c>
      <c r="L132" s="64">
        <v>0.49</v>
      </c>
    </row>
    <row r="133" spans="1:12" x14ac:dyDescent="0.25">
      <c r="C133" s="5" t="s">
        <v>189</v>
      </c>
      <c r="D133" s="5">
        <v>39</v>
      </c>
      <c r="H133" s="5" t="s">
        <v>189</v>
      </c>
      <c r="I133" s="5">
        <v>8</v>
      </c>
      <c r="J133" s="5">
        <v>5</v>
      </c>
      <c r="K133" s="49">
        <v>0.51</v>
      </c>
      <c r="L133" s="49">
        <v>0.44</v>
      </c>
    </row>
    <row r="134" spans="1:12" x14ac:dyDescent="0.25">
      <c r="A134" s="7">
        <v>20</v>
      </c>
      <c r="B134" s="67" t="s">
        <v>184</v>
      </c>
      <c r="C134" t="s">
        <v>128</v>
      </c>
      <c r="D134">
        <v>11</v>
      </c>
      <c r="F134" s="7">
        <v>20</v>
      </c>
      <c r="G134" s="67" t="s">
        <v>184</v>
      </c>
      <c r="H134" t="s">
        <v>128</v>
      </c>
      <c r="I134">
        <v>3</v>
      </c>
      <c r="J134">
        <v>3</v>
      </c>
      <c r="K134" s="48">
        <v>0.41000000000000003</v>
      </c>
      <c r="L134" s="48">
        <v>0.41000000000000003</v>
      </c>
    </row>
    <row r="135" spans="1:12" x14ac:dyDescent="0.25">
      <c r="C135" s="63" t="s">
        <v>135</v>
      </c>
      <c r="D135" s="63">
        <v>27</v>
      </c>
      <c r="H135" s="63" t="s">
        <v>135</v>
      </c>
      <c r="I135" s="63">
        <v>5</v>
      </c>
      <c r="J135" s="63">
        <v>2</v>
      </c>
      <c r="K135" s="64">
        <v>0.54</v>
      </c>
      <c r="L135" s="64">
        <v>0.44</v>
      </c>
    </row>
    <row r="136" spans="1:12" x14ac:dyDescent="0.25">
      <c r="C136" s="5" t="s">
        <v>189</v>
      </c>
      <c r="D136" s="5">
        <v>38</v>
      </c>
      <c r="H136" s="5" t="s">
        <v>189</v>
      </c>
      <c r="I136" s="5">
        <v>8</v>
      </c>
      <c r="J136" s="5">
        <v>5</v>
      </c>
      <c r="K136" s="49">
        <v>0.49</v>
      </c>
      <c r="L136" s="49">
        <v>0.42</v>
      </c>
    </row>
    <row r="137" spans="1:12" x14ac:dyDescent="0.25">
      <c r="A137" s="7">
        <v>20</v>
      </c>
      <c r="B137" s="67" t="s">
        <v>185</v>
      </c>
      <c r="C137" t="s">
        <v>128</v>
      </c>
      <c r="D137">
        <v>11</v>
      </c>
      <c r="F137" s="7">
        <v>20</v>
      </c>
      <c r="G137" s="67" t="s">
        <v>185</v>
      </c>
      <c r="H137" t="s">
        <v>128</v>
      </c>
      <c r="I137">
        <v>3</v>
      </c>
      <c r="J137">
        <v>3</v>
      </c>
      <c r="K137" s="48">
        <v>0.41000000000000003</v>
      </c>
      <c r="L137" s="48">
        <v>0.41000000000000003</v>
      </c>
    </row>
    <row r="138" spans="1:12" x14ac:dyDescent="0.25">
      <c r="C138" s="63" t="s">
        <v>135</v>
      </c>
      <c r="D138" s="63">
        <v>27</v>
      </c>
      <c r="H138" s="63" t="s">
        <v>135</v>
      </c>
      <c r="I138" s="63">
        <v>5</v>
      </c>
      <c r="J138" s="63">
        <v>2</v>
      </c>
      <c r="K138" s="64">
        <v>0.54</v>
      </c>
      <c r="L138" s="64">
        <v>0.44</v>
      </c>
    </row>
    <row r="139" spans="1:12" x14ac:dyDescent="0.25">
      <c r="C139" s="5" t="s">
        <v>189</v>
      </c>
      <c r="D139" s="5">
        <v>38</v>
      </c>
      <c r="H139" s="5" t="s">
        <v>189</v>
      </c>
      <c r="I139" s="5">
        <v>8</v>
      </c>
      <c r="J139" s="5">
        <v>5</v>
      </c>
      <c r="K139" s="49">
        <v>0.49</v>
      </c>
      <c r="L139" s="49">
        <v>0.42</v>
      </c>
    </row>
    <row r="140" spans="1:12" x14ac:dyDescent="0.25">
      <c r="A140" s="7">
        <v>21</v>
      </c>
      <c r="B140" s="67" t="s">
        <v>184</v>
      </c>
      <c r="C140" t="s">
        <v>128</v>
      </c>
      <c r="D140">
        <v>11</v>
      </c>
      <c r="F140" s="7">
        <v>21</v>
      </c>
      <c r="G140" s="67" t="s">
        <v>184</v>
      </c>
      <c r="H140" t="s">
        <v>128</v>
      </c>
      <c r="I140">
        <v>3</v>
      </c>
      <c r="J140">
        <v>3</v>
      </c>
      <c r="K140" s="48">
        <v>0.41000000000000003</v>
      </c>
      <c r="L140" s="48">
        <v>0.41000000000000003</v>
      </c>
    </row>
    <row r="141" spans="1:12" x14ac:dyDescent="0.25">
      <c r="C141" s="63" t="s">
        <v>135</v>
      </c>
      <c r="D141" s="63">
        <v>27</v>
      </c>
      <c r="H141" s="63" t="s">
        <v>135</v>
      </c>
      <c r="I141" s="63">
        <v>5</v>
      </c>
      <c r="J141" s="63">
        <v>2</v>
      </c>
      <c r="K141" s="64">
        <v>0.54</v>
      </c>
      <c r="L141" s="64">
        <v>0.44</v>
      </c>
    </row>
    <row r="142" spans="1:12" x14ac:dyDescent="0.25">
      <c r="C142" s="5" t="s">
        <v>189</v>
      </c>
      <c r="D142" s="5">
        <v>38</v>
      </c>
      <c r="H142" s="5" t="s">
        <v>189</v>
      </c>
      <c r="I142" s="5">
        <v>8</v>
      </c>
      <c r="J142" s="5">
        <v>5</v>
      </c>
      <c r="K142" s="49">
        <v>0.49</v>
      </c>
      <c r="L142" s="49">
        <v>0.42</v>
      </c>
    </row>
    <row r="143" spans="1:12" x14ac:dyDescent="0.25">
      <c r="A143" s="7">
        <v>21</v>
      </c>
      <c r="B143" s="67" t="s">
        <v>185</v>
      </c>
      <c r="C143" t="s">
        <v>128</v>
      </c>
      <c r="D143">
        <v>11</v>
      </c>
      <c r="F143" s="7">
        <v>21</v>
      </c>
      <c r="G143" s="67" t="s">
        <v>185</v>
      </c>
      <c r="H143" t="s">
        <v>128</v>
      </c>
      <c r="I143">
        <v>3</v>
      </c>
      <c r="J143">
        <v>3</v>
      </c>
      <c r="K143" s="48">
        <v>0.41000000000000003</v>
      </c>
      <c r="L143" s="48">
        <v>0.41000000000000003</v>
      </c>
    </row>
    <row r="144" spans="1:12" x14ac:dyDescent="0.25">
      <c r="C144" s="63" t="s">
        <v>135</v>
      </c>
      <c r="D144" s="63">
        <v>27</v>
      </c>
      <c r="H144" s="63" t="s">
        <v>135</v>
      </c>
      <c r="I144" s="63">
        <v>5</v>
      </c>
      <c r="J144" s="63">
        <v>2</v>
      </c>
      <c r="K144" s="64">
        <v>0.54</v>
      </c>
      <c r="L144" s="64">
        <v>0.44</v>
      </c>
    </row>
    <row r="145" spans="1:12" x14ac:dyDescent="0.25">
      <c r="C145" s="5" t="s">
        <v>189</v>
      </c>
      <c r="D145" s="5">
        <v>38</v>
      </c>
      <c r="H145" s="5" t="s">
        <v>189</v>
      </c>
      <c r="I145" s="5">
        <v>8</v>
      </c>
      <c r="J145" s="5">
        <v>5</v>
      </c>
      <c r="K145" s="49">
        <v>0.49</v>
      </c>
      <c r="L145" s="49">
        <v>0.42</v>
      </c>
    </row>
    <row r="146" spans="1:12" x14ac:dyDescent="0.25">
      <c r="A146" s="7">
        <v>22</v>
      </c>
      <c r="B146" s="67" t="s">
        <v>184</v>
      </c>
      <c r="C146" t="s">
        <v>128</v>
      </c>
      <c r="D146">
        <v>11</v>
      </c>
      <c r="F146" s="7">
        <v>22</v>
      </c>
      <c r="G146" s="67" t="s">
        <v>184</v>
      </c>
      <c r="H146" t="s">
        <v>128</v>
      </c>
      <c r="I146">
        <v>3</v>
      </c>
      <c r="J146">
        <v>3</v>
      </c>
      <c r="K146" s="48">
        <v>0.41000000000000003</v>
      </c>
      <c r="L146" s="48">
        <v>0.41000000000000003</v>
      </c>
    </row>
    <row r="147" spans="1:12" x14ac:dyDescent="0.25">
      <c r="C147" s="63" t="s">
        <v>135</v>
      </c>
      <c r="D147" s="63">
        <v>26</v>
      </c>
      <c r="H147" s="63" t="s">
        <v>135</v>
      </c>
      <c r="I147" s="63">
        <v>5</v>
      </c>
      <c r="J147" s="63">
        <v>2</v>
      </c>
      <c r="K147" s="64">
        <v>0.53</v>
      </c>
      <c r="L147" s="64">
        <v>0.43</v>
      </c>
    </row>
    <row r="148" spans="1:12" x14ac:dyDescent="0.25">
      <c r="C148" s="5" t="s">
        <v>189</v>
      </c>
      <c r="D148" s="5">
        <v>37</v>
      </c>
      <c r="H148" s="5" t="s">
        <v>189</v>
      </c>
      <c r="I148" s="5">
        <v>8</v>
      </c>
      <c r="J148" s="5">
        <v>5</v>
      </c>
      <c r="K148" s="49">
        <v>0.48</v>
      </c>
      <c r="L148" s="49">
        <v>0.42</v>
      </c>
    </row>
    <row r="149" spans="1:12" x14ac:dyDescent="0.25">
      <c r="A149" s="7">
        <v>22</v>
      </c>
      <c r="B149" s="67" t="s">
        <v>185</v>
      </c>
      <c r="C149" t="s">
        <v>128</v>
      </c>
      <c r="D149">
        <v>8</v>
      </c>
      <c r="F149" s="7">
        <v>22</v>
      </c>
      <c r="G149" s="67" t="s">
        <v>185</v>
      </c>
      <c r="H149" t="s">
        <v>128</v>
      </c>
      <c r="I149">
        <v>3</v>
      </c>
      <c r="J149">
        <v>3</v>
      </c>
      <c r="K149" s="48">
        <v>0.3</v>
      </c>
      <c r="L149" s="48">
        <v>0.3</v>
      </c>
    </row>
    <row r="150" spans="1:12" x14ac:dyDescent="0.25">
      <c r="C150" s="63" t="s">
        <v>135</v>
      </c>
      <c r="D150" s="63">
        <v>24</v>
      </c>
      <c r="H150" s="63" t="s">
        <v>135</v>
      </c>
      <c r="I150" s="63">
        <v>5</v>
      </c>
      <c r="J150" s="63">
        <v>2</v>
      </c>
      <c r="K150" s="64">
        <v>0.48</v>
      </c>
      <c r="L150" s="64">
        <v>0.4</v>
      </c>
    </row>
    <row r="151" spans="1:12" x14ac:dyDescent="0.25">
      <c r="C151" s="5" t="s">
        <v>189</v>
      </c>
      <c r="D151" s="5">
        <v>32</v>
      </c>
      <c r="H151" s="5" t="s">
        <v>189</v>
      </c>
      <c r="I151" s="5">
        <v>8</v>
      </c>
      <c r="J151" s="5">
        <v>5</v>
      </c>
      <c r="K151" s="49">
        <v>0.41000000000000003</v>
      </c>
      <c r="L151" s="49">
        <v>0.34</v>
      </c>
    </row>
    <row r="152" spans="1:12" x14ac:dyDescent="0.25">
      <c r="A152" s="7">
        <v>23</v>
      </c>
      <c r="B152" s="67" t="s">
        <v>184</v>
      </c>
      <c r="C152" t="s">
        <v>128</v>
      </c>
      <c r="D152">
        <v>8</v>
      </c>
      <c r="F152" s="7">
        <v>23</v>
      </c>
      <c r="G152" s="67" t="s">
        <v>184</v>
      </c>
      <c r="H152" t="s">
        <v>128</v>
      </c>
      <c r="I152">
        <v>3</v>
      </c>
      <c r="J152">
        <v>3</v>
      </c>
      <c r="K152" s="48">
        <v>0.3</v>
      </c>
      <c r="L152" s="48">
        <v>0.3</v>
      </c>
    </row>
    <row r="153" spans="1:12" x14ac:dyDescent="0.25">
      <c r="C153" s="63" t="s">
        <v>135</v>
      </c>
      <c r="D153" s="63">
        <v>24</v>
      </c>
      <c r="H153" s="63" t="s">
        <v>135</v>
      </c>
      <c r="I153" s="63">
        <v>5</v>
      </c>
      <c r="J153" s="63">
        <v>2</v>
      </c>
      <c r="K153" s="64">
        <v>0.48</v>
      </c>
      <c r="L153" s="64">
        <v>0.4</v>
      </c>
    </row>
    <row r="154" spans="1:12" x14ac:dyDescent="0.25">
      <c r="C154" s="5" t="s">
        <v>189</v>
      </c>
      <c r="D154" s="5">
        <v>32</v>
      </c>
      <c r="H154" s="5" t="s">
        <v>189</v>
      </c>
      <c r="I154" s="5">
        <v>8</v>
      </c>
      <c r="J154" s="5">
        <v>5</v>
      </c>
      <c r="K154" s="49">
        <v>0.41000000000000003</v>
      </c>
      <c r="L154" s="49">
        <v>0.34</v>
      </c>
    </row>
    <row r="155" spans="1:12" x14ac:dyDescent="0.25">
      <c r="A155" s="7">
        <v>23</v>
      </c>
      <c r="B155" s="67" t="s">
        <v>185</v>
      </c>
      <c r="C155" t="s">
        <v>128</v>
      </c>
      <c r="D155">
        <v>8</v>
      </c>
      <c r="F155" s="7">
        <v>23</v>
      </c>
      <c r="G155" s="67" t="s">
        <v>185</v>
      </c>
      <c r="H155" t="s">
        <v>128</v>
      </c>
      <c r="I155">
        <v>3</v>
      </c>
      <c r="J155">
        <v>3</v>
      </c>
      <c r="K155" s="48">
        <v>0.3</v>
      </c>
      <c r="L155" s="48">
        <v>0.3</v>
      </c>
    </row>
    <row r="156" spans="1:12" x14ac:dyDescent="0.25">
      <c r="C156" s="63" t="s">
        <v>135</v>
      </c>
      <c r="D156" s="63">
        <v>24</v>
      </c>
      <c r="H156" s="63" t="s">
        <v>135</v>
      </c>
      <c r="I156" s="63">
        <v>5</v>
      </c>
      <c r="J156" s="63">
        <v>2</v>
      </c>
      <c r="K156" s="64">
        <v>0.48</v>
      </c>
      <c r="L156" s="64">
        <v>0.4</v>
      </c>
    </row>
    <row r="157" spans="1:12" x14ac:dyDescent="0.25">
      <c r="C157" s="5" t="s">
        <v>189</v>
      </c>
      <c r="D157" s="5">
        <v>32</v>
      </c>
      <c r="H157" s="5" t="s">
        <v>189</v>
      </c>
      <c r="I157" s="5">
        <v>8</v>
      </c>
      <c r="J157" s="5">
        <v>5</v>
      </c>
      <c r="K157" s="49">
        <v>0.41000000000000003</v>
      </c>
      <c r="L157" s="49">
        <v>0.34</v>
      </c>
    </row>
    <row r="158" spans="1:12" x14ac:dyDescent="0.25">
      <c r="A158" s="7">
        <v>24</v>
      </c>
      <c r="B158" s="67" t="s">
        <v>184</v>
      </c>
      <c r="C158" t="s">
        <v>128</v>
      </c>
      <c r="D158">
        <v>8</v>
      </c>
      <c r="F158" s="7">
        <v>24</v>
      </c>
      <c r="G158" s="67" t="s">
        <v>184</v>
      </c>
      <c r="H158" t="s">
        <v>128</v>
      </c>
      <c r="I158">
        <v>3</v>
      </c>
      <c r="J158">
        <v>3</v>
      </c>
      <c r="K158" s="48">
        <v>0.3</v>
      </c>
      <c r="L158" s="48">
        <v>0.3</v>
      </c>
    </row>
    <row r="159" spans="1:12" x14ac:dyDescent="0.25">
      <c r="C159" s="63" t="s">
        <v>135</v>
      </c>
      <c r="D159" s="63">
        <v>24</v>
      </c>
      <c r="H159" s="63" t="s">
        <v>135</v>
      </c>
      <c r="I159" s="63">
        <v>5</v>
      </c>
      <c r="J159" s="63">
        <v>2</v>
      </c>
      <c r="K159" s="64">
        <v>0.48</v>
      </c>
      <c r="L159" s="64">
        <v>0.4</v>
      </c>
    </row>
    <row r="160" spans="1:12" x14ac:dyDescent="0.25">
      <c r="C160" s="5" t="s">
        <v>189</v>
      </c>
      <c r="D160" s="5">
        <v>32</v>
      </c>
      <c r="H160" s="5" t="s">
        <v>189</v>
      </c>
      <c r="I160" s="5">
        <v>8</v>
      </c>
      <c r="J160" s="5">
        <v>5</v>
      </c>
      <c r="K160" s="49">
        <v>0.41000000000000003</v>
      </c>
      <c r="L160" s="49">
        <v>0.34</v>
      </c>
    </row>
    <row r="161" spans="1:12" x14ac:dyDescent="0.25">
      <c r="A161" s="7">
        <v>24</v>
      </c>
      <c r="B161" s="67" t="s">
        <v>185</v>
      </c>
      <c r="C161" t="s">
        <v>128</v>
      </c>
      <c r="D161">
        <v>8</v>
      </c>
      <c r="F161" s="7">
        <v>24</v>
      </c>
      <c r="G161" s="67" t="s">
        <v>185</v>
      </c>
      <c r="H161" t="s">
        <v>128</v>
      </c>
      <c r="I161">
        <v>3</v>
      </c>
      <c r="J161">
        <v>3</v>
      </c>
      <c r="K161" s="48">
        <v>0.3</v>
      </c>
      <c r="L161" s="48">
        <v>0.3</v>
      </c>
    </row>
    <row r="162" spans="1:12" x14ac:dyDescent="0.25">
      <c r="C162" s="63" t="s">
        <v>135</v>
      </c>
      <c r="D162" s="63">
        <v>24</v>
      </c>
      <c r="H162" s="63" t="s">
        <v>135</v>
      </c>
      <c r="I162" s="63">
        <v>5</v>
      </c>
      <c r="J162" s="63">
        <v>2</v>
      </c>
      <c r="K162" s="64">
        <v>0.48</v>
      </c>
      <c r="L162" s="64">
        <v>0.4</v>
      </c>
    </row>
    <row r="163" spans="1:12" x14ac:dyDescent="0.25">
      <c r="C163" s="5" t="s">
        <v>189</v>
      </c>
      <c r="D163" s="5">
        <v>32</v>
      </c>
      <c r="H163" s="5" t="s">
        <v>189</v>
      </c>
      <c r="I163" s="5">
        <v>8</v>
      </c>
      <c r="J163" s="5">
        <v>5</v>
      </c>
      <c r="K163" s="49">
        <v>0.41000000000000003</v>
      </c>
      <c r="L163" s="49">
        <v>0.34</v>
      </c>
    </row>
    <row r="164" spans="1:12" x14ac:dyDescent="0.25">
      <c r="A164" s="7">
        <v>25</v>
      </c>
      <c r="B164" s="67" t="s">
        <v>184</v>
      </c>
      <c r="C164" t="s">
        <v>128</v>
      </c>
      <c r="D164">
        <v>8</v>
      </c>
      <c r="F164" s="7">
        <v>25</v>
      </c>
      <c r="G164" s="67" t="s">
        <v>184</v>
      </c>
      <c r="H164" t="s">
        <v>128</v>
      </c>
      <c r="I164">
        <v>3</v>
      </c>
      <c r="J164">
        <v>3</v>
      </c>
      <c r="K164" s="48">
        <v>0.3</v>
      </c>
      <c r="L164" s="48">
        <v>0.3</v>
      </c>
    </row>
    <row r="165" spans="1:12" x14ac:dyDescent="0.25">
      <c r="C165" s="63" t="s">
        <v>135</v>
      </c>
      <c r="D165" s="63">
        <v>22</v>
      </c>
      <c r="H165" s="63" t="s">
        <v>135</v>
      </c>
      <c r="I165" s="63">
        <v>5</v>
      </c>
      <c r="J165" s="63">
        <v>2</v>
      </c>
      <c r="K165" s="64">
        <v>0.44</v>
      </c>
      <c r="L165" s="64">
        <v>0.37</v>
      </c>
    </row>
    <row r="166" spans="1:12" x14ac:dyDescent="0.25">
      <c r="C166" s="5" t="s">
        <v>189</v>
      </c>
      <c r="D166" s="5">
        <v>30</v>
      </c>
      <c r="H166" s="5" t="s">
        <v>189</v>
      </c>
      <c r="I166" s="5">
        <v>8</v>
      </c>
      <c r="J166" s="5">
        <v>5</v>
      </c>
      <c r="K166" s="49">
        <v>0.39</v>
      </c>
      <c r="L166" s="49">
        <v>0.33</v>
      </c>
    </row>
    <row r="167" spans="1:12" x14ac:dyDescent="0.25">
      <c r="A167" s="7">
        <v>25</v>
      </c>
      <c r="B167" s="67" t="s">
        <v>185</v>
      </c>
      <c r="C167" t="s">
        <v>128</v>
      </c>
      <c r="D167">
        <v>8</v>
      </c>
      <c r="F167" s="7">
        <v>25</v>
      </c>
      <c r="G167" s="67" t="s">
        <v>185</v>
      </c>
      <c r="H167" t="s">
        <v>128</v>
      </c>
      <c r="I167">
        <v>3</v>
      </c>
      <c r="J167">
        <v>3</v>
      </c>
      <c r="K167" s="48">
        <v>0.3</v>
      </c>
      <c r="L167" s="48">
        <v>0.3</v>
      </c>
    </row>
    <row r="168" spans="1:12" x14ac:dyDescent="0.25">
      <c r="C168" s="63" t="s">
        <v>135</v>
      </c>
      <c r="D168" s="63">
        <v>21</v>
      </c>
      <c r="H168" s="63" t="s">
        <v>135</v>
      </c>
      <c r="I168" s="63">
        <v>5</v>
      </c>
      <c r="J168" s="63">
        <v>2</v>
      </c>
      <c r="K168" s="64">
        <v>0.47000000000000003</v>
      </c>
      <c r="L168" s="64">
        <v>0.56000000000000005</v>
      </c>
    </row>
    <row r="169" spans="1:12" x14ac:dyDescent="0.25">
      <c r="C169" s="5" t="s">
        <v>189</v>
      </c>
      <c r="D169" s="5">
        <v>29</v>
      </c>
      <c r="H169" s="5" t="s">
        <v>189</v>
      </c>
      <c r="I169" s="5">
        <v>8</v>
      </c>
      <c r="J169" s="5">
        <v>5</v>
      </c>
      <c r="K169" s="49">
        <v>0.41000000000000003</v>
      </c>
      <c r="L169" s="49">
        <v>0.4</v>
      </c>
    </row>
    <row r="170" spans="1:12" x14ac:dyDescent="0.25">
      <c r="A170" s="7">
        <v>26</v>
      </c>
      <c r="B170" s="67" t="s">
        <v>184</v>
      </c>
      <c r="C170" t="s">
        <v>128</v>
      </c>
      <c r="D170">
        <v>8</v>
      </c>
      <c r="F170" s="7">
        <v>26</v>
      </c>
      <c r="G170" s="67" t="s">
        <v>184</v>
      </c>
      <c r="H170" t="s">
        <v>128</v>
      </c>
      <c r="I170">
        <v>3</v>
      </c>
      <c r="J170">
        <v>3</v>
      </c>
      <c r="K170" s="48">
        <v>0.3</v>
      </c>
      <c r="L170" s="48">
        <v>0.3</v>
      </c>
    </row>
    <row r="171" spans="1:12" x14ac:dyDescent="0.25">
      <c r="C171" s="63" t="s">
        <v>135</v>
      </c>
      <c r="D171" s="63">
        <v>21</v>
      </c>
      <c r="H171" s="63" t="s">
        <v>135</v>
      </c>
      <c r="I171" s="63">
        <v>5</v>
      </c>
      <c r="J171" s="63">
        <v>2</v>
      </c>
      <c r="K171" s="64">
        <v>0.47000000000000003</v>
      </c>
      <c r="L171" s="64">
        <v>0.56000000000000005</v>
      </c>
    </row>
    <row r="172" spans="1:12" x14ac:dyDescent="0.25">
      <c r="C172" s="5" t="s">
        <v>189</v>
      </c>
      <c r="D172" s="5">
        <v>29</v>
      </c>
      <c r="H172" s="5" t="s">
        <v>189</v>
      </c>
      <c r="I172" s="5">
        <v>8</v>
      </c>
      <c r="J172" s="5">
        <v>5</v>
      </c>
      <c r="K172" s="49">
        <v>0.41000000000000003</v>
      </c>
      <c r="L172" s="49">
        <v>0.4</v>
      </c>
    </row>
    <row r="173" spans="1:12" x14ac:dyDescent="0.25">
      <c r="A173" s="7">
        <v>26</v>
      </c>
      <c r="B173" s="67" t="s">
        <v>185</v>
      </c>
      <c r="C173" t="s">
        <v>128</v>
      </c>
      <c r="D173">
        <v>8</v>
      </c>
      <c r="F173" s="7">
        <v>26</v>
      </c>
      <c r="G173" s="67" t="s">
        <v>185</v>
      </c>
      <c r="H173" t="s">
        <v>128</v>
      </c>
      <c r="I173">
        <v>3</v>
      </c>
      <c r="J173">
        <v>3</v>
      </c>
      <c r="K173" s="48">
        <v>0.3</v>
      </c>
      <c r="L173" s="48">
        <v>0.3</v>
      </c>
    </row>
    <row r="174" spans="1:12" x14ac:dyDescent="0.25">
      <c r="C174" s="63" t="s">
        <v>135</v>
      </c>
      <c r="D174" s="63">
        <v>21</v>
      </c>
      <c r="H174" s="63" t="s">
        <v>135</v>
      </c>
      <c r="I174" s="63">
        <v>5</v>
      </c>
      <c r="J174" s="63">
        <v>2</v>
      </c>
      <c r="K174" s="64">
        <v>0.47000000000000003</v>
      </c>
      <c r="L174" s="64">
        <v>0.56000000000000005</v>
      </c>
    </row>
    <row r="175" spans="1:12" x14ac:dyDescent="0.25">
      <c r="C175" s="5" t="s">
        <v>189</v>
      </c>
      <c r="D175" s="5">
        <v>29</v>
      </c>
      <c r="H175" s="5" t="s">
        <v>189</v>
      </c>
      <c r="I175" s="5">
        <v>8</v>
      </c>
      <c r="J175" s="5">
        <v>5</v>
      </c>
      <c r="K175" s="49">
        <v>0.41000000000000003</v>
      </c>
      <c r="L175" s="49">
        <v>0.4</v>
      </c>
    </row>
    <row r="176" spans="1:12" x14ac:dyDescent="0.25">
      <c r="A176" s="7">
        <v>27</v>
      </c>
      <c r="B176" s="67" t="s">
        <v>184</v>
      </c>
      <c r="C176" t="s">
        <v>128</v>
      </c>
      <c r="D176">
        <v>8</v>
      </c>
      <c r="F176" s="7">
        <v>27</v>
      </c>
      <c r="G176" s="67" t="s">
        <v>184</v>
      </c>
      <c r="H176" t="s">
        <v>128</v>
      </c>
      <c r="I176">
        <v>3</v>
      </c>
      <c r="J176">
        <v>3</v>
      </c>
      <c r="K176" s="48">
        <v>0.3</v>
      </c>
      <c r="L176" s="48">
        <v>0.3</v>
      </c>
    </row>
    <row r="177" spans="1:12" x14ac:dyDescent="0.25">
      <c r="C177" s="63" t="s">
        <v>135</v>
      </c>
      <c r="D177" s="63">
        <v>21</v>
      </c>
      <c r="H177" s="63" t="s">
        <v>135</v>
      </c>
      <c r="I177" s="63">
        <v>5</v>
      </c>
      <c r="J177" s="63">
        <v>2</v>
      </c>
      <c r="K177" s="64">
        <v>0.47000000000000003</v>
      </c>
      <c r="L177" s="64">
        <v>0.56000000000000005</v>
      </c>
    </row>
    <row r="178" spans="1:12" x14ac:dyDescent="0.25">
      <c r="C178" s="5" t="s">
        <v>189</v>
      </c>
      <c r="D178" s="5">
        <v>29</v>
      </c>
      <c r="H178" s="5" t="s">
        <v>189</v>
      </c>
      <c r="I178" s="5">
        <v>8</v>
      </c>
      <c r="J178" s="5">
        <v>5</v>
      </c>
      <c r="K178" s="49">
        <v>0.41000000000000003</v>
      </c>
      <c r="L178" s="49">
        <v>0.4</v>
      </c>
    </row>
    <row r="179" spans="1:12" x14ac:dyDescent="0.25">
      <c r="A179" s="7">
        <v>27</v>
      </c>
      <c r="B179" s="67" t="s">
        <v>185</v>
      </c>
      <c r="C179" t="s">
        <v>128</v>
      </c>
      <c r="D179">
        <v>8</v>
      </c>
      <c r="F179" s="7">
        <v>27</v>
      </c>
      <c r="G179" s="67" t="s">
        <v>185</v>
      </c>
      <c r="H179" t="s">
        <v>128</v>
      </c>
      <c r="I179">
        <v>3</v>
      </c>
      <c r="J179">
        <v>3</v>
      </c>
      <c r="K179" s="48">
        <v>0.3</v>
      </c>
      <c r="L179" s="48">
        <v>0.3</v>
      </c>
    </row>
    <row r="180" spans="1:12" x14ac:dyDescent="0.25">
      <c r="C180" s="63" t="s">
        <v>135</v>
      </c>
      <c r="D180" s="63">
        <v>21</v>
      </c>
      <c r="H180" s="63" t="s">
        <v>135</v>
      </c>
      <c r="I180" s="63">
        <v>5</v>
      </c>
      <c r="J180" s="63">
        <v>2</v>
      </c>
      <c r="K180" s="64">
        <v>0.47000000000000003</v>
      </c>
      <c r="L180" s="64">
        <v>0.56000000000000005</v>
      </c>
    </row>
    <row r="181" spans="1:12" x14ac:dyDescent="0.25">
      <c r="C181" s="5" t="s">
        <v>189</v>
      </c>
      <c r="D181" s="5">
        <v>29</v>
      </c>
      <c r="H181" s="5" t="s">
        <v>189</v>
      </c>
      <c r="I181" s="5">
        <v>8</v>
      </c>
      <c r="J181" s="5">
        <v>5</v>
      </c>
      <c r="K181" s="49">
        <v>0.41000000000000003</v>
      </c>
      <c r="L181" s="49">
        <v>0.4</v>
      </c>
    </row>
    <row r="182" spans="1:12" x14ac:dyDescent="0.25">
      <c r="A182" s="7">
        <v>28</v>
      </c>
      <c r="B182" s="67" t="s">
        <v>184</v>
      </c>
      <c r="C182" t="s">
        <v>128</v>
      </c>
      <c r="D182">
        <v>8</v>
      </c>
      <c r="F182" s="7">
        <v>28</v>
      </c>
      <c r="G182" s="67" t="s">
        <v>184</v>
      </c>
      <c r="H182" t="s">
        <v>128</v>
      </c>
      <c r="I182">
        <v>3</v>
      </c>
      <c r="J182">
        <v>3</v>
      </c>
      <c r="K182" s="48">
        <v>0.3</v>
      </c>
      <c r="L182" s="48">
        <v>0.3</v>
      </c>
    </row>
    <row r="183" spans="1:12" x14ac:dyDescent="0.25">
      <c r="C183" s="63" t="s">
        <v>135</v>
      </c>
      <c r="D183" s="63">
        <v>21</v>
      </c>
      <c r="H183" s="63" t="s">
        <v>135</v>
      </c>
      <c r="I183" s="63">
        <v>5</v>
      </c>
      <c r="J183" s="63">
        <v>2</v>
      </c>
      <c r="K183" s="64">
        <v>0.47000000000000003</v>
      </c>
      <c r="L183" s="64">
        <v>0.56000000000000005</v>
      </c>
    </row>
    <row r="184" spans="1:12" x14ac:dyDescent="0.25">
      <c r="C184" s="5" t="s">
        <v>189</v>
      </c>
      <c r="D184" s="5">
        <v>29</v>
      </c>
      <c r="H184" s="5" t="s">
        <v>189</v>
      </c>
      <c r="I184" s="5">
        <v>8</v>
      </c>
      <c r="J184" s="5">
        <v>5</v>
      </c>
      <c r="K184" s="49">
        <v>0.41000000000000003</v>
      </c>
      <c r="L184" s="49">
        <v>0.4</v>
      </c>
    </row>
    <row r="185" spans="1:12" x14ac:dyDescent="0.25">
      <c r="A185" s="7">
        <v>28</v>
      </c>
      <c r="B185" s="67" t="s">
        <v>185</v>
      </c>
      <c r="C185" t="s">
        <v>128</v>
      </c>
      <c r="D185">
        <v>8</v>
      </c>
      <c r="F185" s="7">
        <v>28</v>
      </c>
      <c r="G185" s="67" t="s">
        <v>185</v>
      </c>
      <c r="H185" t="s">
        <v>128</v>
      </c>
      <c r="I185">
        <v>3</v>
      </c>
      <c r="J185">
        <v>3</v>
      </c>
      <c r="K185" s="48">
        <v>0.3</v>
      </c>
      <c r="L185" s="48">
        <v>0.3</v>
      </c>
    </row>
    <row r="186" spans="1:12" x14ac:dyDescent="0.25">
      <c r="C186" s="63" t="s">
        <v>135</v>
      </c>
      <c r="D186" s="63">
        <v>21</v>
      </c>
      <c r="H186" s="63" t="s">
        <v>135</v>
      </c>
      <c r="I186" s="63">
        <v>5</v>
      </c>
      <c r="J186" s="63">
        <v>2</v>
      </c>
      <c r="K186" s="64">
        <v>0.47000000000000003</v>
      </c>
      <c r="L186" s="64">
        <v>0.56000000000000005</v>
      </c>
    </row>
    <row r="187" spans="1:12" x14ac:dyDescent="0.25">
      <c r="C187" s="5" t="s">
        <v>189</v>
      </c>
      <c r="D187" s="5">
        <v>29</v>
      </c>
      <c r="H187" s="5" t="s">
        <v>189</v>
      </c>
      <c r="I187" s="5">
        <v>8</v>
      </c>
      <c r="J187" s="5">
        <v>5</v>
      </c>
      <c r="K187" s="49">
        <v>0.41000000000000003</v>
      </c>
      <c r="L187" s="49">
        <v>0.4</v>
      </c>
    </row>
    <row r="188" spans="1:12" x14ac:dyDescent="0.25">
      <c r="A188" s="7">
        <v>29</v>
      </c>
      <c r="B188" s="67" t="s">
        <v>184</v>
      </c>
      <c r="C188" t="s">
        <v>128</v>
      </c>
      <c r="D188">
        <v>8</v>
      </c>
      <c r="F188" s="7">
        <v>29</v>
      </c>
      <c r="G188" s="67" t="s">
        <v>184</v>
      </c>
      <c r="H188" t="s">
        <v>128</v>
      </c>
      <c r="I188">
        <v>3</v>
      </c>
      <c r="J188">
        <v>3</v>
      </c>
      <c r="K188" s="48">
        <v>0.3</v>
      </c>
      <c r="L188" s="48">
        <v>0.3</v>
      </c>
    </row>
    <row r="189" spans="1:12" x14ac:dyDescent="0.25">
      <c r="C189" s="63" t="s">
        <v>135</v>
      </c>
      <c r="D189" s="63">
        <v>21</v>
      </c>
      <c r="H189" s="63" t="s">
        <v>135</v>
      </c>
      <c r="I189" s="63">
        <v>5</v>
      </c>
      <c r="J189" s="63">
        <v>2</v>
      </c>
      <c r="K189" s="64">
        <v>0.47000000000000003</v>
      </c>
      <c r="L189" s="64">
        <v>0.56000000000000005</v>
      </c>
    </row>
    <row r="190" spans="1:12" x14ac:dyDescent="0.25">
      <c r="C190" s="5" t="s">
        <v>189</v>
      </c>
      <c r="D190" s="5">
        <v>29</v>
      </c>
      <c r="H190" s="5" t="s">
        <v>189</v>
      </c>
      <c r="I190" s="5">
        <v>8</v>
      </c>
      <c r="J190" s="5">
        <v>5</v>
      </c>
      <c r="K190" s="49">
        <v>0.41000000000000003</v>
      </c>
      <c r="L190" s="49">
        <v>0.4</v>
      </c>
    </row>
    <row r="191" spans="1:12" x14ac:dyDescent="0.25">
      <c r="A191" s="7">
        <v>29</v>
      </c>
      <c r="B191" s="67" t="s">
        <v>185</v>
      </c>
      <c r="C191" t="s">
        <v>128</v>
      </c>
      <c r="D191">
        <v>8</v>
      </c>
      <c r="F191" s="7">
        <v>29</v>
      </c>
      <c r="G191" s="67" t="s">
        <v>185</v>
      </c>
      <c r="H191" t="s">
        <v>128</v>
      </c>
      <c r="I191">
        <v>3</v>
      </c>
      <c r="J191">
        <v>3</v>
      </c>
      <c r="K191" s="48">
        <v>0.3</v>
      </c>
      <c r="L191" s="48">
        <v>0.3</v>
      </c>
    </row>
    <row r="192" spans="1:12" x14ac:dyDescent="0.25">
      <c r="C192" s="63" t="s">
        <v>135</v>
      </c>
      <c r="D192" s="63">
        <v>20</v>
      </c>
      <c r="H192" s="63" t="s">
        <v>135</v>
      </c>
      <c r="I192" s="63">
        <v>5</v>
      </c>
      <c r="J192" s="63">
        <v>2</v>
      </c>
      <c r="K192" s="64">
        <v>0.45</v>
      </c>
      <c r="L192" s="64">
        <v>0.53</v>
      </c>
    </row>
    <row r="193" spans="1:12" x14ac:dyDescent="0.25">
      <c r="C193" s="5" t="s">
        <v>189</v>
      </c>
      <c r="D193" s="5">
        <v>28</v>
      </c>
      <c r="H193" s="5" t="s">
        <v>189</v>
      </c>
      <c r="I193" s="5">
        <v>8</v>
      </c>
      <c r="J193" s="5">
        <v>5</v>
      </c>
      <c r="K193" s="49">
        <v>0.39</v>
      </c>
      <c r="L193" s="49">
        <v>0.39</v>
      </c>
    </row>
    <row r="194" spans="1:12" x14ac:dyDescent="0.25">
      <c r="A194" s="7">
        <v>30</v>
      </c>
      <c r="B194" s="67" t="s">
        <v>184</v>
      </c>
      <c r="C194" t="s">
        <v>128</v>
      </c>
      <c r="D194">
        <v>8</v>
      </c>
      <c r="F194" s="7">
        <v>30</v>
      </c>
      <c r="G194" s="67" t="s">
        <v>184</v>
      </c>
      <c r="H194" t="s">
        <v>128</v>
      </c>
      <c r="I194">
        <v>3</v>
      </c>
      <c r="J194">
        <v>3</v>
      </c>
      <c r="K194" s="48">
        <v>0.3</v>
      </c>
      <c r="L194" s="48">
        <v>0.3</v>
      </c>
    </row>
    <row r="195" spans="1:12" x14ac:dyDescent="0.25">
      <c r="C195" s="63" t="s">
        <v>135</v>
      </c>
      <c r="D195" s="63">
        <v>20</v>
      </c>
      <c r="H195" s="63" t="s">
        <v>135</v>
      </c>
      <c r="I195" s="63">
        <v>5</v>
      </c>
      <c r="J195" s="63">
        <v>2</v>
      </c>
      <c r="K195" s="64">
        <v>0.45</v>
      </c>
      <c r="L195" s="64">
        <v>0.53</v>
      </c>
    </row>
    <row r="196" spans="1:12" x14ac:dyDescent="0.25">
      <c r="C196" s="5" t="s">
        <v>189</v>
      </c>
      <c r="D196" s="5">
        <v>28</v>
      </c>
      <c r="H196" s="5" t="s">
        <v>189</v>
      </c>
      <c r="I196" s="5">
        <v>8</v>
      </c>
      <c r="J196" s="5">
        <v>5</v>
      </c>
      <c r="K196" s="49">
        <v>0.39</v>
      </c>
      <c r="L196" s="49">
        <v>0.39</v>
      </c>
    </row>
    <row r="197" spans="1:12" x14ac:dyDescent="0.25">
      <c r="A197" s="7">
        <v>30</v>
      </c>
      <c r="B197" s="67" t="s">
        <v>185</v>
      </c>
      <c r="C197" t="s">
        <v>128</v>
      </c>
      <c r="D197">
        <v>8</v>
      </c>
      <c r="F197" s="7">
        <v>30</v>
      </c>
      <c r="G197" s="67" t="s">
        <v>185</v>
      </c>
      <c r="H197" t="s">
        <v>128</v>
      </c>
      <c r="I197">
        <v>3</v>
      </c>
      <c r="J197">
        <v>3</v>
      </c>
      <c r="K197" s="48">
        <v>0.3</v>
      </c>
      <c r="L197" s="48">
        <v>0.3</v>
      </c>
    </row>
    <row r="198" spans="1:12" x14ac:dyDescent="0.25">
      <c r="C198" s="63" t="s">
        <v>135</v>
      </c>
      <c r="D198" s="63">
        <v>20</v>
      </c>
      <c r="H198" s="63" t="s">
        <v>135</v>
      </c>
      <c r="I198" s="63">
        <v>5</v>
      </c>
      <c r="J198" s="63">
        <v>2</v>
      </c>
      <c r="K198" s="64">
        <v>0.45</v>
      </c>
      <c r="L198" s="64">
        <v>0.53</v>
      </c>
    </row>
    <row r="199" spans="1:12" x14ac:dyDescent="0.25">
      <c r="C199" s="5" t="s">
        <v>189</v>
      </c>
      <c r="D199" s="5">
        <v>28</v>
      </c>
      <c r="H199" s="5" t="s">
        <v>189</v>
      </c>
      <c r="I199" s="5">
        <v>8</v>
      </c>
      <c r="J199" s="5">
        <v>5</v>
      </c>
      <c r="K199" s="49">
        <v>0.39</v>
      </c>
      <c r="L199" s="49">
        <v>0.39</v>
      </c>
    </row>
    <row r="200" spans="1:12" x14ac:dyDescent="0.25">
      <c r="A200" s="7">
        <v>31</v>
      </c>
      <c r="B200" s="67" t="s">
        <v>184</v>
      </c>
      <c r="C200" t="s">
        <v>128</v>
      </c>
      <c r="D200">
        <v>8</v>
      </c>
      <c r="F200" s="7">
        <v>31</v>
      </c>
      <c r="G200" s="67" t="s">
        <v>184</v>
      </c>
      <c r="H200" t="s">
        <v>128</v>
      </c>
      <c r="I200">
        <v>3</v>
      </c>
      <c r="J200">
        <v>3</v>
      </c>
      <c r="K200" s="48">
        <v>0.3</v>
      </c>
      <c r="L200" s="48">
        <v>0.3</v>
      </c>
    </row>
    <row r="201" spans="1:12" x14ac:dyDescent="0.25">
      <c r="C201" s="63" t="s">
        <v>135</v>
      </c>
      <c r="D201" s="63">
        <v>20</v>
      </c>
      <c r="H201" s="63" t="s">
        <v>135</v>
      </c>
      <c r="I201" s="63">
        <v>5</v>
      </c>
      <c r="J201" s="63">
        <v>2</v>
      </c>
      <c r="K201" s="64">
        <v>0.45</v>
      </c>
      <c r="L201" s="64">
        <v>0.53</v>
      </c>
    </row>
    <row r="202" spans="1:12" x14ac:dyDescent="0.25">
      <c r="C202" s="5" t="s">
        <v>189</v>
      </c>
      <c r="D202" s="5">
        <v>28</v>
      </c>
      <c r="H202" s="5" t="s">
        <v>189</v>
      </c>
      <c r="I202" s="5">
        <v>8</v>
      </c>
      <c r="J202" s="5">
        <v>5</v>
      </c>
      <c r="K202" s="49">
        <v>0.39</v>
      </c>
      <c r="L202" s="49">
        <v>0.39</v>
      </c>
    </row>
    <row r="203" spans="1:12" x14ac:dyDescent="0.25">
      <c r="A203" s="7">
        <v>31</v>
      </c>
      <c r="B203" s="67" t="s">
        <v>185</v>
      </c>
      <c r="C203" t="s">
        <v>128</v>
      </c>
      <c r="D203">
        <v>8</v>
      </c>
      <c r="F203" s="7">
        <v>31</v>
      </c>
      <c r="G203" s="67" t="s">
        <v>185</v>
      </c>
      <c r="H203" t="s">
        <v>128</v>
      </c>
      <c r="I203">
        <v>3</v>
      </c>
      <c r="J203">
        <v>3</v>
      </c>
      <c r="K203" s="48">
        <v>0.3</v>
      </c>
      <c r="L203" s="48">
        <v>0.3</v>
      </c>
    </row>
    <row r="204" spans="1:12" x14ac:dyDescent="0.25">
      <c r="C204" s="63" t="s">
        <v>135</v>
      </c>
      <c r="D204" s="63">
        <v>20</v>
      </c>
      <c r="H204" s="63" t="s">
        <v>135</v>
      </c>
      <c r="I204" s="63">
        <v>5</v>
      </c>
      <c r="J204" s="63">
        <v>2</v>
      </c>
      <c r="K204" s="64">
        <v>0.45</v>
      </c>
      <c r="L204" s="64">
        <v>0.53</v>
      </c>
    </row>
    <row r="205" spans="1:12" x14ac:dyDescent="0.25">
      <c r="C205" s="5" t="s">
        <v>189</v>
      </c>
      <c r="D205" s="5">
        <v>28</v>
      </c>
      <c r="H205" s="5" t="s">
        <v>189</v>
      </c>
      <c r="I205" s="5">
        <v>8</v>
      </c>
      <c r="J205" s="5">
        <v>5</v>
      </c>
      <c r="K205" s="49">
        <v>0.39</v>
      </c>
      <c r="L205" s="49">
        <v>0.39</v>
      </c>
    </row>
    <row r="206" spans="1:12" x14ac:dyDescent="0.25">
      <c r="A206" s="7">
        <v>32</v>
      </c>
      <c r="B206" s="67" t="s">
        <v>184</v>
      </c>
      <c r="C206" t="s">
        <v>128</v>
      </c>
      <c r="D206">
        <v>8</v>
      </c>
      <c r="F206" s="7">
        <v>32</v>
      </c>
      <c r="G206" s="67" t="s">
        <v>184</v>
      </c>
      <c r="H206" t="s">
        <v>128</v>
      </c>
      <c r="I206">
        <v>3</v>
      </c>
      <c r="J206">
        <v>3</v>
      </c>
      <c r="K206" s="48">
        <v>0.3</v>
      </c>
      <c r="L206" s="48">
        <v>0.3</v>
      </c>
    </row>
    <row r="207" spans="1:12" x14ac:dyDescent="0.25">
      <c r="C207" s="63" t="s">
        <v>135</v>
      </c>
      <c r="D207" s="63">
        <v>20</v>
      </c>
      <c r="H207" s="63" t="s">
        <v>135</v>
      </c>
      <c r="I207" s="63">
        <v>5</v>
      </c>
      <c r="J207" s="63">
        <v>2</v>
      </c>
      <c r="K207" s="64">
        <v>0.45</v>
      </c>
      <c r="L207" s="64">
        <v>0.53</v>
      </c>
    </row>
    <row r="208" spans="1:12" x14ac:dyDescent="0.25">
      <c r="C208" s="5" t="s">
        <v>189</v>
      </c>
      <c r="D208" s="5">
        <v>28</v>
      </c>
      <c r="H208" s="5" t="s">
        <v>189</v>
      </c>
      <c r="I208" s="5">
        <v>8</v>
      </c>
      <c r="J208" s="5">
        <v>5</v>
      </c>
      <c r="K208" s="49">
        <v>0.39</v>
      </c>
      <c r="L208" s="49">
        <v>0.39</v>
      </c>
    </row>
    <row r="209" spans="1:12" x14ac:dyDescent="0.25">
      <c r="A209" s="7">
        <v>32</v>
      </c>
      <c r="B209" s="67" t="s">
        <v>185</v>
      </c>
      <c r="C209" t="s">
        <v>128</v>
      </c>
      <c r="D209">
        <v>8</v>
      </c>
      <c r="F209" s="7">
        <v>32</v>
      </c>
      <c r="G209" s="67" t="s">
        <v>185</v>
      </c>
      <c r="H209" t="s">
        <v>128</v>
      </c>
      <c r="I209">
        <v>3</v>
      </c>
      <c r="J209">
        <v>3</v>
      </c>
      <c r="K209" s="48">
        <v>0.3</v>
      </c>
      <c r="L209" s="48">
        <v>0.3</v>
      </c>
    </row>
    <row r="210" spans="1:12" x14ac:dyDescent="0.25">
      <c r="C210" s="63" t="s">
        <v>135</v>
      </c>
      <c r="D210" s="63">
        <v>20</v>
      </c>
      <c r="H210" s="63" t="s">
        <v>135</v>
      </c>
      <c r="I210" s="63">
        <v>5</v>
      </c>
      <c r="J210" s="63">
        <v>2</v>
      </c>
      <c r="K210" s="64">
        <v>0.45</v>
      </c>
      <c r="L210" s="64">
        <v>0.53</v>
      </c>
    </row>
    <row r="211" spans="1:12" x14ac:dyDescent="0.25">
      <c r="C211" s="5" t="s">
        <v>189</v>
      </c>
      <c r="D211" s="5">
        <v>28</v>
      </c>
      <c r="H211" s="5" t="s">
        <v>189</v>
      </c>
      <c r="I211" s="5">
        <v>8</v>
      </c>
      <c r="J211" s="5">
        <v>5</v>
      </c>
      <c r="K211" s="49">
        <v>0.39</v>
      </c>
      <c r="L211" s="49">
        <v>0.39</v>
      </c>
    </row>
    <row r="212" spans="1:12" x14ac:dyDescent="0.25">
      <c r="A212" s="7">
        <v>33</v>
      </c>
      <c r="B212" s="67" t="s">
        <v>184</v>
      </c>
      <c r="C212" t="s">
        <v>128</v>
      </c>
      <c r="D212">
        <v>19</v>
      </c>
      <c r="F212" s="7">
        <v>33</v>
      </c>
      <c r="G212" s="67" t="s">
        <v>184</v>
      </c>
      <c r="H212" t="s">
        <v>128</v>
      </c>
      <c r="I212">
        <v>6</v>
      </c>
      <c r="J212">
        <v>5</v>
      </c>
      <c r="K212" s="48">
        <v>0.35</v>
      </c>
      <c r="L212" s="48">
        <v>0.42</v>
      </c>
    </row>
    <row r="213" spans="1:12" x14ac:dyDescent="0.25">
      <c r="C213" s="63" t="s">
        <v>135</v>
      </c>
      <c r="D213" s="63">
        <v>32</v>
      </c>
      <c r="H213" s="63" t="s">
        <v>135</v>
      </c>
      <c r="I213" s="63">
        <v>5</v>
      </c>
      <c r="J213" s="63">
        <v>2</v>
      </c>
      <c r="K213" s="64">
        <v>0.59</v>
      </c>
      <c r="L213" s="64">
        <v>0.51</v>
      </c>
    </row>
    <row r="214" spans="1:12" x14ac:dyDescent="0.25">
      <c r="C214" s="5" t="s">
        <v>189</v>
      </c>
      <c r="D214" s="5">
        <v>51</v>
      </c>
      <c r="H214" s="5" t="s">
        <v>189</v>
      </c>
      <c r="I214" s="5">
        <v>11</v>
      </c>
      <c r="J214" s="5">
        <v>7</v>
      </c>
      <c r="K214" s="49">
        <v>0.46</v>
      </c>
      <c r="L214" s="49">
        <v>0.45</v>
      </c>
    </row>
    <row r="215" spans="1:12" x14ac:dyDescent="0.25">
      <c r="A215" s="7">
        <v>33</v>
      </c>
      <c r="B215" s="67" t="s">
        <v>185</v>
      </c>
      <c r="C215" t="s">
        <v>128</v>
      </c>
      <c r="D215">
        <v>19</v>
      </c>
      <c r="F215" s="7">
        <v>33</v>
      </c>
      <c r="G215" s="67" t="s">
        <v>185</v>
      </c>
      <c r="H215" t="s">
        <v>128</v>
      </c>
      <c r="I215">
        <v>6</v>
      </c>
      <c r="J215">
        <v>5</v>
      </c>
      <c r="K215" s="48">
        <v>0.35</v>
      </c>
      <c r="L215" s="48">
        <v>0.42</v>
      </c>
    </row>
    <row r="216" spans="1:12" x14ac:dyDescent="0.25">
      <c r="C216" s="63" t="s">
        <v>135</v>
      </c>
      <c r="D216" s="63">
        <v>32</v>
      </c>
      <c r="H216" s="63" t="s">
        <v>135</v>
      </c>
      <c r="I216" s="63">
        <v>5</v>
      </c>
      <c r="J216" s="63">
        <v>2</v>
      </c>
      <c r="K216" s="64">
        <v>0.59</v>
      </c>
      <c r="L216" s="64">
        <v>0.51</v>
      </c>
    </row>
    <row r="217" spans="1:12" x14ac:dyDescent="0.25">
      <c r="C217" s="5" t="s">
        <v>189</v>
      </c>
      <c r="D217" s="5">
        <v>51</v>
      </c>
      <c r="H217" s="5" t="s">
        <v>189</v>
      </c>
      <c r="I217" s="5">
        <v>11</v>
      </c>
      <c r="J217" s="5">
        <v>7</v>
      </c>
      <c r="K217" s="49">
        <v>0.46</v>
      </c>
      <c r="L217" s="49">
        <v>0.45</v>
      </c>
    </row>
    <row r="218" spans="1:12" x14ac:dyDescent="0.25">
      <c r="A218" s="7">
        <v>34</v>
      </c>
      <c r="B218" s="67" t="s">
        <v>184</v>
      </c>
      <c r="C218" t="s">
        <v>128</v>
      </c>
      <c r="D218">
        <v>8</v>
      </c>
      <c r="F218" s="7">
        <v>34</v>
      </c>
      <c r="G218" s="67" t="s">
        <v>184</v>
      </c>
      <c r="H218" t="s">
        <v>128</v>
      </c>
      <c r="I218">
        <v>3</v>
      </c>
      <c r="J218">
        <v>3</v>
      </c>
      <c r="K218" s="48">
        <v>0.3</v>
      </c>
      <c r="L218" s="48">
        <v>0.3</v>
      </c>
    </row>
    <row r="219" spans="1:12" x14ac:dyDescent="0.25">
      <c r="C219" s="63" t="s">
        <v>135</v>
      </c>
      <c r="D219" s="63">
        <v>19</v>
      </c>
      <c r="H219" s="63" t="s">
        <v>135</v>
      </c>
      <c r="I219" s="63">
        <v>5</v>
      </c>
      <c r="J219" s="63">
        <v>2</v>
      </c>
      <c r="K219" s="64">
        <v>0.43</v>
      </c>
      <c r="L219" s="64">
        <v>0.51</v>
      </c>
    </row>
    <row r="220" spans="1:12" x14ac:dyDescent="0.25">
      <c r="C220" s="5" t="s">
        <v>189</v>
      </c>
      <c r="D220" s="5">
        <v>27</v>
      </c>
      <c r="H220" s="5" t="s">
        <v>189</v>
      </c>
      <c r="I220" s="5">
        <v>8</v>
      </c>
      <c r="J220" s="5">
        <v>5</v>
      </c>
      <c r="K220" s="49">
        <v>0.38</v>
      </c>
      <c r="L220" s="49">
        <v>0.38</v>
      </c>
    </row>
    <row r="221" spans="1:12" x14ac:dyDescent="0.25">
      <c r="A221" s="7">
        <v>34</v>
      </c>
      <c r="B221" s="67" t="s">
        <v>185</v>
      </c>
      <c r="C221" t="s">
        <v>128</v>
      </c>
      <c r="D221">
        <v>8</v>
      </c>
      <c r="F221" s="7">
        <v>34</v>
      </c>
      <c r="G221" s="67" t="s">
        <v>185</v>
      </c>
      <c r="H221" t="s">
        <v>128</v>
      </c>
      <c r="I221">
        <v>3</v>
      </c>
      <c r="J221">
        <v>3</v>
      </c>
      <c r="K221" s="48">
        <v>0.3</v>
      </c>
      <c r="L221" s="48">
        <v>0.3</v>
      </c>
    </row>
    <row r="222" spans="1:12" x14ac:dyDescent="0.25">
      <c r="C222" s="63" t="s">
        <v>135</v>
      </c>
      <c r="D222" s="63">
        <v>17</v>
      </c>
      <c r="H222" s="63" t="s">
        <v>135</v>
      </c>
      <c r="I222" s="63">
        <v>5</v>
      </c>
      <c r="J222" s="63">
        <v>2</v>
      </c>
      <c r="K222" s="64">
        <v>0.38</v>
      </c>
      <c r="L222" s="64">
        <v>0.53</v>
      </c>
    </row>
    <row r="223" spans="1:12" x14ac:dyDescent="0.25">
      <c r="C223" s="5" t="s">
        <v>189</v>
      </c>
      <c r="D223" s="5">
        <v>25</v>
      </c>
      <c r="H223" s="5" t="s">
        <v>189</v>
      </c>
      <c r="I223" s="5">
        <v>8</v>
      </c>
      <c r="J223" s="5">
        <v>5</v>
      </c>
      <c r="K223" s="49">
        <v>0.35000000000000003</v>
      </c>
      <c r="L223" s="49">
        <v>0.39</v>
      </c>
    </row>
    <row r="224" spans="1:12" x14ac:dyDescent="0.25">
      <c r="A224" s="7">
        <v>35</v>
      </c>
      <c r="B224" s="67" t="s">
        <v>184</v>
      </c>
      <c r="C224" t="s">
        <v>128</v>
      </c>
      <c r="D224">
        <v>8</v>
      </c>
      <c r="F224" s="7">
        <v>35</v>
      </c>
      <c r="G224" s="67" t="s">
        <v>184</v>
      </c>
      <c r="H224" t="s">
        <v>128</v>
      </c>
      <c r="I224">
        <v>3</v>
      </c>
      <c r="J224">
        <v>3</v>
      </c>
      <c r="K224" s="48">
        <v>0.3</v>
      </c>
      <c r="L224" s="48">
        <v>0.3</v>
      </c>
    </row>
    <row r="225" spans="1:12" x14ac:dyDescent="0.25">
      <c r="C225" s="63" t="s">
        <v>135</v>
      </c>
      <c r="D225" s="63">
        <v>17</v>
      </c>
      <c r="H225" s="63" t="s">
        <v>135</v>
      </c>
      <c r="I225" s="63">
        <v>5</v>
      </c>
      <c r="J225" s="63">
        <v>2</v>
      </c>
      <c r="K225" s="64">
        <v>0.38</v>
      </c>
      <c r="L225" s="64">
        <v>0.53</v>
      </c>
    </row>
    <row r="226" spans="1:12" x14ac:dyDescent="0.25">
      <c r="C226" s="5" t="s">
        <v>189</v>
      </c>
      <c r="D226" s="5">
        <v>25</v>
      </c>
      <c r="H226" s="5" t="s">
        <v>189</v>
      </c>
      <c r="I226" s="5">
        <v>8</v>
      </c>
      <c r="J226" s="5">
        <v>5</v>
      </c>
      <c r="K226" s="49">
        <v>0.35000000000000003</v>
      </c>
      <c r="L226" s="49">
        <v>0.39</v>
      </c>
    </row>
    <row r="227" spans="1:12" x14ac:dyDescent="0.25">
      <c r="A227" s="7">
        <v>35</v>
      </c>
      <c r="B227" s="67" t="s">
        <v>185</v>
      </c>
      <c r="C227" t="s">
        <v>128</v>
      </c>
      <c r="D227">
        <v>8</v>
      </c>
      <c r="F227" s="7">
        <v>35</v>
      </c>
      <c r="G227" s="67" t="s">
        <v>185</v>
      </c>
      <c r="H227" t="s">
        <v>128</v>
      </c>
      <c r="I227">
        <v>3</v>
      </c>
      <c r="J227">
        <v>3</v>
      </c>
      <c r="K227" s="48">
        <v>0.3</v>
      </c>
      <c r="L227" s="48">
        <v>0.3</v>
      </c>
    </row>
    <row r="228" spans="1:12" x14ac:dyDescent="0.25">
      <c r="C228" s="63" t="s">
        <v>135</v>
      </c>
      <c r="D228" s="63">
        <v>17</v>
      </c>
      <c r="H228" s="63" t="s">
        <v>135</v>
      </c>
      <c r="I228" s="63">
        <v>5</v>
      </c>
      <c r="J228" s="63">
        <v>2</v>
      </c>
      <c r="K228" s="64">
        <v>0.38</v>
      </c>
      <c r="L228" s="64">
        <v>0.53</v>
      </c>
    </row>
    <row r="229" spans="1:12" x14ac:dyDescent="0.25">
      <c r="C229" s="5" t="s">
        <v>189</v>
      </c>
      <c r="D229" s="5">
        <v>25</v>
      </c>
      <c r="H229" s="5" t="s">
        <v>189</v>
      </c>
      <c r="I229" s="5">
        <v>8</v>
      </c>
      <c r="J229" s="5">
        <v>5</v>
      </c>
      <c r="K229" s="49">
        <v>0.35000000000000003</v>
      </c>
      <c r="L229" s="49">
        <v>0.39</v>
      </c>
    </row>
    <row r="230" spans="1:12" x14ac:dyDescent="0.25">
      <c r="A230" s="7">
        <v>36</v>
      </c>
      <c r="B230" s="67" t="s">
        <v>184</v>
      </c>
      <c r="C230" t="s">
        <v>128</v>
      </c>
      <c r="D230">
        <v>8</v>
      </c>
      <c r="F230" s="7">
        <v>36</v>
      </c>
      <c r="G230" s="67" t="s">
        <v>184</v>
      </c>
      <c r="H230" t="s">
        <v>128</v>
      </c>
      <c r="I230">
        <v>3</v>
      </c>
      <c r="J230">
        <v>3</v>
      </c>
      <c r="K230" s="48">
        <v>0.3</v>
      </c>
      <c r="L230" s="48">
        <v>0.3</v>
      </c>
    </row>
    <row r="231" spans="1:12" x14ac:dyDescent="0.25">
      <c r="C231" s="63" t="s">
        <v>135</v>
      </c>
      <c r="D231" s="63">
        <v>15</v>
      </c>
      <c r="H231" s="63" t="s">
        <v>135</v>
      </c>
      <c r="I231" s="63">
        <v>5</v>
      </c>
      <c r="J231" s="63">
        <v>2</v>
      </c>
      <c r="K231" s="64">
        <v>0.34</v>
      </c>
      <c r="L231" s="64">
        <v>0.47000000000000003</v>
      </c>
    </row>
    <row r="232" spans="1:12" x14ac:dyDescent="0.25">
      <c r="C232" s="5" t="s">
        <v>189</v>
      </c>
      <c r="D232" s="5">
        <v>23</v>
      </c>
      <c r="H232" s="5" t="s">
        <v>189</v>
      </c>
      <c r="I232" s="5">
        <v>8</v>
      </c>
      <c r="J232" s="5">
        <v>5</v>
      </c>
      <c r="K232" s="49">
        <v>0.32</v>
      </c>
      <c r="L232" s="49">
        <v>0.37</v>
      </c>
    </row>
    <row r="233" spans="1:12" x14ac:dyDescent="0.25">
      <c r="A233" s="7">
        <v>36</v>
      </c>
      <c r="B233" s="67" t="s">
        <v>185</v>
      </c>
      <c r="C233" t="s">
        <v>128</v>
      </c>
      <c r="D233">
        <v>8</v>
      </c>
      <c r="F233" s="7">
        <v>36</v>
      </c>
      <c r="G233" s="67" t="s">
        <v>185</v>
      </c>
      <c r="H233" t="s">
        <v>128</v>
      </c>
      <c r="I233">
        <v>3</v>
      </c>
      <c r="J233">
        <v>3</v>
      </c>
      <c r="K233" s="48">
        <v>0.3</v>
      </c>
      <c r="L233" s="48">
        <v>0.3</v>
      </c>
    </row>
    <row r="234" spans="1:12" x14ac:dyDescent="0.25">
      <c r="C234" s="63" t="s">
        <v>135</v>
      </c>
      <c r="D234" s="63">
        <v>15</v>
      </c>
      <c r="H234" s="63" t="s">
        <v>135</v>
      </c>
      <c r="I234" s="63">
        <v>5</v>
      </c>
      <c r="J234" s="63">
        <v>2</v>
      </c>
      <c r="K234" s="64">
        <v>0.34</v>
      </c>
      <c r="L234" s="64">
        <v>0.47000000000000003</v>
      </c>
    </row>
    <row r="235" spans="1:12" x14ac:dyDescent="0.25">
      <c r="C235" s="5" t="s">
        <v>189</v>
      </c>
      <c r="D235" s="5">
        <v>23</v>
      </c>
      <c r="H235" s="5" t="s">
        <v>189</v>
      </c>
      <c r="I235" s="5">
        <v>8</v>
      </c>
      <c r="J235" s="5">
        <v>5</v>
      </c>
      <c r="K235" s="49">
        <v>0.32</v>
      </c>
      <c r="L235" s="49">
        <v>0.37</v>
      </c>
    </row>
    <row r="236" spans="1:12" x14ac:dyDescent="0.25">
      <c r="A236" s="7">
        <v>37</v>
      </c>
      <c r="B236" s="67" t="s">
        <v>184</v>
      </c>
      <c r="C236" t="s">
        <v>128</v>
      </c>
      <c r="D236">
        <v>8</v>
      </c>
      <c r="F236" s="7">
        <v>37</v>
      </c>
      <c r="G236" s="67" t="s">
        <v>184</v>
      </c>
      <c r="H236" t="s">
        <v>128</v>
      </c>
      <c r="I236">
        <v>3</v>
      </c>
      <c r="J236">
        <v>3</v>
      </c>
      <c r="K236" s="48">
        <v>0.3</v>
      </c>
      <c r="L236" s="48">
        <v>0.3</v>
      </c>
    </row>
    <row r="237" spans="1:12" x14ac:dyDescent="0.25">
      <c r="C237" s="63" t="s">
        <v>135</v>
      </c>
      <c r="D237" s="63">
        <v>15</v>
      </c>
      <c r="H237" s="63" t="s">
        <v>135</v>
      </c>
      <c r="I237" s="63">
        <v>5</v>
      </c>
      <c r="J237" s="63">
        <v>2</v>
      </c>
      <c r="K237" s="64">
        <v>0.34</v>
      </c>
      <c r="L237" s="64">
        <v>0.47000000000000003</v>
      </c>
    </row>
    <row r="238" spans="1:12" x14ac:dyDescent="0.25">
      <c r="C238" s="5" t="s">
        <v>189</v>
      </c>
      <c r="D238" s="5">
        <v>23</v>
      </c>
      <c r="H238" s="5" t="s">
        <v>189</v>
      </c>
      <c r="I238" s="5">
        <v>8</v>
      </c>
      <c r="J238" s="5">
        <v>5</v>
      </c>
      <c r="K238" s="49">
        <v>0.32</v>
      </c>
      <c r="L238" s="49">
        <v>0.37</v>
      </c>
    </row>
    <row r="239" spans="1:12" x14ac:dyDescent="0.25">
      <c r="A239" s="7">
        <v>37</v>
      </c>
      <c r="B239" s="67" t="s">
        <v>185</v>
      </c>
      <c r="C239" t="s">
        <v>128</v>
      </c>
      <c r="D239">
        <v>8</v>
      </c>
      <c r="F239" s="7">
        <v>37</v>
      </c>
      <c r="G239" s="67" t="s">
        <v>185</v>
      </c>
      <c r="H239" t="s">
        <v>128</v>
      </c>
      <c r="I239">
        <v>3</v>
      </c>
      <c r="J239">
        <v>3</v>
      </c>
      <c r="K239" s="48">
        <v>0.3</v>
      </c>
      <c r="L239" s="48">
        <v>0.3</v>
      </c>
    </row>
    <row r="240" spans="1:12" x14ac:dyDescent="0.25">
      <c r="C240" s="63" t="s">
        <v>135</v>
      </c>
      <c r="D240" s="63">
        <v>15</v>
      </c>
      <c r="H240" s="63" t="s">
        <v>135</v>
      </c>
      <c r="I240" s="63">
        <v>5</v>
      </c>
      <c r="J240" s="63">
        <v>2</v>
      </c>
      <c r="K240" s="64">
        <v>0.34</v>
      </c>
      <c r="L240" s="64">
        <v>0.47000000000000003</v>
      </c>
    </row>
    <row r="241" spans="1:12" x14ac:dyDescent="0.25">
      <c r="C241" s="5" t="s">
        <v>189</v>
      </c>
      <c r="D241" s="5">
        <v>23</v>
      </c>
      <c r="H241" s="5" t="s">
        <v>189</v>
      </c>
      <c r="I241" s="5">
        <v>8</v>
      </c>
      <c r="J241" s="5">
        <v>5</v>
      </c>
      <c r="K241" s="49">
        <v>0.32</v>
      </c>
      <c r="L241" s="49">
        <v>0.37</v>
      </c>
    </row>
    <row r="242" spans="1:12" x14ac:dyDescent="0.25">
      <c r="A242" s="7">
        <v>38</v>
      </c>
      <c r="B242" s="67" t="s">
        <v>184</v>
      </c>
      <c r="C242" t="s">
        <v>128</v>
      </c>
      <c r="D242">
        <v>8</v>
      </c>
      <c r="F242" s="7">
        <v>38</v>
      </c>
      <c r="G242" s="67" t="s">
        <v>184</v>
      </c>
      <c r="H242" t="s">
        <v>128</v>
      </c>
      <c r="I242">
        <v>3</v>
      </c>
      <c r="J242">
        <v>3</v>
      </c>
      <c r="K242" s="48">
        <v>0.3</v>
      </c>
      <c r="L242" s="48">
        <v>0.3</v>
      </c>
    </row>
    <row r="243" spans="1:12" x14ac:dyDescent="0.25">
      <c r="C243" s="63" t="s">
        <v>135</v>
      </c>
      <c r="D243" s="63">
        <v>15</v>
      </c>
      <c r="H243" s="63" t="s">
        <v>135</v>
      </c>
      <c r="I243" s="63">
        <v>5</v>
      </c>
      <c r="J243" s="63">
        <v>2</v>
      </c>
      <c r="K243" s="64">
        <v>0.34</v>
      </c>
      <c r="L243" s="64">
        <v>0.47000000000000003</v>
      </c>
    </row>
    <row r="244" spans="1:12" x14ac:dyDescent="0.25">
      <c r="C244" s="5" t="s">
        <v>189</v>
      </c>
      <c r="D244" s="5">
        <v>23</v>
      </c>
      <c r="H244" s="5" t="s">
        <v>189</v>
      </c>
      <c r="I244" s="5">
        <v>8</v>
      </c>
      <c r="J244" s="5">
        <v>5</v>
      </c>
      <c r="K244" s="49">
        <v>0.32</v>
      </c>
      <c r="L244" s="49">
        <v>0.37</v>
      </c>
    </row>
    <row r="245" spans="1:12" x14ac:dyDescent="0.25">
      <c r="A245" s="7">
        <v>38</v>
      </c>
      <c r="B245" s="67" t="s">
        <v>185</v>
      </c>
      <c r="C245" t="s">
        <v>128</v>
      </c>
      <c r="D245">
        <v>8</v>
      </c>
      <c r="F245" s="7">
        <v>38</v>
      </c>
      <c r="G245" s="67" t="s">
        <v>185</v>
      </c>
      <c r="H245" t="s">
        <v>128</v>
      </c>
      <c r="I245">
        <v>3</v>
      </c>
      <c r="J245">
        <v>3</v>
      </c>
      <c r="K245" s="48">
        <v>0.3</v>
      </c>
      <c r="L245" s="48">
        <v>0.3</v>
      </c>
    </row>
    <row r="246" spans="1:12" x14ac:dyDescent="0.25">
      <c r="C246" s="63" t="s">
        <v>135</v>
      </c>
      <c r="D246" s="63">
        <v>15</v>
      </c>
      <c r="H246" s="63" t="s">
        <v>135</v>
      </c>
      <c r="I246" s="63">
        <v>5</v>
      </c>
      <c r="J246" s="63">
        <v>2</v>
      </c>
      <c r="K246" s="64">
        <v>0.34</v>
      </c>
      <c r="L246" s="64">
        <v>0.47000000000000003</v>
      </c>
    </row>
    <row r="247" spans="1:12" x14ac:dyDescent="0.25">
      <c r="C247" s="5" t="s">
        <v>189</v>
      </c>
      <c r="D247" s="5">
        <v>23</v>
      </c>
      <c r="H247" s="5" t="s">
        <v>189</v>
      </c>
      <c r="I247" s="5">
        <v>8</v>
      </c>
      <c r="J247" s="5">
        <v>5</v>
      </c>
      <c r="K247" s="49">
        <v>0.32</v>
      </c>
      <c r="L247" s="49">
        <v>0.37</v>
      </c>
    </row>
    <row r="248" spans="1:12" x14ac:dyDescent="0.25">
      <c r="A248" s="7">
        <v>39</v>
      </c>
      <c r="B248" s="67" t="s">
        <v>184</v>
      </c>
      <c r="C248" t="s">
        <v>128</v>
      </c>
      <c r="D248">
        <v>16</v>
      </c>
      <c r="F248" s="7">
        <v>39</v>
      </c>
      <c r="G248" s="67" t="s">
        <v>184</v>
      </c>
      <c r="H248" t="s">
        <v>128</v>
      </c>
      <c r="I248">
        <v>5</v>
      </c>
      <c r="J248">
        <v>5</v>
      </c>
      <c r="K248" s="48">
        <v>0.36</v>
      </c>
      <c r="L248" s="48">
        <v>0.36</v>
      </c>
    </row>
    <row r="249" spans="1:12" x14ac:dyDescent="0.25">
      <c r="C249" s="63" t="s">
        <v>135</v>
      </c>
      <c r="D249" s="63">
        <v>26</v>
      </c>
      <c r="H249" s="63" t="s">
        <v>135</v>
      </c>
      <c r="I249" s="63">
        <v>5</v>
      </c>
      <c r="J249" s="63">
        <v>2</v>
      </c>
      <c r="K249" s="64">
        <v>0.53</v>
      </c>
      <c r="L249" s="64">
        <v>0.43</v>
      </c>
    </row>
    <row r="250" spans="1:12" x14ac:dyDescent="0.25">
      <c r="C250" s="5" t="s">
        <v>189</v>
      </c>
      <c r="D250" s="5">
        <v>42</v>
      </c>
      <c r="H250" s="5" t="s">
        <v>189</v>
      </c>
      <c r="I250" s="5">
        <v>10</v>
      </c>
      <c r="J250" s="5">
        <v>7</v>
      </c>
      <c r="K250" s="49">
        <v>0.44</v>
      </c>
      <c r="L250" s="49">
        <v>0.38</v>
      </c>
    </row>
    <row r="251" spans="1:12" x14ac:dyDescent="0.25">
      <c r="A251" s="7">
        <v>39</v>
      </c>
      <c r="B251" s="67" t="s">
        <v>185</v>
      </c>
      <c r="C251" t="s">
        <v>128</v>
      </c>
      <c r="D251">
        <v>15</v>
      </c>
      <c r="F251" s="7">
        <v>39</v>
      </c>
      <c r="G251" s="67" t="s">
        <v>185</v>
      </c>
      <c r="H251" t="s">
        <v>128</v>
      </c>
      <c r="I251">
        <v>5</v>
      </c>
      <c r="J251">
        <v>4</v>
      </c>
      <c r="K251" s="48">
        <v>0.34</v>
      </c>
      <c r="L251" s="48">
        <v>0.42</v>
      </c>
    </row>
    <row r="252" spans="1:12" x14ac:dyDescent="0.25">
      <c r="C252" s="63" t="s">
        <v>135</v>
      </c>
      <c r="D252" s="63">
        <v>26</v>
      </c>
      <c r="H252" s="63" t="s">
        <v>135</v>
      </c>
      <c r="I252" s="63">
        <v>5</v>
      </c>
      <c r="J252" s="63">
        <v>2</v>
      </c>
      <c r="K252" s="64">
        <v>0.53</v>
      </c>
      <c r="L252" s="64">
        <v>0.43</v>
      </c>
    </row>
    <row r="253" spans="1:12" x14ac:dyDescent="0.25">
      <c r="C253" s="5" t="s">
        <v>189</v>
      </c>
      <c r="D253" s="5">
        <v>41</v>
      </c>
      <c r="H253" s="5" t="s">
        <v>189</v>
      </c>
      <c r="I253" s="5">
        <v>10</v>
      </c>
      <c r="J253" s="5">
        <v>6</v>
      </c>
      <c r="K253" s="49">
        <v>0.43</v>
      </c>
      <c r="L253" s="49">
        <v>0.42</v>
      </c>
    </row>
    <row r="254" spans="1:12" x14ac:dyDescent="0.25">
      <c r="A254" s="7">
        <v>40</v>
      </c>
      <c r="B254" s="67" t="s">
        <v>184</v>
      </c>
      <c r="C254" t="s">
        <v>128</v>
      </c>
      <c r="D254">
        <v>19</v>
      </c>
      <c r="F254" s="7">
        <v>40</v>
      </c>
      <c r="G254" s="67" t="s">
        <v>184</v>
      </c>
      <c r="H254" t="s">
        <v>128</v>
      </c>
      <c r="I254">
        <v>6</v>
      </c>
      <c r="J254">
        <v>5</v>
      </c>
      <c r="K254" s="48">
        <v>0.35</v>
      </c>
      <c r="L254" s="48">
        <v>0.42</v>
      </c>
    </row>
    <row r="255" spans="1:12" x14ac:dyDescent="0.25">
      <c r="C255" s="63" t="s">
        <v>135</v>
      </c>
      <c r="D255" s="63">
        <v>26</v>
      </c>
      <c r="H255" s="63" t="s">
        <v>135</v>
      </c>
      <c r="I255" s="63">
        <v>5</v>
      </c>
      <c r="J255" s="63">
        <v>2</v>
      </c>
      <c r="K255" s="64">
        <v>0.53</v>
      </c>
      <c r="L255" s="64">
        <v>0.43</v>
      </c>
    </row>
    <row r="256" spans="1:12" x14ac:dyDescent="0.25">
      <c r="C256" s="5" t="s">
        <v>189</v>
      </c>
      <c r="D256" s="5">
        <v>45</v>
      </c>
      <c r="H256" s="5" t="s">
        <v>189</v>
      </c>
      <c r="I256" s="5">
        <v>11</v>
      </c>
      <c r="J256" s="5">
        <v>7</v>
      </c>
      <c r="K256" s="49">
        <v>0.43</v>
      </c>
      <c r="L256" s="49">
        <v>0.43</v>
      </c>
    </row>
    <row r="257" spans="1:12" x14ac:dyDescent="0.25">
      <c r="A257" s="7">
        <v>40</v>
      </c>
      <c r="B257" s="67" t="s">
        <v>185</v>
      </c>
      <c r="C257" t="s">
        <v>128</v>
      </c>
      <c r="D257">
        <v>15</v>
      </c>
      <c r="F257" s="7">
        <v>40</v>
      </c>
      <c r="G257" s="67" t="s">
        <v>185</v>
      </c>
      <c r="H257" t="s">
        <v>128</v>
      </c>
      <c r="I257">
        <v>5</v>
      </c>
      <c r="J257">
        <v>4</v>
      </c>
      <c r="K257" s="48">
        <v>0.34</v>
      </c>
      <c r="L257" s="48">
        <v>0.42</v>
      </c>
    </row>
    <row r="258" spans="1:12" x14ac:dyDescent="0.25">
      <c r="C258" s="63" t="s">
        <v>135</v>
      </c>
      <c r="D258" s="63">
        <v>26</v>
      </c>
      <c r="H258" s="63" t="s">
        <v>135</v>
      </c>
      <c r="I258" s="63">
        <v>5</v>
      </c>
      <c r="J258" s="63">
        <v>2</v>
      </c>
      <c r="K258" s="64">
        <v>0.53</v>
      </c>
      <c r="L258" s="64">
        <v>0.43</v>
      </c>
    </row>
    <row r="259" spans="1:12" x14ac:dyDescent="0.25">
      <c r="C259" s="5" t="s">
        <v>189</v>
      </c>
      <c r="D259" s="5">
        <v>41</v>
      </c>
      <c r="H259" s="5" t="s">
        <v>189</v>
      </c>
      <c r="I259" s="5">
        <v>10</v>
      </c>
      <c r="J259" s="5">
        <v>6</v>
      </c>
      <c r="K259" s="49">
        <v>0.43</v>
      </c>
      <c r="L259" s="49">
        <v>0.42</v>
      </c>
    </row>
    <row r="260" spans="1:12" x14ac:dyDescent="0.25">
      <c r="A260" s="7">
        <v>41</v>
      </c>
      <c r="B260" s="67" t="s">
        <v>184</v>
      </c>
      <c r="C260" t="s">
        <v>128</v>
      </c>
      <c r="D260">
        <v>19</v>
      </c>
      <c r="F260" s="7">
        <v>41</v>
      </c>
      <c r="G260" s="67" t="s">
        <v>184</v>
      </c>
      <c r="H260" t="s">
        <v>128</v>
      </c>
      <c r="I260">
        <v>6</v>
      </c>
      <c r="J260">
        <v>5</v>
      </c>
      <c r="K260" s="48">
        <v>0.35</v>
      </c>
      <c r="L260" s="48">
        <v>0.42</v>
      </c>
    </row>
    <row r="261" spans="1:12" x14ac:dyDescent="0.25">
      <c r="C261" s="63" t="s">
        <v>135</v>
      </c>
      <c r="D261" s="63">
        <v>26</v>
      </c>
      <c r="H261" s="63" t="s">
        <v>135</v>
      </c>
      <c r="I261" s="63">
        <v>5</v>
      </c>
      <c r="J261" s="63">
        <v>2</v>
      </c>
      <c r="K261" s="64">
        <v>0.53</v>
      </c>
      <c r="L261" s="64">
        <v>0.43</v>
      </c>
    </row>
    <row r="262" spans="1:12" x14ac:dyDescent="0.25">
      <c r="C262" s="5" t="s">
        <v>189</v>
      </c>
      <c r="D262" s="5">
        <v>45</v>
      </c>
      <c r="H262" s="5" t="s">
        <v>189</v>
      </c>
      <c r="I262" s="5">
        <v>11</v>
      </c>
      <c r="J262" s="5">
        <v>7</v>
      </c>
      <c r="K262" s="49">
        <v>0.43</v>
      </c>
      <c r="L262" s="49">
        <v>0.43</v>
      </c>
    </row>
    <row r="263" spans="1:12" x14ac:dyDescent="0.25">
      <c r="A263" s="7">
        <v>41</v>
      </c>
      <c r="B263" s="67" t="s">
        <v>185</v>
      </c>
      <c r="C263" t="s">
        <v>128</v>
      </c>
      <c r="D263">
        <v>15</v>
      </c>
      <c r="F263" s="7">
        <v>41</v>
      </c>
      <c r="G263" s="67" t="s">
        <v>185</v>
      </c>
      <c r="H263" t="s">
        <v>128</v>
      </c>
      <c r="I263">
        <v>5</v>
      </c>
      <c r="J263">
        <v>4</v>
      </c>
      <c r="K263" s="48">
        <v>0.34</v>
      </c>
      <c r="L263" s="48">
        <v>0.42</v>
      </c>
    </row>
    <row r="264" spans="1:12" x14ac:dyDescent="0.25">
      <c r="C264" s="63" t="s">
        <v>135</v>
      </c>
      <c r="D264" s="63">
        <v>26</v>
      </c>
      <c r="H264" s="63" t="s">
        <v>135</v>
      </c>
      <c r="I264" s="63">
        <v>5</v>
      </c>
      <c r="J264" s="63">
        <v>2</v>
      </c>
      <c r="K264" s="64">
        <v>0.53</v>
      </c>
      <c r="L264" s="64">
        <v>0.43</v>
      </c>
    </row>
    <row r="265" spans="1:12" x14ac:dyDescent="0.25">
      <c r="C265" s="5" t="s">
        <v>189</v>
      </c>
      <c r="D265" s="5">
        <v>41</v>
      </c>
      <c r="H265" s="5" t="s">
        <v>189</v>
      </c>
      <c r="I265" s="5">
        <v>10</v>
      </c>
      <c r="J265" s="5">
        <v>6</v>
      </c>
      <c r="K265" s="49">
        <v>0.43</v>
      </c>
      <c r="L265" s="49">
        <v>0.42</v>
      </c>
    </row>
    <row r="266" spans="1:12" x14ac:dyDescent="0.25">
      <c r="A266" s="68"/>
      <c r="B266" s="68" t="s">
        <v>189</v>
      </c>
      <c r="C266" s="69" t="s">
        <v>128</v>
      </c>
      <c r="D266" s="69">
        <v>1060</v>
      </c>
      <c r="F266" s="68"/>
      <c r="G266" s="69" t="s">
        <v>189</v>
      </c>
      <c r="H266" s="69" t="s">
        <v>128</v>
      </c>
      <c r="I266" s="69">
        <v>294</v>
      </c>
      <c r="J266" s="69">
        <v>283</v>
      </c>
      <c r="K266" s="70">
        <v>0.37</v>
      </c>
      <c r="L266" s="70">
        <v>0.38</v>
      </c>
    </row>
    <row r="267" spans="1:12" x14ac:dyDescent="0.25">
      <c r="A267" s="68"/>
      <c r="B267" s="69"/>
      <c r="C267" s="69" t="s">
        <v>135</v>
      </c>
      <c r="D267" s="69">
        <v>2828</v>
      </c>
      <c r="F267" s="68"/>
      <c r="G267" s="69"/>
      <c r="H267" s="69" t="s">
        <v>135</v>
      </c>
      <c r="I267" s="69">
        <v>440</v>
      </c>
      <c r="J267" s="69">
        <v>207</v>
      </c>
      <c r="K267" s="70">
        <v>0.54</v>
      </c>
      <c r="L267" s="70">
        <v>0.54</v>
      </c>
    </row>
    <row r="268" spans="1:12" x14ac:dyDescent="0.25">
      <c r="A268" s="68"/>
      <c r="B268" s="69"/>
      <c r="C268" s="68" t="s">
        <v>189</v>
      </c>
      <c r="D268" s="68">
        <v>3888</v>
      </c>
      <c r="F268" s="68"/>
      <c r="G268" s="68"/>
      <c r="H268" s="68" t="s">
        <v>189</v>
      </c>
      <c r="I268" s="68">
        <v>734</v>
      </c>
      <c r="J268" s="68">
        <v>490</v>
      </c>
      <c r="K268" s="71">
        <v>0.47000000000000003</v>
      </c>
      <c r="L268" s="71">
        <v>0.45</v>
      </c>
    </row>
  </sheetData>
  <pageMargins left="0.7" right="0.7" top="0.75" bottom="0.75" header="0.3" footer="0.3"/>
  <pageSetup paperSize="0"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A100"/>
  <sheetViews>
    <sheetView zoomScale="85" zoomScaleNormal="85" zoomScaleSheetLayoutView="100" zoomScalePageLayoutView="85" workbookViewId="0">
      <selection sqref="A1:A4"/>
    </sheetView>
  </sheetViews>
  <sheetFormatPr baseColWidth="10" defaultColWidth="10.85546875" defaultRowHeight="15" x14ac:dyDescent="0.25"/>
  <cols>
    <col min="1" max="24" width="10.85546875" style="52" customWidth="1"/>
  </cols>
  <sheetData>
    <row r="1" spans="1:27" ht="14.45" customHeight="1" x14ac:dyDescent="0.25">
      <c r="A1" s="84"/>
      <c r="B1" s="85" t="s">
        <v>100</v>
      </c>
      <c r="C1" s="74"/>
      <c r="D1" s="74"/>
      <c r="E1" s="74"/>
      <c r="F1" s="74"/>
      <c r="G1" s="74"/>
      <c r="H1" s="77">
        <v>45992</v>
      </c>
      <c r="I1" s="84"/>
      <c r="J1" s="85" t="s">
        <v>100</v>
      </c>
      <c r="K1" s="74"/>
      <c r="L1" s="74"/>
      <c r="M1" s="74"/>
      <c r="N1" s="74"/>
      <c r="O1" s="74"/>
      <c r="P1" s="77">
        <v>45992</v>
      </c>
      <c r="Q1" s="84"/>
      <c r="R1" s="85" t="s">
        <v>100</v>
      </c>
      <c r="S1" s="74"/>
      <c r="T1" s="74"/>
      <c r="U1" s="74"/>
      <c r="V1" s="74"/>
      <c r="W1" s="74"/>
      <c r="X1" s="77">
        <v>45992</v>
      </c>
      <c r="Y1" s="25"/>
      <c r="Z1" s="26"/>
      <c r="AA1" s="26"/>
    </row>
    <row r="2" spans="1:27" ht="14.45" customHeight="1" x14ac:dyDescent="0.25">
      <c r="A2" s="74"/>
      <c r="B2" s="74"/>
      <c r="C2" s="74"/>
      <c r="D2" s="74"/>
      <c r="E2" s="74"/>
      <c r="F2" s="74"/>
      <c r="G2" s="74"/>
      <c r="H2" s="77"/>
      <c r="I2" s="74"/>
      <c r="J2" s="74"/>
      <c r="K2" s="74"/>
      <c r="L2" s="74"/>
      <c r="M2" s="74"/>
      <c r="N2" s="74"/>
      <c r="O2" s="74"/>
      <c r="P2" s="77"/>
      <c r="Q2" s="74"/>
      <c r="R2" s="74"/>
      <c r="S2" s="74"/>
      <c r="T2" s="74"/>
      <c r="U2" s="74"/>
      <c r="V2" s="74"/>
      <c r="W2" s="74"/>
      <c r="X2" s="77"/>
      <c r="Y2" s="25"/>
      <c r="Z2" s="26"/>
      <c r="AA2" s="26"/>
    </row>
    <row r="3" spans="1:27" ht="14.45" customHeight="1" x14ac:dyDescent="0.25">
      <c r="A3" s="74"/>
      <c r="B3" s="76" t="s">
        <v>101</v>
      </c>
      <c r="C3" s="74"/>
      <c r="D3" s="74"/>
      <c r="E3" s="74"/>
      <c r="F3" s="74"/>
      <c r="G3" s="74"/>
      <c r="H3" s="77"/>
      <c r="I3" s="74"/>
      <c r="J3" s="76" t="s">
        <v>101</v>
      </c>
      <c r="K3" s="74"/>
      <c r="L3" s="74"/>
      <c r="M3" s="74"/>
      <c r="N3" s="74"/>
      <c r="O3" s="74"/>
      <c r="P3" s="77"/>
      <c r="Q3" s="74"/>
      <c r="R3" s="76" t="s">
        <v>101</v>
      </c>
      <c r="S3" s="74"/>
      <c r="T3" s="74"/>
      <c r="U3" s="74"/>
      <c r="V3" s="74"/>
      <c r="W3" s="74"/>
      <c r="X3" s="77"/>
      <c r="Y3" s="25"/>
      <c r="Z3" s="26"/>
      <c r="AA3" s="26"/>
    </row>
    <row r="4" spans="1:27" ht="14.45" customHeight="1" x14ac:dyDescent="0.25">
      <c r="A4" s="74"/>
      <c r="B4" s="74"/>
      <c r="C4" s="74"/>
      <c r="D4" s="74"/>
      <c r="E4" s="74"/>
      <c r="F4" s="74"/>
      <c r="G4" s="74"/>
      <c r="H4" s="77"/>
      <c r="I4" s="74"/>
      <c r="J4" s="74"/>
      <c r="K4" s="74"/>
      <c r="L4" s="74"/>
      <c r="M4" s="74"/>
      <c r="N4" s="74"/>
      <c r="O4" s="74"/>
      <c r="P4" s="77"/>
      <c r="Q4" s="74"/>
      <c r="R4" s="74"/>
      <c r="S4" s="74"/>
      <c r="T4" s="74"/>
      <c r="U4" s="74"/>
      <c r="V4" s="74"/>
      <c r="W4" s="74"/>
      <c r="X4" s="77"/>
      <c r="Y4" s="25"/>
      <c r="Z4" s="26"/>
      <c r="AA4" s="26"/>
    </row>
    <row r="5" spans="1:27" ht="14.45" customHeight="1" x14ac:dyDescent="0.25">
      <c r="A5" s="78" t="s">
        <v>411</v>
      </c>
      <c r="B5" s="74"/>
      <c r="C5" s="74"/>
      <c r="D5" s="74"/>
      <c r="E5" s="74"/>
      <c r="F5" s="74"/>
      <c r="G5" s="74"/>
      <c r="H5" s="74"/>
      <c r="I5" s="78" t="s">
        <v>411</v>
      </c>
      <c r="J5" s="74"/>
      <c r="K5" s="74"/>
      <c r="L5" s="74"/>
      <c r="M5" s="74"/>
      <c r="N5" s="74"/>
      <c r="O5" s="74"/>
      <c r="P5" s="74"/>
      <c r="Q5" s="78" t="s">
        <v>411</v>
      </c>
      <c r="R5" s="74"/>
      <c r="S5" s="74"/>
      <c r="T5" s="74"/>
      <c r="U5" s="74"/>
      <c r="V5" s="74"/>
      <c r="W5" s="74"/>
      <c r="X5" s="74"/>
      <c r="Y5" s="25"/>
      <c r="Z5" s="26"/>
      <c r="AA5" s="26"/>
    </row>
    <row r="6" spans="1:27" ht="14.45" customHeight="1" x14ac:dyDescent="0.25">
      <c r="A6" s="74"/>
      <c r="B6" s="74"/>
      <c r="C6" s="74"/>
      <c r="D6" s="74"/>
      <c r="E6" s="74"/>
      <c r="F6" s="74"/>
      <c r="G6" s="74"/>
      <c r="H6" s="74"/>
      <c r="I6" s="74"/>
      <c r="J6" s="74"/>
      <c r="K6" s="74"/>
      <c r="L6" s="74"/>
      <c r="M6" s="74"/>
      <c r="N6" s="74"/>
      <c r="O6" s="74"/>
      <c r="P6" s="74"/>
      <c r="Q6" s="74"/>
      <c r="R6" s="74"/>
      <c r="S6" s="74"/>
      <c r="T6" s="74"/>
      <c r="U6" s="74"/>
      <c r="V6" s="74"/>
      <c r="W6" s="74"/>
      <c r="X6" s="74"/>
      <c r="Y6" s="16"/>
      <c r="Z6" s="16"/>
      <c r="AA6" s="16"/>
    </row>
    <row r="7" spans="1:27" ht="14.45" customHeight="1" x14ac:dyDescent="0.25">
      <c r="A7" s="74"/>
      <c r="B7" s="74"/>
      <c r="C7" s="74"/>
      <c r="D7" s="74"/>
      <c r="E7" s="74"/>
      <c r="F7" s="74"/>
      <c r="G7" s="74"/>
      <c r="H7" s="74"/>
      <c r="I7" s="74"/>
      <c r="J7" s="74"/>
      <c r="K7" s="74"/>
      <c r="L7" s="74"/>
      <c r="M7" s="74"/>
      <c r="N7" s="74"/>
      <c r="O7" s="74"/>
      <c r="P7" s="74"/>
      <c r="Q7" s="74"/>
      <c r="R7" s="74"/>
      <c r="S7" s="74"/>
      <c r="T7" s="74"/>
      <c r="U7" s="74"/>
      <c r="V7" s="74"/>
      <c r="W7" s="74"/>
      <c r="X7" s="74"/>
      <c r="Y7" s="16"/>
      <c r="Z7" s="16"/>
      <c r="AA7" s="16"/>
    </row>
    <row r="8" spans="1:27" ht="14.45" customHeight="1" x14ac:dyDescent="0.25">
      <c r="A8" s="74"/>
      <c r="B8" s="74"/>
      <c r="C8" s="74"/>
      <c r="D8" s="74"/>
      <c r="E8" s="74"/>
      <c r="F8" s="74"/>
      <c r="G8" s="74"/>
      <c r="H8" s="74"/>
      <c r="I8" s="74"/>
      <c r="J8" s="74"/>
      <c r="K8" s="74"/>
      <c r="L8" s="74"/>
      <c r="M8" s="74"/>
      <c r="N8" s="74"/>
      <c r="O8" s="74"/>
      <c r="P8" s="74"/>
      <c r="Q8" s="74"/>
      <c r="R8" s="74"/>
      <c r="S8" s="74"/>
      <c r="T8" s="74"/>
      <c r="U8" s="74"/>
      <c r="V8" s="74"/>
      <c r="W8" s="74"/>
      <c r="X8" s="74"/>
      <c r="Y8" s="16"/>
      <c r="Z8" s="16"/>
      <c r="AA8" s="16"/>
    </row>
    <row r="9" spans="1:27" ht="14.45" customHeight="1" x14ac:dyDescent="0.25">
      <c r="A9" s="74"/>
      <c r="B9" s="74"/>
      <c r="C9" s="74"/>
      <c r="D9" s="74"/>
      <c r="E9" s="74"/>
      <c r="F9" s="74"/>
      <c r="G9" s="74"/>
      <c r="H9" s="74"/>
      <c r="I9" s="74"/>
      <c r="J9" s="74"/>
      <c r="K9" s="74"/>
      <c r="L9" s="74"/>
      <c r="M9" s="74"/>
      <c r="N9" s="74"/>
      <c r="O9" s="74"/>
      <c r="P9" s="74"/>
      <c r="Q9" s="74"/>
      <c r="R9" s="74"/>
      <c r="S9" s="74"/>
      <c r="T9" s="74"/>
      <c r="U9" s="74"/>
      <c r="V9" s="74"/>
      <c r="W9" s="74"/>
      <c r="X9" s="74"/>
      <c r="Y9" s="16"/>
      <c r="Z9" s="16"/>
      <c r="AA9" s="16"/>
    </row>
    <row r="10" spans="1:27" ht="14.45" customHeight="1" x14ac:dyDescent="0.25">
      <c r="A10" s="74"/>
      <c r="B10" s="74"/>
      <c r="C10" s="74"/>
      <c r="D10" s="74"/>
      <c r="E10" s="74"/>
      <c r="F10" s="74"/>
      <c r="G10" s="74"/>
      <c r="H10" s="74"/>
      <c r="I10" s="74"/>
      <c r="J10" s="74"/>
      <c r="K10" s="74"/>
      <c r="L10" s="74"/>
      <c r="M10" s="74"/>
      <c r="N10" s="74"/>
      <c r="O10" s="74"/>
      <c r="P10" s="74"/>
      <c r="Q10" s="74"/>
      <c r="R10" s="74"/>
      <c r="S10" s="74"/>
      <c r="T10" s="74"/>
      <c r="U10" s="74"/>
      <c r="V10" s="74"/>
      <c r="W10" s="74"/>
      <c r="X10" s="74"/>
      <c r="Y10" s="16"/>
      <c r="Z10" s="16"/>
      <c r="AA10" s="16"/>
    </row>
    <row r="11" spans="1:27" ht="14.45" customHeight="1" x14ac:dyDescent="0.25">
      <c r="A11" s="88" t="s">
        <v>102</v>
      </c>
      <c r="B11" s="74"/>
      <c r="C11" s="74"/>
      <c r="D11" s="27"/>
      <c r="E11" s="16"/>
      <c r="F11" s="16"/>
      <c r="G11" s="16"/>
      <c r="H11" s="16"/>
      <c r="I11" s="83" t="s">
        <v>103</v>
      </c>
      <c r="J11" s="74"/>
      <c r="K11" s="74"/>
      <c r="L11" s="74"/>
      <c r="M11" s="74"/>
      <c r="N11" s="74"/>
      <c r="O11" s="74"/>
      <c r="P11" s="74"/>
      <c r="Q11" s="83" t="s">
        <v>104</v>
      </c>
      <c r="R11" s="74"/>
      <c r="S11" s="74"/>
      <c r="T11" s="74"/>
      <c r="U11" s="74"/>
      <c r="V11" s="74"/>
      <c r="W11" s="74"/>
      <c r="X11" s="74"/>
      <c r="Y11" s="28"/>
      <c r="Z11" s="28"/>
    </row>
    <row r="12" spans="1:27" ht="14.45" customHeight="1" x14ac:dyDescent="0.25">
      <c r="A12" s="74"/>
      <c r="B12" s="74"/>
      <c r="C12" s="74"/>
      <c r="D12" s="27"/>
      <c r="E12" s="16"/>
      <c r="F12" s="16"/>
      <c r="G12" s="16"/>
      <c r="H12" s="16"/>
      <c r="I12" s="74"/>
      <c r="J12" s="74"/>
      <c r="K12" s="74"/>
      <c r="L12" s="74"/>
      <c r="M12" s="74"/>
      <c r="N12" s="74"/>
      <c r="O12" s="74"/>
      <c r="P12" s="74"/>
      <c r="Q12" s="74"/>
      <c r="R12" s="74"/>
      <c r="S12" s="74"/>
      <c r="T12" s="74"/>
      <c r="U12" s="74"/>
      <c r="V12" s="74"/>
      <c r="W12" s="74"/>
      <c r="X12" s="74"/>
      <c r="Y12" s="28"/>
      <c r="Z12" s="28"/>
    </row>
    <row r="13" spans="1:27" ht="14.45" customHeight="1" x14ac:dyDescent="0.25">
      <c r="A13" s="82" t="s">
        <v>403</v>
      </c>
      <c r="B13" s="82"/>
      <c r="C13" s="82"/>
      <c r="D13" s="27"/>
      <c r="E13" s="18"/>
      <c r="F13" s="18"/>
      <c r="G13" s="18"/>
      <c r="H13" s="18"/>
      <c r="I13" s="86" t="s">
        <v>105</v>
      </c>
      <c r="J13" s="74"/>
      <c r="K13" s="74"/>
      <c r="L13" s="74"/>
      <c r="M13" s="74"/>
      <c r="N13" s="74"/>
      <c r="O13" s="74"/>
      <c r="P13" s="74"/>
    </row>
    <row r="14" spans="1:27" ht="14.45" customHeight="1" x14ac:dyDescent="0.25">
      <c r="A14" s="82"/>
      <c r="B14" s="82"/>
      <c r="C14" s="82"/>
      <c r="D14" s="27"/>
      <c r="E14" s="18"/>
      <c r="F14" s="18"/>
      <c r="G14" s="18"/>
      <c r="H14" s="18"/>
      <c r="I14" s="74"/>
      <c r="J14" s="74"/>
      <c r="K14" s="74"/>
      <c r="L14" s="74"/>
      <c r="M14" s="74"/>
      <c r="N14" s="74"/>
      <c r="O14" s="74"/>
      <c r="P14" s="74"/>
    </row>
    <row r="15" spans="1:27" ht="14.45" customHeight="1" x14ac:dyDescent="0.25">
      <c r="A15" s="82"/>
      <c r="B15" s="82"/>
      <c r="C15" s="82"/>
      <c r="D15" s="27"/>
      <c r="E15" s="18"/>
      <c r="F15" s="18"/>
      <c r="G15" s="18"/>
      <c r="H15" s="18"/>
      <c r="I15" s="74"/>
      <c r="J15" s="74"/>
      <c r="K15" s="74"/>
      <c r="L15" s="74"/>
      <c r="M15" s="74"/>
      <c r="N15" s="74"/>
      <c r="O15" s="74"/>
      <c r="P15" s="74"/>
      <c r="Q15" s="89" t="s">
        <v>409</v>
      </c>
      <c r="R15" s="89"/>
    </row>
    <row r="16" spans="1:27" ht="14.45" customHeight="1" x14ac:dyDescent="0.25">
      <c r="A16" s="82"/>
      <c r="B16" s="82"/>
      <c r="C16" s="82"/>
      <c r="D16" s="27"/>
      <c r="E16" s="18"/>
      <c r="F16" s="18"/>
      <c r="G16" s="18"/>
      <c r="H16" s="18"/>
      <c r="I16" s="80" t="s">
        <v>406</v>
      </c>
      <c r="J16" s="81"/>
      <c r="K16" s="81"/>
      <c r="L16" s="81"/>
      <c r="M16" s="81"/>
      <c r="N16" s="81"/>
      <c r="O16" s="81"/>
      <c r="P16" s="81"/>
      <c r="Q16" s="89"/>
      <c r="R16" s="89"/>
      <c r="S16" s="15"/>
    </row>
    <row r="17" spans="1:21" ht="14.45" customHeight="1" x14ac:dyDescent="0.25">
      <c r="A17" s="82"/>
      <c r="B17" s="82"/>
      <c r="C17" s="82"/>
      <c r="D17" s="27"/>
      <c r="E17" s="18"/>
      <c r="F17" s="18"/>
      <c r="G17" s="18"/>
      <c r="H17" s="18"/>
      <c r="I17" s="81"/>
      <c r="J17" s="81"/>
      <c r="K17" s="81"/>
      <c r="L17" s="81"/>
      <c r="M17" s="81"/>
      <c r="N17" s="81"/>
      <c r="O17" s="81"/>
      <c r="P17" s="81"/>
      <c r="Q17" s="89"/>
      <c r="R17" s="89"/>
      <c r="S17" s="14"/>
      <c r="T17" s="14"/>
      <c r="U17" s="14"/>
    </row>
    <row r="18" spans="1:21" ht="14.45" customHeight="1" x14ac:dyDescent="0.25">
      <c r="A18" s="82"/>
      <c r="B18" s="82"/>
      <c r="C18" s="82"/>
      <c r="D18" s="27"/>
      <c r="E18" s="18"/>
      <c r="F18" s="18"/>
      <c r="G18" s="18"/>
      <c r="H18" s="18"/>
      <c r="I18" s="81"/>
      <c r="J18" s="81"/>
      <c r="K18" s="81"/>
      <c r="L18" s="81"/>
      <c r="M18" s="81"/>
      <c r="N18" s="81"/>
      <c r="O18" s="81"/>
      <c r="P18" s="81"/>
      <c r="Q18" s="89"/>
      <c r="R18" s="89"/>
      <c r="S18" s="14"/>
      <c r="T18" s="14"/>
      <c r="U18" s="14"/>
    </row>
    <row r="19" spans="1:21" ht="14.45" customHeight="1" x14ac:dyDescent="0.25">
      <c r="A19" s="82"/>
      <c r="B19" s="82"/>
      <c r="C19" s="82"/>
      <c r="D19" s="27"/>
      <c r="E19" s="18"/>
      <c r="F19" s="18"/>
      <c r="G19" s="18"/>
      <c r="H19" s="18"/>
      <c r="I19" s="81"/>
      <c r="J19" s="81"/>
      <c r="K19" s="81"/>
      <c r="L19" s="81"/>
      <c r="M19" s="81"/>
      <c r="N19" s="81"/>
      <c r="O19" s="81"/>
      <c r="P19" s="81"/>
      <c r="Q19" s="89"/>
      <c r="R19" s="89"/>
      <c r="S19" s="14"/>
      <c r="T19" s="14"/>
      <c r="U19" s="14"/>
    </row>
    <row r="20" spans="1:21" ht="14.45" customHeight="1" x14ac:dyDescent="0.25">
      <c r="A20" s="83" t="s">
        <v>106</v>
      </c>
      <c r="B20" s="74"/>
      <c r="C20" s="74"/>
      <c r="D20" s="74"/>
      <c r="E20" s="74"/>
      <c r="F20" s="74"/>
      <c r="G20" s="74"/>
      <c r="H20" s="74"/>
      <c r="I20" s="81"/>
      <c r="J20" s="81"/>
      <c r="K20" s="81"/>
      <c r="L20" s="81"/>
      <c r="M20" s="81"/>
      <c r="N20" s="81"/>
      <c r="O20" s="81"/>
      <c r="P20" s="81"/>
      <c r="Q20" s="89"/>
      <c r="R20" s="89"/>
      <c r="S20" s="14"/>
      <c r="T20" s="14"/>
      <c r="U20" s="14"/>
    </row>
    <row r="21" spans="1:21" ht="14.45" customHeight="1" x14ac:dyDescent="0.25">
      <c r="A21" s="74"/>
      <c r="B21" s="74"/>
      <c r="C21" s="74"/>
      <c r="D21" s="74"/>
      <c r="E21" s="74"/>
      <c r="F21" s="74"/>
      <c r="G21" s="74"/>
      <c r="H21" s="74"/>
      <c r="I21" s="46"/>
      <c r="J21" s="46"/>
      <c r="K21" s="46"/>
      <c r="L21" s="46"/>
      <c r="M21" s="46"/>
      <c r="N21" s="46"/>
      <c r="O21" s="46"/>
      <c r="P21" s="46"/>
      <c r="Q21" s="89"/>
      <c r="R21" s="89"/>
      <c r="S21" s="14"/>
      <c r="T21" s="14"/>
      <c r="U21" s="14"/>
    </row>
    <row r="22" spans="1:21" ht="14.45" customHeight="1" x14ac:dyDescent="0.25">
      <c r="I22" s="18"/>
      <c r="K22" s="18"/>
      <c r="N22" s="19"/>
      <c r="O22" s="55"/>
      <c r="Q22" s="89"/>
      <c r="R22" s="89"/>
      <c r="S22" s="14"/>
      <c r="T22" s="14"/>
      <c r="U22" s="14"/>
    </row>
    <row r="23" spans="1:21" ht="14.45" customHeight="1" x14ac:dyDescent="0.25">
      <c r="G23" s="30" t="s">
        <v>107</v>
      </c>
      <c r="H23" s="72">
        <v>0</v>
      </c>
      <c r="I23" s="18"/>
      <c r="K23" s="18"/>
      <c r="N23" s="19"/>
      <c r="O23" s="30" t="s">
        <v>107</v>
      </c>
      <c r="P23" s="72">
        <v>0</v>
      </c>
      <c r="Q23" s="89"/>
      <c r="R23" s="89"/>
      <c r="S23" s="14"/>
      <c r="T23" s="14"/>
      <c r="U23" s="14"/>
    </row>
    <row r="24" spans="1:21" ht="14.45" customHeight="1" x14ac:dyDescent="0.25">
      <c r="A24" s="19"/>
      <c r="B24" s="19"/>
      <c r="C24" s="19"/>
      <c r="D24" s="14"/>
      <c r="E24" s="14"/>
      <c r="F24" s="19"/>
      <c r="G24" s="31" t="s">
        <v>108</v>
      </c>
      <c r="H24" s="72">
        <v>0</v>
      </c>
      <c r="I24" s="19"/>
      <c r="O24" s="31" t="s">
        <v>108</v>
      </c>
      <c r="P24" s="72">
        <v>0</v>
      </c>
      <c r="Q24" s="89"/>
      <c r="R24" s="89"/>
      <c r="S24" s="14"/>
      <c r="T24" s="14"/>
      <c r="U24" s="14"/>
    </row>
    <row r="25" spans="1:21" ht="14.45" customHeight="1" x14ac:dyDescent="0.25">
      <c r="A25" s="19"/>
      <c r="B25" s="19"/>
      <c r="C25" s="19"/>
      <c r="F25" s="19"/>
      <c r="G25" s="31" t="s">
        <v>109</v>
      </c>
      <c r="H25" s="72">
        <v>0</v>
      </c>
      <c r="I25" s="19"/>
      <c r="O25" s="31" t="s">
        <v>109</v>
      </c>
      <c r="P25" s="72">
        <v>0</v>
      </c>
      <c r="Q25" s="89"/>
      <c r="R25" s="89"/>
      <c r="S25" s="14"/>
      <c r="T25" s="14"/>
      <c r="U25" s="14"/>
    </row>
    <row r="26" spans="1:21" ht="14.45" customHeight="1" x14ac:dyDescent="0.25">
      <c r="A26" s="19"/>
      <c r="B26" s="19"/>
      <c r="C26" s="19"/>
      <c r="F26" s="19"/>
      <c r="G26" s="31" t="s">
        <v>110</v>
      </c>
      <c r="H26" s="72">
        <v>0</v>
      </c>
      <c r="I26" s="19"/>
      <c r="O26" s="31" t="s">
        <v>110</v>
      </c>
      <c r="P26" s="72">
        <v>0</v>
      </c>
      <c r="Q26" s="89"/>
      <c r="R26" s="89"/>
      <c r="S26" s="14"/>
      <c r="T26" s="14"/>
      <c r="U26" s="14"/>
    </row>
    <row r="27" spans="1:21" ht="14.45" customHeight="1" x14ac:dyDescent="0.25">
      <c r="A27" s="19"/>
      <c r="B27" s="19"/>
      <c r="C27" s="19"/>
      <c r="D27" s="19"/>
      <c r="E27" s="14"/>
      <c r="F27" s="19"/>
      <c r="G27" s="31" t="s">
        <v>111</v>
      </c>
      <c r="H27" s="72">
        <v>0</v>
      </c>
      <c r="I27" s="19"/>
      <c r="O27" s="31" t="s">
        <v>111</v>
      </c>
      <c r="P27" s="72">
        <v>0</v>
      </c>
      <c r="Q27" s="89"/>
      <c r="R27" s="89"/>
      <c r="S27" s="14"/>
      <c r="T27" s="14"/>
      <c r="U27" s="14"/>
    </row>
    <row r="28" spans="1:21" ht="14.45" customHeight="1" x14ac:dyDescent="0.25">
      <c r="A28" s="19"/>
      <c r="B28" s="19"/>
      <c r="C28" s="19"/>
      <c r="D28" s="19"/>
      <c r="E28" s="14"/>
      <c r="F28" s="19"/>
      <c r="G28" s="31" t="s">
        <v>112</v>
      </c>
      <c r="H28" s="72">
        <v>592</v>
      </c>
      <c r="I28" s="19"/>
      <c r="O28" s="31" t="s">
        <v>112</v>
      </c>
      <c r="P28" s="72">
        <v>347</v>
      </c>
      <c r="Q28" s="89"/>
      <c r="R28" s="89"/>
      <c r="S28" s="14"/>
      <c r="T28" s="14"/>
      <c r="U28" s="14"/>
    </row>
    <row r="29" spans="1:21" ht="14.45" customHeight="1" x14ac:dyDescent="0.25">
      <c r="A29" s="19"/>
      <c r="B29" s="19"/>
      <c r="C29" s="19"/>
      <c r="D29" s="20"/>
      <c r="E29" s="14"/>
      <c r="F29" s="19"/>
      <c r="G29" s="31" t="s">
        <v>113</v>
      </c>
      <c r="H29" s="72">
        <v>75</v>
      </c>
      <c r="I29" s="19"/>
      <c r="K29" s="14"/>
      <c r="L29" s="14"/>
      <c r="M29" s="14"/>
      <c r="N29" s="14"/>
      <c r="O29" s="31" t="s">
        <v>113</v>
      </c>
      <c r="P29" s="72">
        <v>13</v>
      </c>
      <c r="Q29" s="89"/>
      <c r="R29" s="89"/>
      <c r="S29" s="14"/>
      <c r="T29" s="14"/>
      <c r="U29" s="14"/>
    </row>
    <row r="30" spans="1:21" ht="14.45" customHeight="1" x14ac:dyDescent="0.25">
      <c r="A30" s="19"/>
      <c r="B30" s="19"/>
      <c r="C30" s="19"/>
      <c r="D30" s="20"/>
      <c r="E30" s="14"/>
      <c r="F30" s="19"/>
      <c r="G30" s="31" t="s">
        <v>114</v>
      </c>
      <c r="H30" s="72">
        <v>46</v>
      </c>
      <c r="I30" s="19"/>
      <c r="K30" s="14"/>
      <c r="L30" s="14"/>
      <c r="M30" s="14"/>
      <c r="N30" s="14"/>
      <c r="O30" s="31" t="s">
        <v>114</v>
      </c>
      <c r="P30" s="72">
        <v>19</v>
      </c>
      <c r="Q30" s="89" t="s">
        <v>410</v>
      </c>
      <c r="R30" s="90"/>
      <c r="S30" s="14"/>
      <c r="T30" s="14"/>
      <c r="U30" s="14"/>
    </row>
    <row r="31" spans="1:21" ht="14.45" customHeight="1" x14ac:dyDescent="0.25">
      <c r="A31" s="19"/>
      <c r="B31" s="19"/>
      <c r="C31" s="19"/>
      <c r="D31" s="20"/>
      <c r="E31" s="14"/>
      <c r="F31" s="19"/>
      <c r="G31" s="31" t="s">
        <v>115</v>
      </c>
      <c r="H31" s="72">
        <v>6</v>
      </c>
      <c r="I31" s="19"/>
      <c r="K31" s="14"/>
      <c r="L31" s="14"/>
      <c r="M31" s="14"/>
      <c r="N31" s="14"/>
      <c r="O31" s="31" t="s">
        <v>115</v>
      </c>
      <c r="P31" s="72">
        <v>36</v>
      </c>
      <c r="Q31" s="90"/>
      <c r="R31" s="90"/>
      <c r="S31" s="14"/>
      <c r="T31" s="14"/>
      <c r="U31" s="14"/>
    </row>
    <row r="32" spans="1:21" ht="14.45" customHeight="1" x14ac:dyDescent="0.25">
      <c r="A32" s="19"/>
      <c r="B32" s="19"/>
      <c r="C32" s="19"/>
      <c r="D32" s="20"/>
      <c r="E32" s="14"/>
      <c r="F32" s="19"/>
      <c r="G32" s="31" t="s">
        <v>116</v>
      </c>
      <c r="H32" s="72">
        <v>15</v>
      </c>
      <c r="I32" s="19"/>
      <c r="K32" s="14"/>
      <c r="L32" s="14"/>
      <c r="M32" s="14"/>
      <c r="N32" s="14"/>
      <c r="O32" s="31" t="s">
        <v>116</v>
      </c>
      <c r="P32" s="72">
        <v>73</v>
      </c>
      <c r="Q32" s="90"/>
      <c r="R32" s="90"/>
      <c r="S32" s="14"/>
      <c r="T32" s="14"/>
      <c r="U32" s="14"/>
    </row>
    <row r="33" spans="1:27" ht="14.45" customHeight="1" x14ac:dyDescent="0.25">
      <c r="A33" s="19"/>
      <c r="B33" s="19"/>
      <c r="C33" s="19"/>
      <c r="D33" s="19"/>
      <c r="E33" s="19"/>
      <c r="F33" s="19"/>
      <c r="G33" s="17"/>
      <c r="H33" s="17"/>
      <c r="I33" s="19"/>
      <c r="K33" s="14"/>
      <c r="L33" s="14"/>
      <c r="M33" s="14"/>
      <c r="N33" s="14"/>
      <c r="O33" s="19"/>
      <c r="P33" s="19"/>
      <c r="Q33" s="90"/>
      <c r="R33" s="90"/>
      <c r="S33" s="14"/>
      <c r="T33" s="14"/>
      <c r="U33" s="14"/>
    </row>
    <row r="34" spans="1:27" ht="14.45" customHeight="1" x14ac:dyDescent="0.25">
      <c r="A34" s="79" t="s">
        <v>404</v>
      </c>
      <c r="B34" s="79"/>
      <c r="C34" s="79"/>
      <c r="D34" s="79"/>
      <c r="E34" s="79"/>
      <c r="F34" s="79" t="s">
        <v>405</v>
      </c>
      <c r="G34" s="79"/>
      <c r="H34" s="79"/>
      <c r="I34" s="79" t="s">
        <v>407</v>
      </c>
      <c r="J34" s="79"/>
      <c r="K34" s="79"/>
      <c r="L34" s="79"/>
      <c r="M34" s="79"/>
      <c r="N34" s="79" t="s">
        <v>408</v>
      </c>
      <c r="O34" s="79"/>
      <c r="P34" s="79"/>
      <c r="Q34" s="90"/>
      <c r="R34" s="90"/>
      <c r="S34" s="14"/>
      <c r="T34" s="14"/>
      <c r="U34" s="14"/>
    </row>
    <row r="35" spans="1:27" ht="14.45" customHeight="1" x14ac:dyDescent="0.25">
      <c r="A35" s="79"/>
      <c r="B35" s="79"/>
      <c r="C35" s="79"/>
      <c r="D35" s="79"/>
      <c r="E35" s="79"/>
      <c r="F35" s="79"/>
      <c r="G35" s="79"/>
      <c r="H35" s="79"/>
      <c r="I35" s="79"/>
      <c r="J35" s="79"/>
      <c r="K35" s="79"/>
      <c r="L35" s="79"/>
      <c r="M35" s="79"/>
      <c r="N35" s="79"/>
      <c r="O35" s="79"/>
      <c r="P35" s="79"/>
      <c r="Q35" s="90"/>
      <c r="R35" s="90"/>
      <c r="S35" s="14"/>
      <c r="T35" s="14"/>
      <c r="U35" s="14"/>
    </row>
    <row r="36" spans="1:27" ht="14.45" customHeight="1" x14ac:dyDescent="0.25">
      <c r="A36" s="79"/>
      <c r="B36" s="79"/>
      <c r="C36" s="79"/>
      <c r="D36" s="79"/>
      <c r="E36" s="79"/>
      <c r="F36" s="79"/>
      <c r="G36" s="79"/>
      <c r="H36" s="79"/>
      <c r="I36" s="79"/>
      <c r="J36" s="79"/>
      <c r="K36" s="79"/>
      <c r="L36" s="79"/>
      <c r="M36" s="79"/>
      <c r="N36" s="79"/>
      <c r="O36" s="79"/>
      <c r="P36" s="79"/>
      <c r="Q36" s="90"/>
      <c r="R36" s="90"/>
      <c r="S36" s="32"/>
      <c r="T36" s="14"/>
      <c r="U36" s="14"/>
    </row>
    <row r="37" spans="1:27" ht="14.45" customHeight="1" x14ac:dyDescent="0.25">
      <c r="A37" s="19"/>
      <c r="B37" s="19"/>
      <c r="C37" s="20"/>
      <c r="D37" s="20"/>
      <c r="E37" s="14"/>
      <c r="F37" s="14"/>
      <c r="G37" s="14"/>
      <c r="H37" s="14"/>
      <c r="I37" s="18"/>
      <c r="K37" s="14"/>
      <c r="L37" s="14"/>
      <c r="M37" s="14"/>
      <c r="N37" s="14"/>
      <c r="Q37" s="90"/>
      <c r="R37" s="90"/>
    </row>
    <row r="38" spans="1:27" ht="14.45" customHeight="1" x14ac:dyDescent="0.25">
      <c r="A38" s="19"/>
      <c r="B38" s="19"/>
      <c r="C38" s="20"/>
      <c r="D38" s="20"/>
      <c r="E38" s="14"/>
      <c r="F38" s="14"/>
      <c r="G38" s="14"/>
      <c r="H38" s="14"/>
      <c r="I38" s="18"/>
      <c r="K38" s="14"/>
      <c r="L38" s="14"/>
      <c r="M38" s="14"/>
      <c r="N38" s="14"/>
    </row>
    <row r="39" spans="1:27" ht="14.45" customHeight="1" x14ac:dyDescent="0.25">
      <c r="A39" s="19"/>
      <c r="B39" s="19"/>
      <c r="I39" s="22"/>
      <c r="J39" s="22"/>
      <c r="K39" s="22"/>
      <c r="L39" s="22"/>
      <c r="M39" s="22"/>
      <c r="N39" s="22"/>
      <c r="O39" s="22"/>
      <c r="P39" s="22"/>
      <c r="Q39" s="22"/>
      <c r="R39" s="22"/>
    </row>
    <row r="40" spans="1:27" ht="14.45" customHeight="1" x14ac:dyDescent="0.25">
      <c r="A40" s="19"/>
      <c r="B40" s="19"/>
      <c r="I40" s="21"/>
      <c r="J40" s="21"/>
      <c r="K40" s="21"/>
      <c r="L40" s="21"/>
      <c r="M40" s="21"/>
      <c r="N40" s="21"/>
      <c r="O40" s="21"/>
      <c r="P40" s="21"/>
      <c r="Q40" s="21"/>
      <c r="R40" s="21"/>
    </row>
    <row r="41" spans="1:27" ht="14.45" customHeight="1" x14ac:dyDescent="0.25">
      <c r="A41" s="19"/>
      <c r="B41" s="19"/>
      <c r="C41" s="21"/>
      <c r="D41" s="21"/>
      <c r="E41" s="21"/>
      <c r="F41" s="21"/>
      <c r="G41" s="21"/>
      <c r="H41" s="21"/>
      <c r="I41" s="21"/>
      <c r="J41" s="21"/>
      <c r="K41" s="21"/>
      <c r="L41" s="21"/>
      <c r="M41" s="21"/>
      <c r="N41" s="21"/>
      <c r="O41" s="21"/>
      <c r="P41" s="21"/>
      <c r="Q41" s="87" t="s">
        <v>412</v>
      </c>
      <c r="R41" s="87"/>
      <c r="S41" s="87"/>
      <c r="T41" s="87"/>
      <c r="U41" s="87"/>
      <c r="V41" s="87"/>
      <c r="W41" s="87"/>
      <c r="X41" s="87"/>
    </row>
    <row r="42" spans="1:27" ht="14.45" customHeight="1" x14ac:dyDescent="0.25">
      <c r="A42" s="19"/>
      <c r="B42" s="19"/>
      <c r="Q42" s="87"/>
      <c r="R42" s="87"/>
      <c r="S42" s="87"/>
      <c r="T42" s="87"/>
      <c r="U42" s="87"/>
      <c r="V42" s="87"/>
      <c r="W42" s="87"/>
      <c r="X42" s="87"/>
    </row>
    <row r="43" spans="1:27" ht="14.45" customHeight="1" x14ac:dyDescent="0.25">
      <c r="A43" s="19"/>
      <c r="B43" s="19"/>
      <c r="Q43" s="87"/>
      <c r="R43" s="87"/>
      <c r="S43" s="87"/>
      <c r="T43" s="87"/>
      <c r="U43" s="87"/>
      <c r="V43" s="87"/>
      <c r="W43" s="87"/>
      <c r="X43" s="87"/>
      <c r="Y43" s="29"/>
      <c r="Z43" s="29"/>
      <c r="AA43" s="29"/>
    </row>
    <row r="44" spans="1:27" ht="14.45" customHeight="1" x14ac:dyDescent="0.25">
      <c r="A44" s="19"/>
      <c r="B44" s="19"/>
      <c r="L44" s="22"/>
      <c r="M44" s="22"/>
      <c r="N44" s="22"/>
      <c r="O44" s="22"/>
      <c r="P44" s="22"/>
      <c r="Q44" s="87"/>
      <c r="R44" s="87"/>
      <c r="S44" s="87"/>
      <c r="T44" s="87"/>
      <c r="U44" s="87"/>
      <c r="V44" s="87"/>
      <c r="W44" s="87"/>
      <c r="X44" s="87"/>
      <c r="Y44" s="29"/>
      <c r="Z44" s="29"/>
      <c r="AA44" s="29"/>
    </row>
    <row r="45" spans="1:27" ht="14.45" customHeight="1" x14ac:dyDescent="0.25">
      <c r="L45" s="14"/>
      <c r="M45" s="14"/>
      <c r="N45" s="14"/>
      <c r="O45" s="14"/>
      <c r="P45" s="14"/>
      <c r="Q45" s="87"/>
      <c r="R45" s="87"/>
      <c r="S45" s="87"/>
      <c r="T45" s="87"/>
      <c r="U45" s="87"/>
      <c r="V45" s="87"/>
      <c r="W45" s="87"/>
      <c r="X45" s="87"/>
      <c r="Y45" s="29"/>
      <c r="Z45" s="29"/>
      <c r="AA45" s="29"/>
    </row>
    <row r="46" spans="1:27" ht="14.45" customHeight="1" x14ac:dyDescent="0.25">
      <c r="J46" s="13"/>
      <c r="K46" s="13"/>
      <c r="L46" s="14"/>
      <c r="M46" s="14"/>
      <c r="N46" s="14"/>
      <c r="O46" s="14"/>
      <c r="P46" s="14"/>
      <c r="Q46" s="87"/>
      <c r="R46" s="87"/>
      <c r="S46" s="87"/>
      <c r="T46" s="87"/>
      <c r="U46" s="87"/>
      <c r="V46" s="87"/>
      <c r="W46" s="87"/>
      <c r="X46" s="87"/>
      <c r="Y46" s="29"/>
      <c r="Z46" s="29"/>
      <c r="AA46" s="29"/>
    </row>
    <row r="47" spans="1:27" ht="14.45" customHeight="1" x14ac:dyDescent="0.25">
      <c r="C47" s="13"/>
      <c r="D47" s="13"/>
      <c r="E47" s="13"/>
      <c r="F47" s="13"/>
      <c r="G47" s="13"/>
      <c r="H47" s="13"/>
      <c r="I47" s="13"/>
      <c r="J47" s="13"/>
      <c r="K47" s="13"/>
      <c r="L47" s="13"/>
      <c r="M47" s="13"/>
      <c r="N47" s="13"/>
      <c r="Q47" s="87"/>
      <c r="R47" s="87"/>
      <c r="S47" s="87"/>
      <c r="T47" s="87"/>
      <c r="U47" s="87"/>
      <c r="V47" s="87"/>
      <c r="W47" s="87"/>
      <c r="X47" s="87"/>
      <c r="Y47" s="29"/>
      <c r="Z47" s="29"/>
      <c r="AA47" s="29"/>
    </row>
    <row r="48" spans="1:27" ht="14.45" customHeight="1" x14ac:dyDescent="0.25">
      <c r="C48" s="13"/>
      <c r="D48" s="13"/>
      <c r="E48" s="13"/>
      <c r="F48" s="13"/>
      <c r="G48" s="13"/>
      <c r="H48" s="13"/>
      <c r="I48" s="13"/>
      <c r="J48" s="13"/>
      <c r="K48" s="13"/>
      <c r="L48" s="13"/>
      <c r="M48" s="13"/>
      <c r="N48" s="13"/>
      <c r="Q48" s="87"/>
      <c r="R48" s="87"/>
      <c r="S48" s="87"/>
      <c r="T48" s="87"/>
      <c r="U48" s="87"/>
      <c r="V48" s="87"/>
      <c r="W48" s="87"/>
      <c r="X48" s="87"/>
      <c r="Y48" s="29"/>
      <c r="Z48" s="29"/>
      <c r="AA48" s="29"/>
    </row>
    <row r="49" spans="3:27" ht="14.45" customHeight="1" x14ac:dyDescent="0.25">
      <c r="C49" s="13"/>
      <c r="D49" s="13"/>
      <c r="E49" s="13"/>
      <c r="F49" s="13"/>
      <c r="G49" s="13"/>
      <c r="H49" s="13"/>
      <c r="I49" s="13"/>
      <c r="J49" s="13"/>
      <c r="K49" s="13"/>
      <c r="L49" s="13"/>
      <c r="M49" s="13"/>
      <c r="N49" s="13"/>
      <c r="Q49" s="87"/>
      <c r="R49" s="87"/>
      <c r="S49" s="87"/>
      <c r="T49" s="87"/>
      <c r="U49" s="87"/>
      <c r="V49" s="87"/>
      <c r="W49" s="87"/>
      <c r="X49" s="87"/>
      <c r="Y49" s="29"/>
      <c r="Z49" s="29"/>
      <c r="AA49" s="29"/>
    </row>
    <row r="50" spans="3:27" ht="14.45" customHeight="1" x14ac:dyDescent="0.25">
      <c r="C50" s="13"/>
      <c r="D50" s="13"/>
      <c r="E50" s="13"/>
      <c r="F50" s="13"/>
      <c r="G50" s="13"/>
      <c r="H50" s="13"/>
      <c r="S50" s="29"/>
      <c r="T50" s="29"/>
      <c r="U50" s="29"/>
      <c r="V50" s="29"/>
      <c r="W50" s="29"/>
      <c r="X50" s="29"/>
      <c r="Y50" s="29"/>
      <c r="Z50" s="29"/>
      <c r="AA50" s="29"/>
    </row>
    <row r="51" spans="3:27" x14ac:dyDescent="0.25">
      <c r="S51" s="29"/>
      <c r="T51" s="29"/>
      <c r="U51" s="29"/>
      <c r="V51" s="29"/>
      <c r="W51" s="29"/>
      <c r="X51" s="29"/>
      <c r="Y51" s="29"/>
      <c r="Z51" s="29"/>
      <c r="AA51" s="29"/>
    </row>
    <row r="52" spans="3:27" x14ac:dyDescent="0.25">
      <c r="S52" s="29"/>
      <c r="T52" s="29"/>
      <c r="U52" s="29"/>
      <c r="V52" s="29"/>
      <c r="W52" s="29"/>
      <c r="X52" s="29"/>
      <c r="Y52" s="29"/>
      <c r="Z52" s="29"/>
      <c r="AA52" s="29"/>
    </row>
    <row r="53" spans="3:27" x14ac:dyDescent="0.25">
      <c r="S53" s="29"/>
      <c r="T53" s="29"/>
      <c r="U53" s="29"/>
      <c r="V53" s="29"/>
      <c r="W53" s="29"/>
      <c r="X53" s="29"/>
      <c r="Y53" s="29"/>
      <c r="Z53" s="29"/>
      <c r="AA53" s="29"/>
    </row>
    <row r="56" spans="3:27" x14ac:dyDescent="0.25">
      <c r="M56" s="52">
        <v>10</v>
      </c>
    </row>
    <row r="73" spans="2:19" ht="18.600000000000001" customHeight="1" x14ac:dyDescent="0.25">
      <c r="B73" s="13"/>
      <c r="C73" s="13"/>
      <c r="D73" s="13"/>
      <c r="E73" s="13"/>
      <c r="F73" s="13"/>
      <c r="G73" s="13"/>
      <c r="N73" s="13"/>
      <c r="O73" s="14"/>
      <c r="P73" s="14"/>
      <c r="Q73" s="14"/>
      <c r="R73" s="14"/>
      <c r="S73" s="14"/>
    </row>
    <row r="74" spans="2:19" ht="14.45" customHeight="1" x14ac:dyDescent="0.25">
      <c r="B74" s="13"/>
      <c r="C74" s="13"/>
      <c r="D74" s="13"/>
      <c r="E74" s="13"/>
      <c r="F74" s="13"/>
      <c r="G74" s="13"/>
      <c r="N74" s="14"/>
      <c r="O74" s="14"/>
      <c r="P74" s="14"/>
      <c r="Q74" s="14"/>
      <c r="R74" s="14"/>
      <c r="S74" s="14"/>
    </row>
    <row r="75" spans="2:19" ht="14.45" customHeight="1" x14ac:dyDescent="0.25">
      <c r="B75" s="13"/>
      <c r="C75" s="13"/>
      <c r="D75" s="13"/>
      <c r="E75" s="13"/>
      <c r="F75" s="13"/>
      <c r="G75" s="13"/>
      <c r="N75" s="14"/>
      <c r="O75" s="14"/>
      <c r="P75" s="14"/>
      <c r="Q75" s="14"/>
      <c r="R75" s="14"/>
      <c r="S75" s="14"/>
    </row>
    <row r="76" spans="2:19" ht="14.45" customHeight="1" x14ac:dyDescent="0.25">
      <c r="B76" s="13"/>
      <c r="C76" s="13"/>
      <c r="D76" s="13"/>
      <c r="E76" s="13"/>
      <c r="F76" s="13"/>
      <c r="G76" s="13"/>
      <c r="N76" s="14"/>
      <c r="O76" s="14"/>
      <c r="P76" s="14"/>
      <c r="Q76" s="14"/>
      <c r="R76" s="14"/>
      <c r="S76" s="14"/>
    </row>
    <row r="77" spans="2:19" ht="14.45" customHeight="1" x14ac:dyDescent="0.25">
      <c r="B77" s="13"/>
      <c r="C77" s="13"/>
      <c r="D77" s="13"/>
      <c r="E77" s="13"/>
      <c r="F77" s="13"/>
      <c r="G77" s="13"/>
      <c r="N77" s="14"/>
      <c r="O77" s="14"/>
      <c r="P77" s="14"/>
      <c r="Q77" s="14"/>
      <c r="R77" s="14"/>
      <c r="S77" s="14"/>
    </row>
    <row r="78" spans="2:19" ht="14.45" customHeight="1" x14ac:dyDescent="0.25">
      <c r="B78" s="13"/>
      <c r="C78" s="13"/>
      <c r="D78" s="13"/>
      <c r="E78" s="13"/>
      <c r="F78" s="13"/>
      <c r="G78" s="13"/>
      <c r="I78" s="23"/>
      <c r="J78" s="24"/>
      <c r="K78" s="24"/>
      <c r="L78" s="24"/>
      <c r="N78" s="14"/>
      <c r="O78" s="14"/>
      <c r="P78" s="14"/>
      <c r="Q78" s="14"/>
      <c r="R78" s="14"/>
      <c r="S78" s="14"/>
    </row>
    <row r="79" spans="2:19" ht="14.45" customHeight="1" x14ac:dyDescent="0.25">
      <c r="B79" s="13"/>
      <c r="C79" s="13"/>
      <c r="D79" s="13"/>
      <c r="E79" s="13"/>
      <c r="F79" s="13"/>
      <c r="G79" s="13"/>
      <c r="I79" s="24"/>
      <c r="J79" s="24"/>
      <c r="K79" s="24"/>
      <c r="L79" s="24"/>
      <c r="N79" s="14"/>
      <c r="O79" s="14"/>
      <c r="P79" s="14"/>
      <c r="Q79" s="14"/>
      <c r="R79" s="14"/>
      <c r="S79" s="14"/>
    </row>
    <row r="80" spans="2:19" ht="14.45" customHeight="1" x14ac:dyDescent="0.25">
      <c r="B80" s="13"/>
      <c r="C80" s="13"/>
      <c r="D80" s="13"/>
      <c r="E80" s="13"/>
      <c r="F80" s="13"/>
      <c r="G80" s="13"/>
      <c r="I80" s="24"/>
      <c r="J80" s="24"/>
      <c r="K80" s="24"/>
      <c r="L80" s="24"/>
      <c r="N80" s="14"/>
      <c r="O80" s="14"/>
      <c r="P80" s="14"/>
      <c r="Q80" s="14"/>
      <c r="R80" s="14"/>
      <c r="S80" s="14"/>
    </row>
    <row r="81" spans="2:20" ht="14.45" customHeight="1" x14ac:dyDescent="0.25">
      <c r="B81" s="13"/>
      <c r="C81" s="13"/>
      <c r="D81" s="13"/>
      <c r="E81" s="13"/>
      <c r="F81" s="13"/>
      <c r="G81" s="13"/>
      <c r="I81" s="24"/>
      <c r="J81" s="24"/>
      <c r="K81" s="24"/>
      <c r="L81" s="24"/>
      <c r="N81" s="14"/>
      <c r="O81" s="14"/>
      <c r="P81" s="14"/>
      <c r="Q81" s="14"/>
      <c r="R81" s="14"/>
      <c r="S81" s="14"/>
    </row>
    <row r="82" spans="2:20" ht="14.45" customHeight="1" x14ac:dyDescent="0.25">
      <c r="B82" s="13"/>
      <c r="C82" s="13"/>
      <c r="D82" s="13"/>
      <c r="E82" s="13"/>
      <c r="F82" s="13"/>
      <c r="G82" s="13"/>
      <c r="I82" s="24"/>
      <c r="J82" s="24"/>
      <c r="K82" s="24"/>
      <c r="L82" s="24"/>
      <c r="N82" s="14"/>
      <c r="O82" s="14"/>
      <c r="P82" s="14"/>
      <c r="Q82" s="14"/>
      <c r="R82" s="14"/>
      <c r="S82" s="14"/>
    </row>
    <row r="83" spans="2:20" ht="14.45" customHeight="1" x14ac:dyDescent="0.25">
      <c r="B83" s="13"/>
      <c r="C83" s="13"/>
      <c r="D83" s="13"/>
      <c r="E83" s="13"/>
      <c r="F83" s="13"/>
      <c r="G83" s="13"/>
      <c r="I83" s="24"/>
      <c r="J83" s="24"/>
      <c r="K83" s="24"/>
      <c r="L83" s="24"/>
      <c r="N83" s="14"/>
      <c r="O83" s="14"/>
      <c r="P83" s="14"/>
      <c r="Q83" s="14"/>
      <c r="R83" s="14"/>
      <c r="S83" s="14"/>
    </row>
    <row r="84" spans="2:20" ht="14.45" customHeight="1" x14ac:dyDescent="0.25">
      <c r="B84" s="13"/>
      <c r="C84" s="13"/>
      <c r="D84" s="13"/>
      <c r="E84" s="13"/>
      <c r="F84" s="13"/>
      <c r="G84" s="13"/>
      <c r="I84" s="24"/>
      <c r="J84" s="24"/>
      <c r="K84" s="24"/>
      <c r="L84" s="24"/>
      <c r="N84" s="14"/>
      <c r="O84" s="14"/>
      <c r="P84" s="14"/>
      <c r="Q84" s="14"/>
      <c r="R84" s="14"/>
      <c r="S84" s="14"/>
    </row>
    <row r="85" spans="2:20" ht="14.45" customHeight="1" x14ac:dyDescent="0.25">
      <c r="B85" s="13"/>
      <c r="C85" s="13"/>
      <c r="D85" s="13"/>
      <c r="E85" s="13"/>
      <c r="F85" s="13"/>
      <c r="G85" s="13"/>
      <c r="I85" s="24"/>
      <c r="J85" s="24"/>
      <c r="K85" s="24"/>
      <c r="L85" s="24"/>
      <c r="N85" s="14"/>
      <c r="O85" s="14"/>
      <c r="P85" s="14"/>
      <c r="Q85" s="14"/>
      <c r="R85" s="14"/>
      <c r="S85" s="14"/>
    </row>
    <row r="86" spans="2:20" ht="14.45" customHeight="1" x14ac:dyDescent="0.25">
      <c r="B86" s="13"/>
      <c r="C86" s="13"/>
      <c r="D86" s="13"/>
      <c r="E86" s="13"/>
      <c r="F86" s="13"/>
      <c r="G86" s="13"/>
      <c r="I86" s="24"/>
      <c r="J86" s="24"/>
      <c r="K86" s="24"/>
      <c r="L86" s="24"/>
      <c r="N86" s="14"/>
      <c r="O86" s="14"/>
      <c r="P86" s="14"/>
      <c r="Q86" s="14"/>
      <c r="R86" s="14"/>
      <c r="S86" s="14"/>
    </row>
    <row r="87" spans="2:20" ht="14.45" customHeight="1" x14ac:dyDescent="0.25">
      <c r="B87" s="13"/>
      <c r="C87" s="13"/>
      <c r="D87" s="13"/>
      <c r="E87" s="13"/>
      <c r="F87" s="13"/>
      <c r="G87" s="13"/>
      <c r="I87" s="24"/>
      <c r="J87" s="24"/>
      <c r="K87" s="24"/>
      <c r="L87" s="24"/>
      <c r="N87" s="13"/>
      <c r="O87" s="13"/>
      <c r="P87" s="13"/>
      <c r="Q87" s="13"/>
      <c r="R87" s="13"/>
      <c r="S87" s="13"/>
    </row>
    <row r="88" spans="2:20" ht="14.45" customHeight="1" x14ac:dyDescent="0.25">
      <c r="B88" s="13"/>
      <c r="C88" s="13"/>
      <c r="D88" s="13"/>
      <c r="E88" s="13"/>
      <c r="F88" s="13"/>
      <c r="G88" s="13"/>
      <c r="I88" s="24"/>
      <c r="J88" s="24"/>
      <c r="K88" s="24"/>
      <c r="L88" s="24"/>
      <c r="N88" s="13"/>
      <c r="O88" s="13"/>
      <c r="P88" s="13"/>
      <c r="Q88" s="13"/>
      <c r="R88" s="13"/>
      <c r="S88" s="13"/>
    </row>
    <row r="89" spans="2:20" ht="14.45" customHeight="1" x14ac:dyDescent="0.25">
      <c r="B89" s="13"/>
      <c r="C89" s="13"/>
      <c r="D89" s="13"/>
      <c r="E89" s="13"/>
      <c r="F89" s="13"/>
      <c r="G89" s="13"/>
      <c r="I89" s="24"/>
      <c r="J89" s="24"/>
      <c r="K89" s="24"/>
      <c r="L89" s="24"/>
      <c r="N89" s="13"/>
      <c r="O89" s="13"/>
      <c r="P89" s="13"/>
      <c r="Q89" s="13"/>
      <c r="R89" s="13"/>
      <c r="S89" s="13"/>
    </row>
    <row r="90" spans="2:20" ht="14.45" customHeight="1" x14ac:dyDescent="0.25">
      <c r="I90" s="24"/>
      <c r="J90" s="24"/>
      <c r="K90" s="24"/>
      <c r="L90" s="24"/>
      <c r="M90" s="22"/>
      <c r="N90" s="22"/>
      <c r="O90" s="22"/>
      <c r="P90" s="22"/>
      <c r="Q90" s="22"/>
      <c r="R90" s="22"/>
      <c r="S90" s="22"/>
      <c r="T90" s="22"/>
    </row>
    <row r="91" spans="2:20" ht="14.45" customHeight="1" x14ac:dyDescent="0.25">
      <c r="I91" s="24"/>
      <c r="J91" s="24"/>
      <c r="K91" s="24"/>
      <c r="L91" s="24"/>
      <c r="M91" s="14"/>
      <c r="N91" s="14"/>
      <c r="O91" s="14"/>
      <c r="P91" s="14"/>
      <c r="Q91" s="14"/>
      <c r="R91" s="14"/>
      <c r="S91" s="14"/>
      <c r="T91" s="14"/>
    </row>
    <row r="92" spans="2:20" ht="14.45" customHeight="1" x14ac:dyDescent="0.25">
      <c r="I92" s="24"/>
      <c r="J92" s="24"/>
      <c r="K92" s="24"/>
      <c r="L92" s="24"/>
      <c r="M92" s="14"/>
      <c r="N92" s="14"/>
      <c r="O92" s="14"/>
      <c r="P92" s="14"/>
      <c r="Q92" s="14"/>
      <c r="R92" s="14"/>
      <c r="S92" s="14"/>
      <c r="T92" s="14"/>
    </row>
    <row r="93" spans="2:20" ht="14.45" customHeight="1" x14ac:dyDescent="0.25">
      <c r="B93" s="13"/>
      <c r="D93" s="13"/>
      <c r="E93" s="13"/>
      <c r="F93" s="13"/>
      <c r="G93" s="13"/>
      <c r="I93" s="24"/>
      <c r="J93" s="24"/>
      <c r="K93" s="24"/>
      <c r="L93" s="24"/>
      <c r="N93" s="13"/>
      <c r="O93" s="13"/>
      <c r="P93" s="13"/>
      <c r="Q93" s="13"/>
      <c r="R93" s="13"/>
      <c r="S93" s="13"/>
    </row>
    <row r="94" spans="2:20" ht="14.45" customHeight="1" x14ac:dyDescent="0.25">
      <c r="B94" s="13"/>
      <c r="D94" s="13"/>
      <c r="E94" s="13"/>
      <c r="F94" s="13"/>
      <c r="G94" s="13"/>
      <c r="N94" s="13"/>
      <c r="O94" s="13"/>
      <c r="P94" s="13"/>
      <c r="Q94" s="13"/>
      <c r="R94" s="13"/>
      <c r="S94" s="13"/>
    </row>
    <row r="95" spans="2:20" ht="14.45" customHeight="1" x14ac:dyDescent="0.25">
      <c r="G95" s="13"/>
      <c r="H95" s="13"/>
      <c r="I95" s="13"/>
      <c r="J95" s="13"/>
      <c r="K95" s="13"/>
      <c r="L95" s="13"/>
      <c r="M95" s="13"/>
      <c r="N95" s="13"/>
    </row>
    <row r="96" spans="2:20" ht="14.45" customHeight="1" x14ac:dyDescent="0.25">
      <c r="G96" s="13"/>
      <c r="H96" s="13"/>
      <c r="I96" s="13"/>
      <c r="J96" s="13"/>
      <c r="K96" s="13"/>
      <c r="L96" s="13"/>
      <c r="M96" s="13"/>
      <c r="N96" s="13"/>
    </row>
    <row r="97" spans="7:14" ht="14.45" customHeight="1" x14ac:dyDescent="0.25">
      <c r="G97" s="13"/>
      <c r="H97" s="13"/>
      <c r="I97" s="13"/>
      <c r="J97" s="13"/>
      <c r="K97" s="13"/>
      <c r="L97" s="13"/>
      <c r="M97" s="13"/>
      <c r="N97" s="13"/>
    </row>
    <row r="98" spans="7:14" ht="14.45" customHeight="1" x14ac:dyDescent="0.25">
      <c r="G98" s="13"/>
      <c r="H98" s="13"/>
      <c r="I98" s="13"/>
      <c r="J98" s="13"/>
      <c r="K98" s="13"/>
      <c r="L98" s="13"/>
      <c r="M98" s="13"/>
      <c r="N98" s="13"/>
    </row>
    <row r="99" spans="7:14" ht="14.45" customHeight="1" x14ac:dyDescent="0.25">
      <c r="G99" s="13"/>
      <c r="H99" s="13"/>
      <c r="I99" s="13"/>
      <c r="J99" s="13"/>
      <c r="K99" s="13"/>
      <c r="L99" s="13"/>
      <c r="M99" s="13"/>
      <c r="N99" s="13"/>
    </row>
    <row r="100" spans="7:14" ht="14.45" customHeight="1" x14ac:dyDescent="0.25">
      <c r="G100" s="13"/>
      <c r="H100" s="13"/>
      <c r="I100" s="13"/>
      <c r="J100" s="13"/>
      <c r="K100" s="13"/>
      <c r="L100" s="13"/>
      <c r="M100" s="13"/>
      <c r="N100" s="13"/>
    </row>
  </sheetData>
  <mergeCells count="29">
    <mergeCell ref="Q41:X49"/>
    <mergeCell ref="I34:M36"/>
    <mergeCell ref="A34:E36"/>
    <mergeCell ref="H1:H4"/>
    <mergeCell ref="Q5:X10"/>
    <mergeCell ref="A1:A4"/>
    <mergeCell ref="A11:C12"/>
    <mergeCell ref="J1:O2"/>
    <mergeCell ref="A20:H21"/>
    <mergeCell ref="Q11:X12"/>
    <mergeCell ref="R1:W2"/>
    <mergeCell ref="X1:X4"/>
    <mergeCell ref="Q15:R29"/>
    <mergeCell ref="Q30:R37"/>
    <mergeCell ref="A5:H10"/>
    <mergeCell ref="Q1:Q4"/>
    <mergeCell ref="R3:W4"/>
    <mergeCell ref="P1:P4"/>
    <mergeCell ref="I5:P10"/>
    <mergeCell ref="B3:G4"/>
    <mergeCell ref="N34:P36"/>
    <mergeCell ref="I16:P20"/>
    <mergeCell ref="A13:C19"/>
    <mergeCell ref="I11:P12"/>
    <mergeCell ref="I1:I4"/>
    <mergeCell ref="B1:G2"/>
    <mergeCell ref="F34:H36"/>
    <mergeCell ref="J3:O4"/>
    <mergeCell ref="I13:P1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M76"/>
  <sheetViews>
    <sheetView zoomScaleNormal="100" workbookViewId="0">
      <selection activeCell="B2" sqref="B2:B16"/>
    </sheetView>
  </sheetViews>
  <sheetFormatPr baseColWidth="10" defaultColWidth="11.42578125" defaultRowHeight="15" x14ac:dyDescent="0.25"/>
  <cols>
    <col min="1" max="1" width="52.42578125" style="4" bestFit="1" customWidth="1"/>
    <col min="2" max="2" width="18.140625" style="52" customWidth="1"/>
    <col min="3" max="3" width="11.42578125" style="4" customWidth="1"/>
    <col min="4" max="4" width="39" style="4" bestFit="1" customWidth="1"/>
    <col min="5" max="5" width="14.42578125" style="52" bestFit="1" customWidth="1"/>
    <col min="6" max="6" width="14.42578125" style="52" customWidth="1"/>
    <col min="7" max="7" width="18.85546875" style="4" bestFit="1" customWidth="1"/>
    <col min="8" max="8" width="26.7109375" style="4" bestFit="1" customWidth="1"/>
    <col min="9" max="9" width="18.85546875" style="4" bestFit="1" customWidth="1"/>
    <col min="10" max="10" width="26.7109375" style="4" bestFit="1" customWidth="1"/>
    <col min="11" max="11" width="18.85546875" style="4" bestFit="1" customWidth="1"/>
    <col min="12" max="12" width="26.7109375" style="4" bestFit="1" customWidth="1"/>
    <col min="13" max="13" width="41.5703125" style="56" bestFit="1" customWidth="1"/>
  </cols>
  <sheetData>
    <row r="1" spans="1:13" x14ac:dyDescent="0.25">
      <c r="A1" s="2" t="s">
        <v>117</v>
      </c>
      <c r="B1" s="1" t="s">
        <v>0</v>
      </c>
      <c r="C1" s="2" t="s">
        <v>84</v>
      </c>
      <c r="D1" s="2" t="s">
        <v>118</v>
      </c>
      <c r="E1" s="2" t="s">
        <v>119</v>
      </c>
      <c r="F1" s="2" t="s">
        <v>81</v>
      </c>
      <c r="G1" s="2" t="s">
        <v>120</v>
      </c>
      <c r="H1" s="2" t="s">
        <v>121</v>
      </c>
      <c r="I1" s="2" t="s">
        <v>122</v>
      </c>
      <c r="J1" s="2" t="s">
        <v>123</v>
      </c>
      <c r="K1" s="2" t="s">
        <v>124</v>
      </c>
      <c r="L1" s="2" t="s">
        <v>125</v>
      </c>
      <c r="M1" s="3" t="s">
        <v>126</v>
      </c>
    </row>
    <row r="2" spans="1:13" x14ac:dyDescent="0.25">
      <c r="A2" t="s">
        <v>76</v>
      </c>
      <c r="B2" t="s">
        <v>1</v>
      </c>
      <c r="C2" t="s">
        <v>127</v>
      </c>
      <c r="D2" t="s">
        <v>128</v>
      </c>
      <c r="E2" s="4" t="s">
        <v>129</v>
      </c>
      <c r="F2" s="4" t="s">
        <v>130</v>
      </c>
      <c r="G2" t="s">
        <v>131</v>
      </c>
      <c r="H2">
        <v>100</v>
      </c>
      <c r="M2" t="s">
        <v>132</v>
      </c>
    </row>
    <row r="3" spans="1:13" x14ac:dyDescent="0.25">
      <c r="A3" t="s">
        <v>73</v>
      </c>
      <c r="B3" t="s">
        <v>1</v>
      </c>
      <c r="C3" t="s">
        <v>127</v>
      </c>
      <c r="D3" t="s">
        <v>128</v>
      </c>
      <c r="E3" s="4" t="s">
        <v>130</v>
      </c>
      <c r="F3" s="4" t="s">
        <v>130</v>
      </c>
      <c r="G3" t="s">
        <v>133</v>
      </c>
      <c r="H3">
        <v>0.5</v>
      </c>
      <c r="M3" t="s">
        <v>134</v>
      </c>
    </row>
    <row r="4" spans="1:13" x14ac:dyDescent="0.25">
      <c r="A4" t="s">
        <v>74</v>
      </c>
      <c r="B4" t="s">
        <v>1</v>
      </c>
      <c r="C4" t="s">
        <v>127</v>
      </c>
      <c r="D4" t="s">
        <v>128</v>
      </c>
      <c r="E4" s="4" t="s">
        <v>129</v>
      </c>
      <c r="F4" s="4" t="s">
        <v>130</v>
      </c>
      <c r="G4" t="s">
        <v>131</v>
      </c>
      <c r="H4">
        <v>1</v>
      </c>
    </row>
    <row r="5" spans="1:13" x14ac:dyDescent="0.25">
      <c r="A5" t="s">
        <v>75</v>
      </c>
      <c r="B5" t="s">
        <v>1</v>
      </c>
      <c r="C5" t="s">
        <v>127</v>
      </c>
      <c r="D5" t="s">
        <v>135</v>
      </c>
      <c r="E5" s="4" t="s">
        <v>129</v>
      </c>
      <c r="F5" s="4" t="s">
        <v>130</v>
      </c>
      <c r="G5" t="s">
        <v>136</v>
      </c>
      <c r="H5">
        <v>60</v>
      </c>
      <c r="I5" t="s">
        <v>131</v>
      </c>
      <c r="J5">
        <v>100</v>
      </c>
      <c r="M5" t="s">
        <v>137</v>
      </c>
    </row>
    <row r="6" spans="1:13" x14ac:dyDescent="0.25">
      <c r="A6" t="s">
        <v>71</v>
      </c>
      <c r="B6" t="s">
        <v>1</v>
      </c>
      <c r="C6" t="s">
        <v>138</v>
      </c>
      <c r="D6" t="s">
        <v>128</v>
      </c>
      <c r="E6" s="4" t="s">
        <v>130</v>
      </c>
      <c r="F6" s="4" t="s">
        <v>129</v>
      </c>
      <c r="G6" t="s">
        <v>139</v>
      </c>
      <c r="H6">
        <v>150</v>
      </c>
      <c r="M6" t="s">
        <v>140</v>
      </c>
    </row>
    <row r="7" spans="1:13" x14ac:dyDescent="0.25">
      <c r="A7" t="s">
        <v>80</v>
      </c>
      <c r="B7" t="s">
        <v>1</v>
      </c>
      <c r="C7" t="s">
        <v>127</v>
      </c>
      <c r="D7" t="s">
        <v>128</v>
      </c>
      <c r="E7" s="4" t="s">
        <v>130</v>
      </c>
      <c r="F7" s="4" t="s">
        <v>130</v>
      </c>
      <c r="G7" t="s">
        <v>133</v>
      </c>
      <c r="H7">
        <v>0.5</v>
      </c>
    </row>
    <row r="8" spans="1:13" x14ac:dyDescent="0.25">
      <c r="A8" t="s">
        <v>77</v>
      </c>
      <c r="B8" t="s">
        <v>1</v>
      </c>
      <c r="C8" t="s">
        <v>127</v>
      </c>
      <c r="D8" t="s">
        <v>135</v>
      </c>
      <c r="E8" s="4" t="s">
        <v>129</v>
      </c>
      <c r="F8" s="4" t="s">
        <v>130</v>
      </c>
      <c r="G8" t="s">
        <v>131</v>
      </c>
      <c r="H8">
        <v>20</v>
      </c>
    </row>
    <row r="9" spans="1:13" x14ac:dyDescent="0.25">
      <c r="A9" t="s">
        <v>79</v>
      </c>
      <c r="B9" t="s">
        <v>1</v>
      </c>
      <c r="C9" t="s">
        <v>127</v>
      </c>
      <c r="D9" t="s">
        <v>135</v>
      </c>
      <c r="E9" s="4" t="s">
        <v>129</v>
      </c>
      <c r="F9" s="4" t="s">
        <v>130</v>
      </c>
      <c r="G9" t="s">
        <v>133</v>
      </c>
      <c r="H9">
        <v>1</v>
      </c>
    </row>
    <row r="10" spans="1:13" x14ac:dyDescent="0.25">
      <c r="A10" t="s">
        <v>78</v>
      </c>
      <c r="B10" t="s">
        <v>1</v>
      </c>
      <c r="C10" t="s">
        <v>127</v>
      </c>
      <c r="D10" t="s">
        <v>135</v>
      </c>
      <c r="E10" s="4" t="s">
        <v>129</v>
      </c>
      <c r="F10" s="4" t="s">
        <v>130</v>
      </c>
      <c r="G10" t="s">
        <v>133</v>
      </c>
      <c r="H10">
        <v>1</v>
      </c>
    </row>
    <row r="11" spans="1:13" x14ac:dyDescent="0.25">
      <c r="A11" t="s">
        <v>141</v>
      </c>
      <c r="B11" t="s">
        <v>1</v>
      </c>
      <c r="C11" t="s">
        <v>138</v>
      </c>
      <c r="D11" t="s">
        <v>135</v>
      </c>
      <c r="E11" s="4" t="s">
        <v>130</v>
      </c>
      <c r="F11" s="4" t="s">
        <v>130</v>
      </c>
      <c r="G11" t="s">
        <v>142</v>
      </c>
      <c r="H11">
        <v>1000</v>
      </c>
    </row>
    <row r="12" spans="1:13" x14ac:dyDescent="0.25">
      <c r="A12" t="s">
        <v>72</v>
      </c>
      <c r="B12" t="s">
        <v>1</v>
      </c>
      <c r="C12" t="s">
        <v>138</v>
      </c>
      <c r="D12" t="s">
        <v>135</v>
      </c>
      <c r="E12" s="4" t="s">
        <v>130</v>
      </c>
      <c r="F12" s="4" t="s">
        <v>130</v>
      </c>
      <c r="G12" t="s">
        <v>143</v>
      </c>
      <c r="H12">
        <v>1000</v>
      </c>
    </row>
    <row r="13" spans="1:13" x14ac:dyDescent="0.25">
      <c r="A13" t="s">
        <v>144</v>
      </c>
      <c r="B13" t="s">
        <v>1</v>
      </c>
      <c r="C13" t="s">
        <v>127</v>
      </c>
      <c r="D13" t="s">
        <v>135</v>
      </c>
      <c r="E13" s="4" t="s">
        <v>130</v>
      </c>
      <c r="F13" s="4" t="s">
        <v>130</v>
      </c>
      <c r="G13" t="s">
        <v>133</v>
      </c>
      <c r="H13">
        <v>0.25</v>
      </c>
    </row>
    <row r="14" spans="1:13" x14ac:dyDescent="0.25">
      <c r="A14" t="s">
        <v>145</v>
      </c>
      <c r="B14" t="s">
        <v>1</v>
      </c>
      <c r="C14" t="s">
        <v>138</v>
      </c>
      <c r="D14" t="s">
        <v>135</v>
      </c>
      <c r="E14" s="4" t="s">
        <v>130</v>
      </c>
      <c r="F14" s="4" t="s">
        <v>129</v>
      </c>
      <c r="G14" t="s">
        <v>139</v>
      </c>
      <c r="H14">
        <v>150</v>
      </c>
    </row>
    <row r="15" spans="1:13" x14ac:dyDescent="0.25">
      <c r="A15" t="s">
        <v>146</v>
      </c>
      <c r="B15" t="s">
        <v>1</v>
      </c>
      <c r="C15" t="s">
        <v>138</v>
      </c>
      <c r="D15" t="s">
        <v>135</v>
      </c>
      <c r="E15" s="4" t="s">
        <v>130</v>
      </c>
      <c r="F15" s="4" t="s">
        <v>129</v>
      </c>
      <c r="G15" t="s">
        <v>139</v>
      </c>
      <c r="H15">
        <v>500</v>
      </c>
    </row>
    <row r="16" spans="1:13" x14ac:dyDescent="0.25">
      <c r="A16" t="s">
        <v>81</v>
      </c>
      <c r="B16" t="s">
        <v>1</v>
      </c>
      <c r="C16" t="s">
        <v>127</v>
      </c>
      <c r="D16" t="s">
        <v>128</v>
      </c>
      <c r="E16" s="4" t="s">
        <v>130</v>
      </c>
      <c r="F16" s="4" t="s">
        <v>130</v>
      </c>
      <c r="G16" t="s">
        <v>131</v>
      </c>
      <c r="H16">
        <v>100</v>
      </c>
      <c r="M16" t="s">
        <v>147</v>
      </c>
    </row>
    <row r="17" spans="5:6" x14ac:dyDescent="0.25">
      <c r="E17" s="4"/>
      <c r="F17" s="4"/>
    </row>
    <row r="18" spans="5:6" x14ac:dyDescent="0.25">
      <c r="E18" s="4"/>
      <c r="F18" s="4"/>
    </row>
    <row r="19" spans="5:6" x14ac:dyDescent="0.25">
      <c r="E19" s="4"/>
      <c r="F19" s="4"/>
    </row>
    <row r="20" spans="5:6" x14ac:dyDescent="0.25">
      <c r="E20" s="4"/>
      <c r="F20" s="4"/>
    </row>
    <row r="21" spans="5:6" x14ac:dyDescent="0.25">
      <c r="E21" s="4"/>
      <c r="F21" s="4"/>
    </row>
    <row r="22" spans="5:6" x14ac:dyDescent="0.25">
      <c r="E22" s="4"/>
      <c r="F22" s="4"/>
    </row>
    <row r="23" spans="5:6" x14ac:dyDescent="0.25">
      <c r="E23" s="4"/>
      <c r="F23" s="4"/>
    </row>
    <row r="24" spans="5:6" x14ac:dyDescent="0.25">
      <c r="E24" s="4"/>
      <c r="F24" s="4"/>
    </row>
    <row r="25" spans="5:6" x14ac:dyDescent="0.25">
      <c r="E25" s="4"/>
      <c r="F25" s="4"/>
    </row>
    <row r="26" spans="5:6" x14ac:dyDescent="0.25">
      <c r="E26" s="4"/>
      <c r="F26" s="4"/>
    </row>
    <row r="27" spans="5:6" x14ac:dyDescent="0.25">
      <c r="E27" s="4"/>
      <c r="F27" s="4"/>
    </row>
    <row r="28" spans="5:6" x14ac:dyDescent="0.25">
      <c r="E28" s="4"/>
      <c r="F28" s="4"/>
    </row>
    <row r="29" spans="5:6" x14ac:dyDescent="0.25">
      <c r="E29" s="4"/>
      <c r="F29" s="4"/>
    </row>
    <row r="30" spans="5:6" x14ac:dyDescent="0.25">
      <c r="E30" s="4"/>
      <c r="F30" s="4"/>
    </row>
    <row r="31" spans="5:6" x14ac:dyDescent="0.25">
      <c r="E31" s="4"/>
      <c r="F31" s="4"/>
    </row>
    <row r="32" spans="5:6" x14ac:dyDescent="0.25">
      <c r="E32" s="4"/>
      <c r="F32" s="4"/>
    </row>
    <row r="33" spans="1:6" x14ac:dyDescent="0.25">
      <c r="E33" s="4"/>
      <c r="F33" s="4"/>
    </row>
    <row r="34" spans="1:6" x14ac:dyDescent="0.25">
      <c r="E34" s="4"/>
      <c r="F34" s="4"/>
    </row>
    <row r="35" spans="1:6" x14ac:dyDescent="0.25">
      <c r="E35" s="4"/>
      <c r="F35" s="4"/>
    </row>
    <row r="36" spans="1:6" x14ac:dyDescent="0.25">
      <c r="E36" s="4"/>
      <c r="F36" s="4"/>
    </row>
    <row r="37" spans="1:6" x14ac:dyDescent="0.25">
      <c r="A37" s="56"/>
      <c r="E37" s="4"/>
      <c r="F37" s="4"/>
    </row>
    <row r="38" spans="1:6" x14ac:dyDescent="0.25">
      <c r="A38" s="56"/>
      <c r="E38" s="4"/>
      <c r="F38" s="4"/>
    </row>
    <row r="39" spans="1:6" x14ac:dyDescent="0.25">
      <c r="A39" s="56"/>
      <c r="E39" s="4"/>
      <c r="F39" s="4"/>
    </row>
    <row r="40" spans="1:6" x14ac:dyDescent="0.25">
      <c r="E40" s="4"/>
      <c r="F40" s="4"/>
    </row>
    <row r="41" spans="1:6" x14ac:dyDescent="0.25">
      <c r="E41" s="4"/>
      <c r="F41" s="4"/>
    </row>
    <row r="42" spans="1:6" x14ac:dyDescent="0.25">
      <c r="E42" s="4"/>
      <c r="F42" s="4"/>
    </row>
    <row r="43" spans="1:6" x14ac:dyDescent="0.25">
      <c r="E43" s="4"/>
      <c r="F43" s="4"/>
    </row>
    <row r="44" spans="1:6" x14ac:dyDescent="0.25">
      <c r="E44" s="4"/>
      <c r="F44" s="4"/>
    </row>
    <row r="45" spans="1:6" x14ac:dyDescent="0.25">
      <c r="E45" s="4"/>
      <c r="F45" s="4"/>
    </row>
    <row r="46" spans="1:6" x14ac:dyDescent="0.25">
      <c r="E46" s="4"/>
      <c r="F46" s="4"/>
    </row>
    <row r="47" spans="1:6" x14ac:dyDescent="0.25">
      <c r="E47" s="4"/>
      <c r="F47" s="4"/>
    </row>
    <row r="48" spans="1:6" x14ac:dyDescent="0.25">
      <c r="E48" s="4"/>
      <c r="F48" s="4"/>
    </row>
    <row r="49" spans="1:6" x14ac:dyDescent="0.25">
      <c r="E49" s="4"/>
      <c r="F49" s="4"/>
    </row>
    <row r="50" spans="1:6" x14ac:dyDescent="0.25">
      <c r="A50" s="56"/>
      <c r="E50" s="4"/>
      <c r="F50" s="4"/>
    </row>
    <row r="51" spans="1:6" x14ac:dyDescent="0.25">
      <c r="E51" s="4"/>
      <c r="F51" s="4"/>
    </row>
    <row r="52" spans="1:6" x14ac:dyDescent="0.25">
      <c r="E52" s="4"/>
      <c r="F52" s="4"/>
    </row>
    <row r="53" spans="1:6" x14ac:dyDescent="0.25">
      <c r="E53" s="4"/>
      <c r="F53" s="4"/>
    </row>
    <row r="54" spans="1:6" x14ac:dyDescent="0.25">
      <c r="E54" s="4"/>
      <c r="F54" s="4"/>
    </row>
    <row r="55" spans="1:6" x14ac:dyDescent="0.25">
      <c r="E55" s="4"/>
      <c r="F55" s="4"/>
    </row>
    <row r="56" spans="1:6" x14ac:dyDescent="0.25">
      <c r="E56" s="4"/>
      <c r="F56" s="4"/>
    </row>
    <row r="57" spans="1:6" x14ac:dyDescent="0.25">
      <c r="E57" s="4"/>
      <c r="F57" s="4"/>
    </row>
    <row r="58" spans="1:6" x14ac:dyDescent="0.25">
      <c r="A58" s="56"/>
      <c r="E58" s="4"/>
      <c r="F58" s="4"/>
    </row>
    <row r="59" spans="1:6" x14ac:dyDescent="0.25">
      <c r="E59" s="4"/>
      <c r="F59" s="4"/>
    </row>
    <row r="60" spans="1:6" x14ac:dyDescent="0.25">
      <c r="A60" s="56"/>
      <c r="E60" s="4"/>
      <c r="F60" s="4"/>
    </row>
    <row r="61" spans="1:6" x14ac:dyDescent="0.25">
      <c r="E61" s="4"/>
      <c r="F61" s="4"/>
    </row>
    <row r="62" spans="1:6" x14ac:dyDescent="0.25">
      <c r="E62" s="4"/>
      <c r="F62" s="4"/>
    </row>
    <row r="63" spans="1:6" x14ac:dyDescent="0.25">
      <c r="E63" s="4"/>
      <c r="F63" s="4"/>
    </row>
    <row r="64" spans="1:6" x14ac:dyDescent="0.25">
      <c r="E64" s="4"/>
      <c r="F64" s="4"/>
    </row>
    <row r="65" spans="5:13" x14ac:dyDescent="0.25">
      <c r="E65" s="4"/>
      <c r="F65" s="4"/>
    </row>
    <row r="66" spans="5:13" x14ac:dyDescent="0.25">
      <c r="E66" s="4"/>
      <c r="F66" s="4"/>
    </row>
    <row r="67" spans="5:13" x14ac:dyDescent="0.25">
      <c r="E67" s="4"/>
      <c r="F67" s="4"/>
    </row>
    <row r="68" spans="5:13" x14ac:dyDescent="0.25">
      <c r="E68" s="4"/>
      <c r="F68" s="4"/>
    </row>
    <row r="69" spans="5:13" x14ac:dyDescent="0.25">
      <c r="E69" s="4"/>
      <c r="F69" s="4"/>
    </row>
    <row r="70" spans="5:13" x14ac:dyDescent="0.25">
      <c r="E70" s="4"/>
      <c r="F70" s="4"/>
    </row>
    <row r="71" spans="5:13" x14ac:dyDescent="0.25">
      <c r="E71" s="4"/>
      <c r="F71" s="4"/>
      <c r="M71" s="4"/>
    </row>
    <row r="72" spans="5:13" x14ac:dyDescent="0.25">
      <c r="E72" s="4"/>
      <c r="F72" s="4"/>
    </row>
    <row r="73" spans="5:13" x14ac:dyDescent="0.25">
      <c r="E73" s="4"/>
      <c r="F73" s="4"/>
    </row>
    <row r="74" spans="5:13" x14ac:dyDescent="0.25">
      <c r="E74" s="4"/>
      <c r="F74" s="4"/>
    </row>
    <row r="75" spans="5:13" x14ac:dyDescent="0.25">
      <c r="E75" s="4"/>
      <c r="F75" s="4"/>
    </row>
    <row r="76" spans="5:13" x14ac:dyDescent="0.25">
      <c r="E76" s="4"/>
      <c r="F76" s="4"/>
    </row>
  </sheetData>
  <pageMargins left="0.7" right="0.7" top="0.75" bottom="0.75" header="0.3" footer="0.3"/>
  <pageSetup paperSize="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O11"/>
  <sheetViews>
    <sheetView zoomScaleNormal="100" workbookViewId="0">
      <selection activeCell="A2" sqref="A2:C8"/>
    </sheetView>
  </sheetViews>
  <sheetFormatPr baseColWidth="10" defaultColWidth="11.42578125" defaultRowHeight="15" x14ac:dyDescent="0.25"/>
  <cols>
    <col min="1" max="1" width="18.140625" style="52" bestFit="1" customWidth="1"/>
    <col min="2" max="2" width="24.7109375" style="52" customWidth="1"/>
    <col min="3" max="4" width="30.140625" style="52" customWidth="1"/>
    <col min="5" max="5" width="71.140625" style="52" bestFit="1" customWidth="1"/>
  </cols>
  <sheetData>
    <row r="1" spans="1:15" x14ac:dyDescent="0.25">
      <c r="A1" s="2" t="s">
        <v>117</v>
      </c>
      <c r="B1" s="2" t="s">
        <v>148</v>
      </c>
      <c r="C1" s="2" t="s">
        <v>149</v>
      </c>
      <c r="D1" s="2" t="s">
        <v>150</v>
      </c>
      <c r="E1" s="2" t="s">
        <v>126</v>
      </c>
      <c r="K1" s="53"/>
      <c r="L1" s="53"/>
      <c r="M1" s="53"/>
      <c r="N1" s="53"/>
      <c r="O1" s="53"/>
    </row>
    <row r="2" spans="1:15" x14ac:dyDescent="0.25">
      <c r="A2" t="s">
        <v>151</v>
      </c>
      <c r="B2" t="s">
        <v>152</v>
      </c>
      <c r="C2">
        <v>0.5</v>
      </c>
      <c r="D2">
        <v>750</v>
      </c>
    </row>
    <row r="3" spans="1:15" x14ac:dyDescent="0.25">
      <c r="A3" t="s">
        <v>133</v>
      </c>
      <c r="B3" t="s">
        <v>152</v>
      </c>
      <c r="C3">
        <v>2</v>
      </c>
      <c r="D3">
        <v>3000</v>
      </c>
    </row>
    <row r="4" spans="1:15" x14ac:dyDescent="0.25">
      <c r="A4" t="s">
        <v>131</v>
      </c>
      <c r="B4" t="s">
        <v>152</v>
      </c>
      <c r="C4">
        <v>1</v>
      </c>
      <c r="D4">
        <v>1500</v>
      </c>
      <c r="E4" t="s">
        <v>153</v>
      </c>
    </row>
    <row r="5" spans="1:15" x14ac:dyDescent="0.25">
      <c r="A5" t="s">
        <v>139</v>
      </c>
      <c r="B5" t="s">
        <v>152</v>
      </c>
      <c r="C5">
        <v>3</v>
      </c>
      <c r="D5">
        <v>500</v>
      </c>
      <c r="E5" t="s">
        <v>154</v>
      </c>
    </row>
    <row r="6" spans="1:15" x14ac:dyDescent="0.25">
      <c r="A6" t="s">
        <v>155</v>
      </c>
      <c r="B6" t="s">
        <v>152</v>
      </c>
      <c r="C6">
        <v>3</v>
      </c>
      <c r="D6">
        <v>1500</v>
      </c>
    </row>
    <row r="7" spans="1:15" x14ac:dyDescent="0.25">
      <c r="A7" t="s">
        <v>156</v>
      </c>
      <c r="B7" t="s">
        <v>157</v>
      </c>
      <c r="C7">
        <v>3</v>
      </c>
      <c r="D7">
        <v>2000</v>
      </c>
    </row>
    <row r="8" spans="1:15" x14ac:dyDescent="0.25">
      <c r="A8" t="s">
        <v>158</v>
      </c>
      <c r="B8" t="s">
        <v>157</v>
      </c>
      <c r="C8">
        <v>6</v>
      </c>
      <c r="D8">
        <v>3000</v>
      </c>
    </row>
    <row r="9" spans="1:15" x14ac:dyDescent="0.25">
      <c r="A9" t="s">
        <v>136</v>
      </c>
      <c r="B9" t="s">
        <v>152</v>
      </c>
      <c r="C9">
        <v>1</v>
      </c>
      <c r="D9">
        <v>500</v>
      </c>
    </row>
    <row r="10" spans="1:15" x14ac:dyDescent="0.25">
      <c r="A10" t="s">
        <v>142</v>
      </c>
      <c r="B10" t="s">
        <v>152</v>
      </c>
      <c r="C10">
        <v>3</v>
      </c>
    </row>
    <row r="11" spans="1:15" x14ac:dyDescent="0.25">
      <c r="A11" t="s">
        <v>143</v>
      </c>
      <c r="B11" t="s">
        <v>152</v>
      </c>
      <c r="C11">
        <v>1</v>
      </c>
    </row>
  </sheetData>
  <pageMargins left="0.7" right="0.7" top="0.75" bottom="0.75" header="0.3" footer="0.3"/>
  <pageSetup paperSize="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G11"/>
  <sheetViews>
    <sheetView zoomScaleNormal="100" workbookViewId="0"/>
  </sheetViews>
  <sheetFormatPr baseColWidth="10" defaultColWidth="11.42578125" defaultRowHeight="15" x14ac:dyDescent="0.25"/>
  <cols>
    <col min="1" max="1" width="19.42578125" style="52" bestFit="1" customWidth="1"/>
    <col min="2" max="2" width="13.5703125" style="52" customWidth="1"/>
    <col min="3" max="3" width="22.42578125" style="52" customWidth="1"/>
    <col min="4" max="5" width="14.42578125" style="52" customWidth="1"/>
    <col min="6" max="6" width="13.85546875" style="52" customWidth="1"/>
  </cols>
  <sheetData>
    <row r="1" spans="1:7" x14ac:dyDescent="0.25">
      <c r="A1" s="2" t="s">
        <v>117</v>
      </c>
      <c r="B1" s="2" t="s">
        <v>159</v>
      </c>
      <c r="C1" s="2" t="s">
        <v>160</v>
      </c>
      <c r="D1" s="2" t="s">
        <v>161</v>
      </c>
      <c r="E1" s="2" t="s">
        <v>162</v>
      </c>
      <c r="F1" s="2" t="s">
        <v>163</v>
      </c>
      <c r="G1" s="2" t="s">
        <v>126</v>
      </c>
    </row>
    <row r="2" spans="1:7" ht="53.1" customHeight="1" x14ac:dyDescent="0.25">
      <c r="A2" t="s">
        <v>164</v>
      </c>
      <c r="B2" t="s">
        <v>152</v>
      </c>
      <c r="C2">
        <v>9</v>
      </c>
      <c r="D2">
        <v>21</v>
      </c>
    </row>
    <row r="3" spans="1:7" ht="53.1" customHeight="1" x14ac:dyDescent="0.25">
      <c r="A3" t="s">
        <v>165</v>
      </c>
      <c r="B3" t="s">
        <v>152</v>
      </c>
      <c r="C3">
        <v>12</v>
      </c>
      <c r="D3">
        <v>30</v>
      </c>
    </row>
    <row r="4" spans="1:7" ht="32.1" customHeight="1" x14ac:dyDescent="0.25">
      <c r="A4" s="50" t="s">
        <v>108</v>
      </c>
      <c r="B4" t="s">
        <v>157</v>
      </c>
      <c r="C4" s="50">
        <v>10</v>
      </c>
      <c r="D4" s="51">
        <v>10</v>
      </c>
      <c r="E4" s="51"/>
    </row>
    <row r="5" spans="1:7" ht="24.95" customHeight="1" x14ac:dyDescent="0.25">
      <c r="A5" s="50" t="s">
        <v>107</v>
      </c>
      <c r="B5" t="s">
        <v>157</v>
      </c>
      <c r="C5" s="50">
        <v>6</v>
      </c>
      <c r="D5" s="51">
        <v>6</v>
      </c>
      <c r="E5" s="51"/>
    </row>
    <row r="6" spans="1:7" ht="36.6" customHeight="1" x14ac:dyDescent="0.25">
      <c r="A6" s="50" t="s">
        <v>166</v>
      </c>
      <c r="B6" t="s">
        <v>152</v>
      </c>
      <c r="C6" s="50">
        <v>17</v>
      </c>
      <c r="D6" s="51">
        <v>40</v>
      </c>
      <c r="E6" s="51"/>
    </row>
    <row r="7" spans="1:7" ht="59.45" customHeight="1" x14ac:dyDescent="0.25">
      <c r="A7" s="50" t="s">
        <v>167</v>
      </c>
      <c r="B7" t="s">
        <v>152</v>
      </c>
      <c r="C7" s="50">
        <v>20</v>
      </c>
      <c r="D7" s="51">
        <v>50</v>
      </c>
      <c r="E7" s="51"/>
    </row>
    <row r="8" spans="1:7" ht="42.6" customHeight="1" x14ac:dyDescent="0.25">
      <c r="A8" s="50" t="s">
        <v>168</v>
      </c>
      <c r="B8" t="s">
        <v>152</v>
      </c>
      <c r="C8" s="50">
        <v>34</v>
      </c>
      <c r="D8" s="51">
        <v>90</v>
      </c>
      <c r="E8" s="51"/>
    </row>
    <row r="9" spans="1:7" ht="39.6" customHeight="1" x14ac:dyDescent="0.25">
      <c r="A9" s="50"/>
      <c r="C9" s="50"/>
      <c r="D9" s="51"/>
      <c r="E9" s="51"/>
    </row>
    <row r="10" spans="1:7" ht="41.1" customHeight="1" x14ac:dyDescent="0.25">
      <c r="A10" s="50"/>
      <c r="C10" s="50"/>
      <c r="D10" s="51"/>
      <c r="E10" s="51"/>
    </row>
    <row r="11" spans="1:7" ht="50.1" customHeight="1" x14ac:dyDescent="0.25">
      <c r="A11" s="50"/>
      <c r="C11" s="50"/>
      <c r="D11" s="50"/>
      <c r="E11" s="50"/>
    </row>
  </sheetData>
  <pageMargins left="0.7" right="0.7" top="0.75" bottom="0.75" header="0.3" footer="0.3"/>
  <pageSetup paperSize="0"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B1:AD200"/>
  <sheetViews>
    <sheetView topLeftCell="L1" zoomScaleNormal="100" workbookViewId="0">
      <selection activeCell="AD1" sqref="AD1:AD1048576"/>
    </sheetView>
  </sheetViews>
  <sheetFormatPr baseColWidth="10" defaultColWidth="11.42578125" defaultRowHeight="15" x14ac:dyDescent="0.25"/>
  <cols>
    <col min="2" max="2" width="11.85546875" bestFit="1" customWidth="1"/>
    <col min="3" max="3" width="10.7109375" bestFit="1" customWidth="1"/>
    <col min="4" max="4" width="10.42578125" bestFit="1" customWidth="1"/>
    <col min="6" max="6" width="11.85546875" bestFit="1" customWidth="1"/>
    <col min="7" max="7" width="27.28515625" bestFit="1" customWidth="1"/>
    <col min="8" max="8" width="27" bestFit="1" customWidth="1"/>
    <col min="9" max="9" width="27.42578125" bestFit="1" customWidth="1"/>
    <col min="10" max="10" width="27.140625" bestFit="1" customWidth="1"/>
    <col min="11" max="11" width="28.42578125" bestFit="1" customWidth="1"/>
    <col min="12" max="12" width="28.5703125" bestFit="1" customWidth="1"/>
    <col min="13" max="13" width="7.7109375" bestFit="1" customWidth="1"/>
    <col min="14" max="14" width="40" bestFit="1" customWidth="1"/>
    <col min="15" max="15" width="19.140625" bestFit="1" customWidth="1"/>
    <col min="16" max="16" width="23.140625" bestFit="1" customWidth="1"/>
    <col min="18" max="18" width="5.85546875" bestFit="1" customWidth="1"/>
    <col min="19" max="19" width="7.42578125" bestFit="1" customWidth="1"/>
    <col min="20" max="20" width="20.7109375" style="52" bestFit="1" customWidth="1"/>
    <col min="21" max="21" width="19.140625" bestFit="1" customWidth="1"/>
    <col min="23" max="23" width="7.42578125" bestFit="1" customWidth="1"/>
    <col min="24" max="24" width="20.7109375" bestFit="1" customWidth="1"/>
    <col min="25" max="25" width="27.7109375" bestFit="1" customWidth="1"/>
    <col min="27" max="27" width="30.42578125" bestFit="1" customWidth="1"/>
    <col min="28" max="28" width="24" bestFit="1" customWidth="1"/>
    <col min="29" max="29" width="15.140625" bestFit="1" customWidth="1"/>
  </cols>
  <sheetData>
    <row r="1" spans="2:30" x14ac:dyDescent="0.25">
      <c r="B1" t="s">
        <v>169</v>
      </c>
      <c r="C1" t="s">
        <v>128</v>
      </c>
      <c r="D1" t="s">
        <v>135</v>
      </c>
      <c r="F1" t="s">
        <v>169</v>
      </c>
      <c r="G1" t="s">
        <v>170</v>
      </c>
      <c r="H1" t="s">
        <v>171</v>
      </c>
      <c r="I1" t="s">
        <v>172</v>
      </c>
      <c r="J1" t="s">
        <v>173</v>
      </c>
      <c r="K1" t="s">
        <v>174</v>
      </c>
      <c r="L1" t="s">
        <v>175</v>
      </c>
      <c r="M1" t="s">
        <v>176</v>
      </c>
      <c r="N1" t="s">
        <v>177</v>
      </c>
      <c r="O1" t="s">
        <v>178</v>
      </c>
      <c r="P1" t="s">
        <v>179</v>
      </c>
      <c r="R1" t="s">
        <v>93</v>
      </c>
      <c r="S1" t="s">
        <v>4</v>
      </c>
      <c r="T1" t="s">
        <v>180</v>
      </c>
      <c r="U1" t="s">
        <v>178</v>
      </c>
      <c r="W1" t="s">
        <v>93</v>
      </c>
      <c r="X1" t="s">
        <v>180</v>
      </c>
      <c r="Y1" t="s">
        <v>181</v>
      </c>
      <c r="AA1" t="s">
        <v>182</v>
      </c>
      <c r="AB1" t="s">
        <v>183</v>
      </c>
      <c r="AC1" t="s">
        <v>413</v>
      </c>
      <c r="AD1" t="s">
        <v>69</v>
      </c>
    </row>
    <row r="2" spans="2:30" x14ac:dyDescent="0.25">
      <c r="B2" t="s">
        <v>190</v>
      </c>
      <c r="C2">
        <v>29</v>
      </c>
      <c r="D2">
        <v>79</v>
      </c>
      <c r="F2" t="s">
        <v>190</v>
      </c>
      <c r="G2">
        <v>6</v>
      </c>
      <c r="H2">
        <v>5</v>
      </c>
      <c r="K2">
        <v>46</v>
      </c>
      <c r="L2">
        <v>55.000000000000007</v>
      </c>
      <c r="M2" t="s">
        <v>366</v>
      </c>
      <c r="N2">
        <v>102.5</v>
      </c>
      <c r="O2">
        <v>10.5</v>
      </c>
      <c r="P2">
        <v>8.5</v>
      </c>
      <c r="S2" t="s">
        <v>278</v>
      </c>
      <c r="T2" s="52" t="s">
        <v>166</v>
      </c>
      <c r="U2">
        <v>1</v>
      </c>
      <c r="W2" t="s">
        <v>278</v>
      </c>
      <c r="X2" t="s">
        <v>166</v>
      </c>
      <c r="Y2">
        <v>1</v>
      </c>
      <c r="AA2" t="s">
        <v>74</v>
      </c>
      <c r="AB2">
        <v>31</v>
      </c>
      <c r="AC2" t="s">
        <v>71</v>
      </c>
      <c r="AD2">
        <v>31260</v>
      </c>
    </row>
    <row r="3" spans="2:30" x14ac:dyDescent="0.25">
      <c r="B3" t="s">
        <v>191</v>
      </c>
      <c r="C3">
        <v>24</v>
      </c>
      <c r="D3">
        <v>73</v>
      </c>
      <c r="I3">
        <v>5</v>
      </c>
      <c r="J3">
        <v>4</v>
      </c>
      <c r="K3">
        <v>48</v>
      </c>
      <c r="L3">
        <v>53</v>
      </c>
      <c r="M3" t="s">
        <v>367</v>
      </c>
      <c r="N3">
        <v>6.40625</v>
      </c>
      <c r="O3">
        <v>0.65625</v>
      </c>
      <c r="P3">
        <v>0.53125</v>
      </c>
      <c r="S3" t="s">
        <v>278</v>
      </c>
      <c r="T3" s="52" t="s">
        <v>164</v>
      </c>
      <c r="U3">
        <v>7</v>
      </c>
      <c r="W3" t="s">
        <v>278</v>
      </c>
      <c r="X3" t="s">
        <v>164</v>
      </c>
      <c r="Y3">
        <v>5</v>
      </c>
      <c r="AA3" t="s">
        <v>75</v>
      </c>
      <c r="AB3">
        <v>4828</v>
      </c>
      <c r="AC3" t="s">
        <v>72</v>
      </c>
      <c r="AD3">
        <v>95627</v>
      </c>
    </row>
    <row r="4" spans="2:30" x14ac:dyDescent="0.25">
      <c r="B4" t="s">
        <v>192</v>
      </c>
      <c r="C4">
        <v>28</v>
      </c>
      <c r="D4">
        <v>73</v>
      </c>
      <c r="F4" t="s">
        <v>191</v>
      </c>
      <c r="G4">
        <v>5</v>
      </c>
      <c r="H4">
        <v>5</v>
      </c>
      <c r="K4">
        <v>48</v>
      </c>
      <c r="L4">
        <v>52</v>
      </c>
      <c r="M4" t="s">
        <v>368</v>
      </c>
      <c r="N4">
        <v>112.90625</v>
      </c>
      <c r="O4">
        <v>12.65625</v>
      </c>
      <c r="P4">
        <v>10.53125</v>
      </c>
      <c r="S4" t="s">
        <v>278</v>
      </c>
      <c r="T4" s="52" t="s">
        <v>168</v>
      </c>
      <c r="U4">
        <v>3</v>
      </c>
      <c r="W4" t="s">
        <v>278</v>
      </c>
      <c r="X4" t="s">
        <v>168</v>
      </c>
      <c r="Y4">
        <v>3</v>
      </c>
      <c r="AA4" t="s">
        <v>76</v>
      </c>
      <c r="AB4">
        <v>2414</v>
      </c>
      <c r="AC4" t="s">
        <v>73</v>
      </c>
      <c r="AD4">
        <v>7</v>
      </c>
    </row>
    <row r="5" spans="2:30" x14ac:dyDescent="0.25">
      <c r="B5" t="s">
        <v>193</v>
      </c>
      <c r="C5">
        <v>24</v>
      </c>
      <c r="D5">
        <v>71</v>
      </c>
      <c r="I5">
        <v>4</v>
      </c>
      <c r="J5">
        <v>4</v>
      </c>
      <c r="K5">
        <v>47</v>
      </c>
      <c r="L5">
        <v>52</v>
      </c>
      <c r="M5" t="s">
        <v>369</v>
      </c>
      <c r="N5">
        <v>25.28125</v>
      </c>
      <c r="O5">
        <v>3.5625</v>
      </c>
      <c r="P5">
        <v>3.3125</v>
      </c>
      <c r="S5" t="s">
        <v>279</v>
      </c>
      <c r="T5" s="52" t="s">
        <v>166</v>
      </c>
      <c r="U5">
        <v>1</v>
      </c>
      <c r="W5" t="s">
        <v>279</v>
      </c>
      <c r="X5" t="s">
        <v>166</v>
      </c>
      <c r="Y5">
        <v>1</v>
      </c>
      <c r="AA5" t="s">
        <v>77</v>
      </c>
      <c r="AB5">
        <v>20072</v>
      </c>
      <c r="AC5" t="s">
        <v>74</v>
      </c>
      <c r="AD5">
        <v>34</v>
      </c>
    </row>
    <row r="6" spans="2:30" x14ac:dyDescent="0.25">
      <c r="B6" t="s">
        <v>194</v>
      </c>
      <c r="C6">
        <v>17</v>
      </c>
      <c r="D6">
        <v>56</v>
      </c>
      <c r="F6" t="s">
        <v>192</v>
      </c>
      <c r="G6">
        <v>6</v>
      </c>
      <c r="H6">
        <v>5</v>
      </c>
      <c r="K6">
        <v>54</v>
      </c>
      <c r="L6">
        <v>49</v>
      </c>
      <c r="M6" t="s">
        <v>370</v>
      </c>
      <c r="N6">
        <v>38.03125</v>
      </c>
      <c r="O6">
        <v>5.8125</v>
      </c>
      <c r="P6">
        <v>5.5625</v>
      </c>
      <c r="S6" t="s">
        <v>279</v>
      </c>
      <c r="T6" s="52" t="s">
        <v>164</v>
      </c>
      <c r="U6">
        <v>6</v>
      </c>
      <c r="W6" t="s">
        <v>279</v>
      </c>
      <c r="X6" t="s">
        <v>164</v>
      </c>
      <c r="Y6">
        <v>4</v>
      </c>
      <c r="AA6" t="s">
        <v>78</v>
      </c>
      <c r="AB6">
        <v>430</v>
      </c>
      <c r="AC6" t="s">
        <v>75</v>
      </c>
      <c r="AD6">
        <v>4925</v>
      </c>
    </row>
    <row r="7" spans="2:30" x14ac:dyDescent="0.25">
      <c r="B7" t="s">
        <v>195</v>
      </c>
      <c r="C7">
        <v>17</v>
      </c>
      <c r="D7">
        <v>53</v>
      </c>
      <c r="I7">
        <v>5</v>
      </c>
      <c r="J7">
        <v>4</v>
      </c>
      <c r="K7">
        <v>52</v>
      </c>
      <c r="L7">
        <v>47</v>
      </c>
      <c r="M7" t="s">
        <v>371</v>
      </c>
      <c r="N7">
        <v>33.78125</v>
      </c>
      <c r="O7">
        <v>5.0625</v>
      </c>
      <c r="P7">
        <v>4.8125</v>
      </c>
      <c r="S7" t="s">
        <v>279</v>
      </c>
      <c r="T7" s="52" t="s">
        <v>168</v>
      </c>
      <c r="U7">
        <v>2</v>
      </c>
      <c r="W7" t="s">
        <v>279</v>
      </c>
      <c r="X7" t="s">
        <v>168</v>
      </c>
      <c r="Y7">
        <v>3</v>
      </c>
      <c r="AA7" t="s">
        <v>79</v>
      </c>
      <c r="AB7">
        <v>299</v>
      </c>
      <c r="AC7" t="s">
        <v>76</v>
      </c>
      <c r="AD7">
        <v>2462</v>
      </c>
    </row>
    <row r="8" spans="2:30" x14ac:dyDescent="0.25">
      <c r="B8" t="s">
        <v>196</v>
      </c>
      <c r="C8">
        <v>17</v>
      </c>
      <c r="D8">
        <v>53</v>
      </c>
      <c r="F8" t="s">
        <v>193</v>
      </c>
      <c r="G8">
        <v>5</v>
      </c>
      <c r="H8">
        <v>5</v>
      </c>
      <c r="K8">
        <v>52</v>
      </c>
      <c r="L8">
        <v>47</v>
      </c>
      <c r="M8" t="s">
        <v>372</v>
      </c>
      <c r="N8">
        <v>33.78125</v>
      </c>
      <c r="O8">
        <v>5.0625</v>
      </c>
      <c r="P8">
        <v>4.8125</v>
      </c>
      <c r="S8" t="s">
        <v>279</v>
      </c>
      <c r="T8" s="52" t="s">
        <v>167</v>
      </c>
      <c r="U8">
        <v>1</v>
      </c>
      <c r="W8" t="s">
        <v>280</v>
      </c>
      <c r="X8" t="s">
        <v>166</v>
      </c>
      <c r="Y8">
        <v>1</v>
      </c>
      <c r="AC8" t="s">
        <v>66</v>
      </c>
      <c r="AD8">
        <v>10091</v>
      </c>
    </row>
    <row r="9" spans="2:30" x14ac:dyDescent="0.25">
      <c r="B9" t="s">
        <v>197</v>
      </c>
      <c r="C9">
        <v>17</v>
      </c>
      <c r="D9">
        <v>53</v>
      </c>
      <c r="I9">
        <v>4</v>
      </c>
      <c r="J9">
        <v>4</v>
      </c>
      <c r="K9">
        <v>52</v>
      </c>
      <c r="L9">
        <v>47</v>
      </c>
      <c r="M9" t="s">
        <v>373</v>
      </c>
      <c r="N9">
        <v>63.03125</v>
      </c>
      <c r="O9">
        <v>8.3125</v>
      </c>
      <c r="P9">
        <v>7.0625</v>
      </c>
      <c r="S9" t="s">
        <v>280</v>
      </c>
      <c r="T9" s="52" t="s">
        <v>166</v>
      </c>
      <c r="U9">
        <v>1</v>
      </c>
      <c r="W9" t="s">
        <v>280</v>
      </c>
      <c r="X9" t="s">
        <v>164</v>
      </c>
      <c r="Y9">
        <v>5</v>
      </c>
      <c r="AC9" t="s">
        <v>77</v>
      </c>
      <c r="AD9">
        <v>20480</v>
      </c>
    </row>
    <row r="10" spans="2:30" x14ac:dyDescent="0.25">
      <c r="B10" t="s">
        <v>198</v>
      </c>
      <c r="C10">
        <v>17</v>
      </c>
      <c r="D10">
        <v>53</v>
      </c>
      <c r="F10" t="s">
        <v>194</v>
      </c>
      <c r="G10">
        <v>3</v>
      </c>
      <c r="H10">
        <v>5</v>
      </c>
      <c r="K10">
        <v>52</v>
      </c>
      <c r="L10">
        <v>47</v>
      </c>
      <c r="M10" t="s">
        <v>374</v>
      </c>
      <c r="N10">
        <v>86.581249999999997</v>
      </c>
      <c r="O10">
        <v>9.7874999999999996</v>
      </c>
      <c r="P10">
        <v>7.2874999999999996</v>
      </c>
      <c r="S10" t="s">
        <v>280</v>
      </c>
      <c r="T10" s="52" t="s">
        <v>164</v>
      </c>
      <c r="U10">
        <v>7</v>
      </c>
      <c r="W10" t="s">
        <v>280</v>
      </c>
      <c r="X10" t="s">
        <v>168</v>
      </c>
      <c r="Y10">
        <v>3</v>
      </c>
      <c r="AC10" t="s">
        <v>78</v>
      </c>
      <c r="AD10">
        <v>443</v>
      </c>
    </row>
    <row r="11" spans="2:30" x14ac:dyDescent="0.25">
      <c r="B11" t="s">
        <v>199</v>
      </c>
      <c r="C11">
        <v>17</v>
      </c>
      <c r="D11">
        <v>53</v>
      </c>
      <c r="I11">
        <v>3</v>
      </c>
      <c r="J11">
        <v>3</v>
      </c>
      <c r="K11">
        <v>52</v>
      </c>
      <c r="L11">
        <v>47</v>
      </c>
      <c r="M11" t="s">
        <v>375</v>
      </c>
      <c r="N11">
        <v>89.981250000000003</v>
      </c>
      <c r="O11">
        <v>9.0875000000000004</v>
      </c>
      <c r="P11">
        <v>6.0875000000000004</v>
      </c>
      <c r="S11" t="s">
        <v>280</v>
      </c>
      <c r="T11" s="52" t="s">
        <v>168</v>
      </c>
      <c r="U11">
        <v>2</v>
      </c>
      <c r="W11" t="s">
        <v>281</v>
      </c>
      <c r="X11" t="s">
        <v>166</v>
      </c>
      <c r="Y11">
        <v>1</v>
      </c>
      <c r="AC11" t="s">
        <v>79</v>
      </c>
      <c r="AD11">
        <v>311</v>
      </c>
    </row>
    <row r="12" spans="2:30" x14ac:dyDescent="0.25">
      <c r="B12" t="s">
        <v>200</v>
      </c>
      <c r="C12">
        <v>14</v>
      </c>
      <c r="D12">
        <v>46</v>
      </c>
      <c r="F12" t="s">
        <v>195</v>
      </c>
      <c r="G12">
        <v>3</v>
      </c>
      <c r="H12">
        <v>5</v>
      </c>
      <c r="K12">
        <v>53</v>
      </c>
      <c r="L12">
        <v>46</v>
      </c>
      <c r="M12" t="s">
        <v>376</v>
      </c>
      <c r="N12">
        <v>129.73124999999999</v>
      </c>
      <c r="O12">
        <v>14.3375</v>
      </c>
      <c r="P12">
        <v>9.8375000000000004</v>
      </c>
      <c r="S12" t="s">
        <v>280</v>
      </c>
      <c r="T12" s="52" t="s">
        <v>167</v>
      </c>
      <c r="U12">
        <v>1</v>
      </c>
      <c r="W12" t="s">
        <v>281</v>
      </c>
      <c r="X12" t="s">
        <v>164</v>
      </c>
      <c r="Y12">
        <v>4</v>
      </c>
      <c r="AC12" t="s">
        <v>80</v>
      </c>
      <c r="AD12">
        <v>12</v>
      </c>
    </row>
    <row r="13" spans="2:30" x14ac:dyDescent="0.25">
      <c r="B13" t="s">
        <v>201</v>
      </c>
      <c r="C13">
        <v>14</v>
      </c>
      <c r="D13">
        <v>46</v>
      </c>
      <c r="I13">
        <v>3</v>
      </c>
      <c r="J13">
        <v>3</v>
      </c>
      <c r="K13">
        <v>53</v>
      </c>
      <c r="L13">
        <v>46</v>
      </c>
      <c r="M13" t="s">
        <v>377</v>
      </c>
      <c r="N13">
        <v>143.60624999999999</v>
      </c>
      <c r="O13">
        <v>16.920833333333334</v>
      </c>
      <c r="P13">
        <v>11.5875</v>
      </c>
      <c r="S13" t="s">
        <v>281</v>
      </c>
      <c r="T13" s="52" t="s">
        <v>166</v>
      </c>
      <c r="U13">
        <v>1</v>
      </c>
      <c r="W13" t="s">
        <v>281</v>
      </c>
      <c r="X13" t="s">
        <v>168</v>
      </c>
      <c r="Y13">
        <v>3</v>
      </c>
      <c r="AC13" t="s">
        <v>81</v>
      </c>
      <c r="AD13">
        <v>937.8</v>
      </c>
    </row>
    <row r="14" spans="2:30" x14ac:dyDescent="0.25">
      <c r="B14" t="s">
        <v>202</v>
      </c>
      <c r="C14">
        <v>14</v>
      </c>
      <c r="D14">
        <v>46</v>
      </c>
      <c r="F14" t="s">
        <v>196</v>
      </c>
      <c r="G14">
        <v>3</v>
      </c>
      <c r="H14">
        <v>5</v>
      </c>
      <c r="K14">
        <v>53</v>
      </c>
      <c r="L14">
        <v>46</v>
      </c>
      <c r="M14" t="s">
        <v>378</v>
      </c>
      <c r="N14">
        <v>167.23958333333337</v>
      </c>
      <c r="O14">
        <v>21.295833333333334</v>
      </c>
      <c r="P14">
        <v>15.612500000000002</v>
      </c>
      <c r="S14" t="s">
        <v>281</v>
      </c>
      <c r="T14" s="52" t="s">
        <v>164</v>
      </c>
      <c r="U14">
        <v>6</v>
      </c>
      <c r="W14" t="s">
        <v>282</v>
      </c>
      <c r="X14" t="s">
        <v>166</v>
      </c>
      <c r="Y14">
        <v>1</v>
      </c>
    </row>
    <row r="15" spans="2:30" x14ac:dyDescent="0.25">
      <c r="B15" t="s">
        <v>203</v>
      </c>
      <c r="C15">
        <v>14</v>
      </c>
      <c r="D15">
        <v>45</v>
      </c>
      <c r="I15">
        <v>3</v>
      </c>
      <c r="J15">
        <v>3</v>
      </c>
      <c r="K15">
        <v>54</v>
      </c>
      <c r="L15">
        <v>45</v>
      </c>
      <c r="M15" t="s">
        <v>379</v>
      </c>
      <c r="N15">
        <v>149.68958333333333</v>
      </c>
      <c r="O15">
        <v>20.279166666666669</v>
      </c>
      <c r="P15">
        <v>15.062500000000004</v>
      </c>
      <c r="S15" t="s">
        <v>281</v>
      </c>
      <c r="T15" s="52" t="s">
        <v>168</v>
      </c>
      <c r="U15">
        <v>2</v>
      </c>
      <c r="W15" t="s">
        <v>282</v>
      </c>
      <c r="X15" t="s">
        <v>164</v>
      </c>
      <c r="Y15">
        <v>3</v>
      </c>
    </row>
    <row r="16" spans="2:30" x14ac:dyDescent="0.25">
      <c r="B16" t="s">
        <v>204</v>
      </c>
      <c r="C16">
        <v>14</v>
      </c>
      <c r="D16">
        <v>45</v>
      </c>
      <c r="F16" t="s">
        <v>197</v>
      </c>
      <c r="G16">
        <v>3</v>
      </c>
      <c r="H16">
        <v>5</v>
      </c>
      <c r="K16">
        <v>54</v>
      </c>
      <c r="L16">
        <v>45</v>
      </c>
      <c r="M16" t="s">
        <v>380</v>
      </c>
      <c r="N16">
        <v>194.58958333333334</v>
      </c>
      <c r="O16">
        <v>28.645833333333336</v>
      </c>
      <c r="P16">
        <v>21.362500000000004</v>
      </c>
      <c r="S16" t="s">
        <v>281</v>
      </c>
      <c r="T16" s="52" t="s">
        <v>167</v>
      </c>
      <c r="U16">
        <v>1</v>
      </c>
      <c r="W16" t="s">
        <v>282</v>
      </c>
      <c r="X16" t="s">
        <v>168</v>
      </c>
      <c r="Y16">
        <v>2</v>
      </c>
    </row>
    <row r="17" spans="2:25" x14ac:dyDescent="0.25">
      <c r="B17" t="s">
        <v>205</v>
      </c>
      <c r="C17">
        <v>14</v>
      </c>
      <c r="D17">
        <v>43</v>
      </c>
      <c r="I17">
        <v>3</v>
      </c>
      <c r="J17">
        <v>3</v>
      </c>
      <c r="K17">
        <v>55.000000000000007</v>
      </c>
      <c r="L17">
        <v>45</v>
      </c>
      <c r="M17" t="s">
        <v>381</v>
      </c>
      <c r="N17">
        <v>184.44791666666669</v>
      </c>
      <c r="O17">
        <v>29.229166666666668</v>
      </c>
      <c r="P17">
        <v>22.612500000000004</v>
      </c>
      <c r="S17" t="s">
        <v>282</v>
      </c>
      <c r="T17" s="52" t="s">
        <v>166</v>
      </c>
      <c r="U17">
        <v>2</v>
      </c>
      <c r="W17" t="s">
        <v>283</v>
      </c>
      <c r="X17" t="s">
        <v>166</v>
      </c>
      <c r="Y17">
        <v>1</v>
      </c>
    </row>
    <row r="18" spans="2:25" x14ac:dyDescent="0.25">
      <c r="B18" t="s">
        <v>206</v>
      </c>
      <c r="C18">
        <v>14</v>
      </c>
      <c r="D18">
        <v>43</v>
      </c>
      <c r="F18" t="s">
        <v>198</v>
      </c>
      <c r="G18">
        <v>3</v>
      </c>
      <c r="H18">
        <v>5</v>
      </c>
      <c r="K18">
        <v>55.000000000000007</v>
      </c>
      <c r="L18">
        <v>45</v>
      </c>
      <c r="M18" t="s">
        <v>382</v>
      </c>
      <c r="N18">
        <v>199.51458333333338</v>
      </c>
      <c r="O18">
        <v>33.0625</v>
      </c>
      <c r="P18">
        <v>24.312500000000004</v>
      </c>
      <c r="S18" t="s">
        <v>282</v>
      </c>
      <c r="T18" s="52" t="s">
        <v>164</v>
      </c>
      <c r="U18">
        <v>4</v>
      </c>
      <c r="W18" t="s">
        <v>283</v>
      </c>
      <c r="X18" t="s">
        <v>164</v>
      </c>
      <c r="Y18">
        <v>3</v>
      </c>
    </row>
    <row r="19" spans="2:25" x14ac:dyDescent="0.25">
      <c r="B19" t="s">
        <v>207</v>
      </c>
      <c r="C19">
        <v>14</v>
      </c>
      <c r="D19">
        <v>40</v>
      </c>
      <c r="I19">
        <v>3</v>
      </c>
      <c r="J19">
        <v>3</v>
      </c>
      <c r="K19">
        <v>57.000000000000007</v>
      </c>
      <c r="L19">
        <v>56.000000000000007</v>
      </c>
      <c r="M19" t="s">
        <v>383</v>
      </c>
      <c r="N19">
        <v>184.55833333333334</v>
      </c>
      <c r="O19">
        <v>30.322916666666671</v>
      </c>
      <c r="P19">
        <v>19.03125</v>
      </c>
      <c r="S19" t="s">
        <v>282</v>
      </c>
      <c r="T19" s="52" t="s">
        <v>168</v>
      </c>
      <c r="U19">
        <v>1</v>
      </c>
      <c r="W19" t="s">
        <v>283</v>
      </c>
      <c r="X19" t="s">
        <v>168</v>
      </c>
      <c r="Y19">
        <v>2</v>
      </c>
    </row>
    <row r="20" spans="2:25" x14ac:dyDescent="0.25">
      <c r="B20" t="s">
        <v>208</v>
      </c>
      <c r="C20">
        <v>14</v>
      </c>
      <c r="D20">
        <v>40</v>
      </c>
      <c r="F20" t="s">
        <v>199</v>
      </c>
      <c r="G20">
        <v>3</v>
      </c>
      <c r="H20">
        <v>5</v>
      </c>
      <c r="K20">
        <v>57.000000000000007</v>
      </c>
      <c r="L20">
        <v>56.000000000000007</v>
      </c>
      <c r="M20" t="s">
        <v>384</v>
      </c>
      <c r="N20">
        <v>188.34166666666664</v>
      </c>
      <c r="O20">
        <v>33.739583333333329</v>
      </c>
      <c r="P20">
        <v>22.381249999999994</v>
      </c>
      <c r="S20" t="s">
        <v>282</v>
      </c>
      <c r="T20" s="52" t="s">
        <v>165</v>
      </c>
      <c r="U20">
        <v>1</v>
      </c>
      <c r="W20" t="s">
        <v>284</v>
      </c>
      <c r="X20" t="s">
        <v>166</v>
      </c>
      <c r="Y20">
        <v>1</v>
      </c>
    </row>
    <row r="21" spans="2:25" x14ac:dyDescent="0.25">
      <c r="B21" t="s">
        <v>209</v>
      </c>
      <c r="C21">
        <v>14</v>
      </c>
      <c r="D21">
        <v>40</v>
      </c>
      <c r="I21">
        <v>3</v>
      </c>
      <c r="J21">
        <v>3</v>
      </c>
      <c r="K21">
        <v>57.000000000000007</v>
      </c>
      <c r="L21">
        <v>56.000000000000007</v>
      </c>
      <c r="M21" t="s">
        <v>385</v>
      </c>
      <c r="N21">
        <v>185.86666666666665</v>
      </c>
      <c r="O21">
        <v>34.833333333333329</v>
      </c>
      <c r="P21">
        <v>21.566666666666666</v>
      </c>
      <c r="S21" t="s">
        <v>283</v>
      </c>
      <c r="T21" s="52" t="s">
        <v>166</v>
      </c>
      <c r="U21">
        <v>2</v>
      </c>
      <c r="W21" t="s">
        <v>284</v>
      </c>
      <c r="X21" t="s">
        <v>164</v>
      </c>
      <c r="Y21">
        <v>3</v>
      </c>
    </row>
    <row r="22" spans="2:25" x14ac:dyDescent="0.25">
      <c r="B22" t="s">
        <v>210</v>
      </c>
      <c r="C22">
        <v>14</v>
      </c>
      <c r="D22">
        <v>40</v>
      </c>
      <c r="F22" t="s">
        <v>200</v>
      </c>
      <c r="G22">
        <v>3</v>
      </c>
      <c r="H22">
        <v>5</v>
      </c>
      <c r="K22">
        <v>57.000000000000007</v>
      </c>
      <c r="L22">
        <v>56.000000000000007</v>
      </c>
      <c r="M22" t="s">
        <v>386</v>
      </c>
      <c r="N22">
        <v>167.95</v>
      </c>
      <c r="O22">
        <v>33.916666666666657</v>
      </c>
      <c r="P22">
        <v>21.216666666666661</v>
      </c>
      <c r="S22" t="s">
        <v>283</v>
      </c>
      <c r="T22" s="52" t="s">
        <v>164</v>
      </c>
      <c r="U22">
        <v>4</v>
      </c>
      <c r="W22" t="s">
        <v>284</v>
      </c>
      <c r="X22" t="s">
        <v>168</v>
      </c>
      <c r="Y22">
        <v>2</v>
      </c>
    </row>
    <row r="23" spans="2:25" x14ac:dyDescent="0.25">
      <c r="B23" t="s">
        <v>211</v>
      </c>
      <c r="C23">
        <v>14</v>
      </c>
      <c r="D23">
        <v>39</v>
      </c>
      <c r="I23">
        <v>3</v>
      </c>
      <c r="J23">
        <v>3</v>
      </c>
      <c r="K23">
        <v>56.000000000000007</v>
      </c>
      <c r="L23">
        <v>55.000000000000007</v>
      </c>
      <c r="M23" t="s">
        <v>387</v>
      </c>
      <c r="N23">
        <v>160.71666666666667</v>
      </c>
      <c r="O23">
        <v>34.583333333333329</v>
      </c>
      <c r="P23">
        <v>20.583333333333329</v>
      </c>
      <c r="S23" t="s">
        <v>283</v>
      </c>
      <c r="T23" s="52" t="s">
        <v>168</v>
      </c>
      <c r="U23">
        <v>1</v>
      </c>
      <c r="W23" t="s">
        <v>285</v>
      </c>
      <c r="X23" t="s">
        <v>166</v>
      </c>
      <c r="Y23">
        <v>1</v>
      </c>
    </row>
    <row r="24" spans="2:25" x14ac:dyDescent="0.25">
      <c r="B24" t="s">
        <v>212</v>
      </c>
      <c r="C24">
        <v>14</v>
      </c>
      <c r="D24">
        <v>39</v>
      </c>
      <c r="F24" t="s">
        <v>201</v>
      </c>
      <c r="G24">
        <v>3</v>
      </c>
      <c r="H24">
        <v>5</v>
      </c>
      <c r="K24">
        <v>56.000000000000007</v>
      </c>
      <c r="L24">
        <v>55.000000000000007</v>
      </c>
      <c r="M24" t="s">
        <v>388</v>
      </c>
      <c r="N24">
        <v>143.15000000000003</v>
      </c>
      <c r="O24">
        <v>34.416666666666657</v>
      </c>
      <c r="P24">
        <v>21.416666666666661</v>
      </c>
      <c r="S24" t="s">
        <v>283</v>
      </c>
      <c r="T24" s="52" t="s">
        <v>165</v>
      </c>
      <c r="U24">
        <v>1</v>
      </c>
      <c r="W24" t="s">
        <v>285</v>
      </c>
      <c r="X24" t="s">
        <v>164</v>
      </c>
      <c r="Y24">
        <v>3</v>
      </c>
    </row>
    <row r="25" spans="2:25" x14ac:dyDescent="0.25">
      <c r="B25" t="s">
        <v>213</v>
      </c>
      <c r="C25">
        <v>11</v>
      </c>
      <c r="D25">
        <v>39</v>
      </c>
      <c r="I25">
        <v>3</v>
      </c>
      <c r="J25">
        <v>3</v>
      </c>
      <c r="K25">
        <v>56.000000000000007</v>
      </c>
      <c r="L25">
        <v>55.000000000000007</v>
      </c>
      <c r="M25" t="s">
        <v>389</v>
      </c>
      <c r="N25">
        <v>126.81666666666666</v>
      </c>
      <c r="O25">
        <v>32.083333333333329</v>
      </c>
      <c r="P25">
        <v>19.583333333333332</v>
      </c>
      <c r="S25" t="s">
        <v>284</v>
      </c>
      <c r="T25" s="52" t="s">
        <v>166</v>
      </c>
      <c r="U25">
        <v>2</v>
      </c>
      <c r="W25" t="s">
        <v>285</v>
      </c>
      <c r="X25" t="s">
        <v>168</v>
      </c>
      <c r="Y25">
        <v>2</v>
      </c>
    </row>
    <row r="26" spans="2:25" x14ac:dyDescent="0.25">
      <c r="B26" t="s">
        <v>214</v>
      </c>
      <c r="C26">
        <v>11</v>
      </c>
      <c r="D26">
        <v>39</v>
      </c>
      <c r="F26" t="s">
        <v>202</v>
      </c>
      <c r="G26">
        <v>3</v>
      </c>
      <c r="H26">
        <v>5</v>
      </c>
      <c r="K26">
        <v>56.000000000000007</v>
      </c>
      <c r="L26">
        <v>55.000000000000007</v>
      </c>
      <c r="M26" t="s">
        <v>390</v>
      </c>
      <c r="N26">
        <v>134.89999999999998</v>
      </c>
      <c r="O26">
        <v>36.083333333333329</v>
      </c>
      <c r="P26">
        <v>22.083333333333329</v>
      </c>
      <c r="S26" t="s">
        <v>284</v>
      </c>
      <c r="T26" s="52" t="s">
        <v>164</v>
      </c>
      <c r="U26">
        <v>4</v>
      </c>
      <c r="W26" t="s">
        <v>286</v>
      </c>
      <c r="X26" t="s">
        <v>166</v>
      </c>
      <c r="Y26">
        <v>1</v>
      </c>
    </row>
    <row r="27" spans="2:25" x14ac:dyDescent="0.25">
      <c r="B27" t="s">
        <v>215</v>
      </c>
      <c r="C27">
        <v>11</v>
      </c>
      <c r="D27">
        <v>39</v>
      </c>
      <c r="I27">
        <v>3</v>
      </c>
      <c r="J27">
        <v>3</v>
      </c>
      <c r="K27">
        <v>56.000000000000007</v>
      </c>
      <c r="L27">
        <v>55.000000000000007</v>
      </c>
      <c r="M27" t="s">
        <v>391</v>
      </c>
      <c r="N27">
        <v>128.16666666666666</v>
      </c>
      <c r="O27">
        <v>33.583333333333329</v>
      </c>
      <c r="P27">
        <v>20.583333333333329</v>
      </c>
      <c r="S27" t="s">
        <v>284</v>
      </c>
      <c r="T27" s="52" t="s">
        <v>168</v>
      </c>
      <c r="U27">
        <v>1</v>
      </c>
      <c r="W27" t="s">
        <v>286</v>
      </c>
      <c r="X27" t="s">
        <v>164</v>
      </c>
      <c r="Y27">
        <v>3</v>
      </c>
    </row>
    <row r="28" spans="2:25" x14ac:dyDescent="0.25">
      <c r="B28" t="s">
        <v>216</v>
      </c>
      <c r="C28">
        <v>11</v>
      </c>
      <c r="D28">
        <v>38</v>
      </c>
      <c r="F28" t="s">
        <v>203</v>
      </c>
      <c r="G28">
        <v>3</v>
      </c>
      <c r="H28">
        <v>5</v>
      </c>
      <c r="K28">
        <v>55.000000000000007</v>
      </c>
      <c r="L28">
        <v>54</v>
      </c>
      <c r="M28" t="s">
        <v>392</v>
      </c>
      <c r="N28">
        <v>119.53333333333333</v>
      </c>
      <c r="O28">
        <v>32.583333333333329</v>
      </c>
      <c r="P28">
        <v>21.083333333333325</v>
      </c>
      <c r="S28" t="s">
        <v>284</v>
      </c>
      <c r="T28" s="52" t="s">
        <v>165</v>
      </c>
      <c r="U28">
        <v>1</v>
      </c>
      <c r="W28" t="s">
        <v>286</v>
      </c>
      <c r="X28" t="s">
        <v>168</v>
      </c>
      <c r="Y28">
        <v>2</v>
      </c>
    </row>
    <row r="29" spans="2:25" x14ac:dyDescent="0.25">
      <c r="B29" t="s">
        <v>217</v>
      </c>
      <c r="C29">
        <v>11</v>
      </c>
      <c r="D29">
        <v>36</v>
      </c>
      <c r="I29">
        <v>3</v>
      </c>
      <c r="J29">
        <v>3</v>
      </c>
      <c r="K29">
        <v>53</v>
      </c>
      <c r="L29">
        <v>49</v>
      </c>
      <c r="M29" t="s">
        <v>393</v>
      </c>
      <c r="N29">
        <v>110.00000000000001</v>
      </c>
      <c r="O29">
        <v>32.583333333333329</v>
      </c>
      <c r="P29">
        <v>19.883333333333333</v>
      </c>
      <c r="S29" t="s">
        <v>285</v>
      </c>
      <c r="T29" s="52" t="s">
        <v>166</v>
      </c>
      <c r="U29">
        <v>2</v>
      </c>
      <c r="W29" t="s">
        <v>287</v>
      </c>
      <c r="X29" t="s">
        <v>166</v>
      </c>
      <c r="Y29">
        <v>1</v>
      </c>
    </row>
    <row r="30" spans="2:25" x14ac:dyDescent="0.25">
      <c r="B30" t="s">
        <v>218</v>
      </c>
      <c r="C30">
        <v>11</v>
      </c>
      <c r="D30">
        <v>36</v>
      </c>
      <c r="F30" t="s">
        <v>204</v>
      </c>
      <c r="G30">
        <v>3</v>
      </c>
      <c r="H30">
        <v>5</v>
      </c>
      <c r="K30">
        <v>53</v>
      </c>
      <c r="L30">
        <v>49</v>
      </c>
      <c r="M30" t="s">
        <v>394</v>
      </c>
      <c r="N30">
        <v>127.66666666666667</v>
      </c>
      <c r="O30">
        <v>37.749999999999993</v>
      </c>
      <c r="P30">
        <v>22.549999999999994</v>
      </c>
      <c r="S30" t="s">
        <v>285</v>
      </c>
      <c r="T30" s="52" t="s">
        <v>164</v>
      </c>
      <c r="U30">
        <v>4</v>
      </c>
      <c r="W30" t="s">
        <v>287</v>
      </c>
      <c r="X30" t="s">
        <v>164</v>
      </c>
      <c r="Y30">
        <v>3</v>
      </c>
    </row>
    <row r="31" spans="2:25" x14ac:dyDescent="0.25">
      <c r="B31" t="s">
        <v>219</v>
      </c>
      <c r="C31">
        <v>11</v>
      </c>
      <c r="D31">
        <v>36</v>
      </c>
      <c r="I31">
        <v>3</v>
      </c>
      <c r="J31">
        <v>3</v>
      </c>
      <c r="K31">
        <v>53</v>
      </c>
      <c r="L31">
        <v>49</v>
      </c>
      <c r="M31" t="s">
        <v>395</v>
      </c>
      <c r="N31">
        <v>119.88333333333334</v>
      </c>
      <c r="O31">
        <v>29.833333333333332</v>
      </c>
      <c r="P31">
        <v>16.383333333333333</v>
      </c>
      <c r="S31" t="s">
        <v>285</v>
      </c>
      <c r="T31" s="52" t="s">
        <v>168</v>
      </c>
      <c r="U31">
        <v>1</v>
      </c>
      <c r="W31" t="s">
        <v>287</v>
      </c>
      <c r="X31" t="s">
        <v>168</v>
      </c>
      <c r="Y31">
        <v>2</v>
      </c>
    </row>
    <row r="32" spans="2:25" x14ac:dyDescent="0.25">
      <c r="B32" t="s">
        <v>220</v>
      </c>
      <c r="C32">
        <v>11</v>
      </c>
      <c r="D32">
        <v>34</v>
      </c>
      <c r="F32" t="s">
        <v>205</v>
      </c>
      <c r="G32">
        <v>3</v>
      </c>
      <c r="H32">
        <v>5</v>
      </c>
      <c r="K32">
        <v>50</v>
      </c>
      <c r="L32">
        <v>48</v>
      </c>
      <c r="M32" t="s">
        <v>396</v>
      </c>
      <c r="N32">
        <v>71.583333333333329</v>
      </c>
      <c r="O32">
        <v>18.833333333333336</v>
      </c>
      <c r="P32">
        <v>10.883333333333335</v>
      </c>
      <c r="S32" t="s">
        <v>285</v>
      </c>
      <c r="T32" s="52" t="s">
        <v>165</v>
      </c>
      <c r="U32">
        <v>1</v>
      </c>
      <c r="W32" t="s">
        <v>288</v>
      </c>
      <c r="X32" t="s">
        <v>165</v>
      </c>
      <c r="Y32">
        <v>1</v>
      </c>
    </row>
    <row r="33" spans="2:25" x14ac:dyDescent="0.25">
      <c r="B33" t="s">
        <v>221</v>
      </c>
      <c r="C33">
        <v>11</v>
      </c>
      <c r="D33">
        <v>33</v>
      </c>
      <c r="I33">
        <v>3</v>
      </c>
      <c r="J33">
        <v>3</v>
      </c>
      <c r="K33">
        <v>49</v>
      </c>
      <c r="L33">
        <v>47</v>
      </c>
      <c r="M33" t="s">
        <v>397</v>
      </c>
      <c r="N33">
        <v>43.900000000000006</v>
      </c>
      <c r="O33">
        <v>11.916666666666668</v>
      </c>
      <c r="P33">
        <v>7.0166666666666666</v>
      </c>
      <c r="S33" t="s">
        <v>286</v>
      </c>
      <c r="T33" s="52" t="s">
        <v>166</v>
      </c>
      <c r="U33">
        <v>2</v>
      </c>
      <c r="W33" t="s">
        <v>288</v>
      </c>
      <c r="X33" t="s">
        <v>164</v>
      </c>
      <c r="Y33">
        <v>3</v>
      </c>
    </row>
    <row r="34" spans="2:25" x14ac:dyDescent="0.25">
      <c r="B34" t="s">
        <v>222</v>
      </c>
      <c r="C34">
        <v>11</v>
      </c>
      <c r="D34">
        <v>33</v>
      </c>
      <c r="F34" t="s">
        <v>206</v>
      </c>
      <c r="G34">
        <v>3</v>
      </c>
      <c r="H34">
        <v>5</v>
      </c>
      <c r="K34">
        <v>49</v>
      </c>
      <c r="L34">
        <v>47</v>
      </c>
      <c r="M34" t="s">
        <v>398</v>
      </c>
      <c r="N34">
        <v>40.666666666666671</v>
      </c>
      <c r="O34">
        <v>11.416666666666668</v>
      </c>
      <c r="P34">
        <v>8.3166666666666682</v>
      </c>
      <c r="S34" t="s">
        <v>286</v>
      </c>
      <c r="T34" s="52" t="s">
        <v>164</v>
      </c>
      <c r="U34">
        <v>4</v>
      </c>
      <c r="W34" t="s">
        <v>288</v>
      </c>
      <c r="X34" t="s">
        <v>168</v>
      </c>
      <c r="Y34">
        <v>2</v>
      </c>
    </row>
    <row r="35" spans="2:25" x14ac:dyDescent="0.25">
      <c r="B35" t="s">
        <v>223</v>
      </c>
      <c r="C35">
        <v>11</v>
      </c>
      <c r="D35">
        <v>32</v>
      </c>
      <c r="I35">
        <v>3</v>
      </c>
      <c r="J35">
        <v>3</v>
      </c>
      <c r="K35">
        <v>48</v>
      </c>
      <c r="L35">
        <v>47</v>
      </c>
      <c r="M35" t="s">
        <v>399</v>
      </c>
      <c r="N35">
        <v>28.300000000000004</v>
      </c>
      <c r="O35">
        <v>8.25</v>
      </c>
      <c r="P35">
        <v>6.2500000000000009</v>
      </c>
      <c r="S35" t="s">
        <v>286</v>
      </c>
      <c r="T35" s="52" t="s">
        <v>168</v>
      </c>
      <c r="U35">
        <v>1</v>
      </c>
      <c r="W35" t="s">
        <v>289</v>
      </c>
      <c r="X35" t="s">
        <v>165</v>
      </c>
      <c r="Y35">
        <v>1</v>
      </c>
    </row>
    <row r="36" spans="2:25" x14ac:dyDescent="0.25">
      <c r="B36" t="s">
        <v>224</v>
      </c>
      <c r="C36">
        <v>11</v>
      </c>
      <c r="D36">
        <v>32</v>
      </c>
      <c r="F36" t="s">
        <v>207</v>
      </c>
      <c r="G36">
        <v>3</v>
      </c>
      <c r="H36">
        <v>5</v>
      </c>
      <c r="K36">
        <v>48</v>
      </c>
      <c r="L36">
        <v>47</v>
      </c>
      <c r="M36" t="s">
        <v>400</v>
      </c>
      <c r="N36">
        <v>28.050000000000004</v>
      </c>
      <c r="O36">
        <v>8</v>
      </c>
      <c r="P36">
        <v>6.3500000000000005</v>
      </c>
      <c r="S36" t="s">
        <v>286</v>
      </c>
      <c r="T36" s="52" t="s">
        <v>165</v>
      </c>
      <c r="U36">
        <v>1</v>
      </c>
      <c r="W36" t="s">
        <v>289</v>
      </c>
      <c r="X36" t="s">
        <v>164</v>
      </c>
      <c r="Y36">
        <v>3</v>
      </c>
    </row>
    <row r="37" spans="2:25" x14ac:dyDescent="0.25">
      <c r="B37" t="s">
        <v>225</v>
      </c>
      <c r="C37">
        <v>11</v>
      </c>
      <c r="D37">
        <v>32</v>
      </c>
      <c r="I37">
        <v>3</v>
      </c>
      <c r="J37">
        <v>3</v>
      </c>
      <c r="K37">
        <v>48</v>
      </c>
      <c r="L37">
        <v>47</v>
      </c>
      <c r="M37" t="s">
        <v>401</v>
      </c>
      <c r="N37">
        <v>12.1</v>
      </c>
      <c r="O37">
        <v>3.5</v>
      </c>
      <c r="P37">
        <v>2.7</v>
      </c>
      <c r="S37" t="s">
        <v>287</v>
      </c>
      <c r="T37" s="52" t="s">
        <v>166</v>
      </c>
      <c r="U37">
        <v>2</v>
      </c>
      <c r="W37" t="s">
        <v>289</v>
      </c>
      <c r="X37" t="s">
        <v>168</v>
      </c>
      <c r="Y37">
        <v>2</v>
      </c>
    </row>
    <row r="38" spans="2:25" x14ac:dyDescent="0.25">
      <c r="B38" t="s">
        <v>226</v>
      </c>
      <c r="C38">
        <v>11</v>
      </c>
      <c r="D38">
        <v>31</v>
      </c>
      <c r="F38" t="s">
        <v>208</v>
      </c>
      <c r="G38">
        <v>3</v>
      </c>
      <c r="H38">
        <v>5</v>
      </c>
      <c r="K38">
        <v>51</v>
      </c>
      <c r="L38">
        <v>46</v>
      </c>
      <c r="M38" t="s">
        <v>402</v>
      </c>
      <c r="N38">
        <v>4.75</v>
      </c>
      <c r="O38">
        <v>1.5</v>
      </c>
      <c r="P38">
        <v>1.25</v>
      </c>
      <c r="S38" t="s">
        <v>287</v>
      </c>
      <c r="T38" s="52" t="s">
        <v>164</v>
      </c>
      <c r="U38">
        <v>4</v>
      </c>
      <c r="W38" t="s">
        <v>290</v>
      </c>
      <c r="X38" t="s">
        <v>165</v>
      </c>
      <c r="Y38">
        <v>1</v>
      </c>
    </row>
    <row r="39" spans="2:25" x14ac:dyDescent="0.25">
      <c r="B39" t="s">
        <v>227</v>
      </c>
      <c r="C39">
        <v>11</v>
      </c>
      <c r="D39">
        <v>31</v>
      </c>
      <c r="I39">
        <v>3</v>
      </c>
      <c r="J39">
        <v>3</v>
      </c>
      <c r="K39">
        <v>51</v>
      </c>
      <c r="L39">
        <v>46</v>
      </c>
      <c r="S39" t="s">
        <v>287</v>
      </c>
      <c r="T39" s="52" t="s">
        <v>168</v>
      </c>
      <c r="U39">
        <v>1</v>
      </c>
      <c r="W39" t="s">
        <v>290</v>
      </c>
      <c r="X39" t="s">
        <v>164</v>
      </c>
      <c r="Y39">
        <v>3</v>
      </c>
    </row>
    <row r="40" spans="2:25" x14ac:dyDescent="0.25">
      <c r="B40" t="s">
        <v>228</v>
      </c>
      <c r="C40">
        <v>11</v>
      </c>
      <c r="D40">
        <v>31</v>
      </c>
      <c r="F40" t="s">
        <v>209</v>
      </c>
      <c r="G40">
        <v>3</v>
      </c>
      <c r="H40">
        <v>5</v>
      </c>
      <c r="K40">
        <v>51</v>
      </c>
      <c r="L40">
        <v>46</v>
      </c>
      <c r="S40" t="s">
        <v>287</v>
      </c>
      <c r="T40" s="52" t="s">
        <v>165</v>
      </c>
      <c r="U40">
        <v>1</v>
      </c>
      <c r="W40" t="s">
        <v>290</v>
      </c>
      <c r="X40" t="s">
        <v>168</v>
      </c>
      <c r="Y40">
        <v>2</v>
      </c>
    </row>
    <row r="41" spans="2:25" x14ac:dyDescent="0.25">
      <c r="B41" t="s">
        <v>229</v>
      </c>
      <c r="C41">
        <v>11</v>
      </c>
      <c r="D41">
        <v>29</v>
      </c>
      <c r="I41">
        <v>3</v>
      </c>
      <c r="J41">
        <v>3</v>
      </c>
      <c r="K41">
        <v>52</v>
      </c>
      <c r="L41">
        <v>45</v>
      </c>
      <c r="S41" t="s">
        <v>288</v>
      </c>
      <c r="T41" s="52" t="s">
        <v>165</v>
      </c>
      <c r="U41">
        <v>2</v>
      </c>
      <c r="W41" t="s">
        <v>291</v>
      </c>
      <c r="X41" t="s">
        <v>165</v>
      </c>
      <c r="Y41">
        <v>1</v>
      </c>
    </row>
    <row r="42" spans="2:25" x14ac:dyDescent="0.25">
      <c r="B42" t="s">
        <v>230</v>
      </c>
      <c r="C42">
        <v>11</v>
      </c>
      <c r="D42">
        <v>29</v>
      </c>
      <c r="F42" t="s">
        <v>210</v>
      </c>
      <c r="G42">
        <v>3</v>
      </c>
      <c r="H42">
        <v>5</v>
      </c>
      <c r="K42">
        <v>52</v>
      </c>
      <c r="L42">
        <v>45</v>
      </c>
      <c r="S42" t="s">
        <v>288</v>
      </c>
      <c r="T42" s="52" t="s">
        <v>164</v>
      </c>
      <c r="U42">
        <v>4</v>
      </c>
      <c r="W42" t="s">
        <v>291</v>
      </c>
      <c r="X42" t="s">
        <v>164</v>
      </c>
      <c r="Y42">
        <v>3</v>
      </c>
    </row>
    <row r="43" spans="2:25" x14ac:dyDescent="0.25">
      <c r="B43" t="s">
        <v>231</v>
      </c>
      <c r="C43">
        <v>11</v>
      </c>
      <c r="D43">
        <v>29</v>
      </c>
      <c r="I43">
        <v>3</v>
      </c>
      <c r="J43">
        <v>3</v>
      </c>
      <c r="K43">
        <v>52</v>
      </c>
      <c r="L43">
        <v>45</v>
      </c>
      <c r="S43" t="s">
        <v>288</v>
      </c>
      <c r="T43" s="52" t="s">
        <v>167</v>
      </c>
      <c r="U43">
        <v>1</v>
      </c>
      <c r="W43" t="s">
        <v>291</v>
      </c>
      <c r="X43" t="s">
        <v>168</v>
      </c>
      <c r="Y43">
        <v>2</v>
      </c>
    </row>
    <row r="44" spans="2:25" x14ac:dyDescent="0.25">
      <c r="B44" t="s">
        <v>232</v>
      </c>
      <c r="C44">
        <v>11</v>
      </c>
      <c r="D44">
        <v>28</v>
      </c>
      <c r="F44" t="s">
        <v>211</v>
      </c>
      <c r="G44">
        <v>3</v>
      </c>
      <c r="H44">
        <v>5</v>
      </c>
      <c r="K44">
        <v>51</v>
      </c>
      <c r="L44">
        <v>44</v>
      </c>
      <c r="S44" t="s">
        <v>288</v>
      </c>
      <c r="T44" s="52" t="s">
        <v>166</v>
      </c>
      <c r="U44">
        <v>1</v>
      </c>
      <c r="W44" t="s">
        <v>292</v>
      </c>
      <c r="X44" t="s">
        <v>165</v>
      </c>
      <c r="Y44">
        <v>1</v>
      </c>
    </row>
    <row r="45" spans="2:25" x14ac:dyDescent="0.25">
      <c r="B45" t="s">
        <v>233</v>
      </c>
      <c r="C45">
        <v>11</v>
      </c>
      <c r="D45">
        <v>28</v>
      </c>
      <c r="I45">
        <v>3</v>
      </c>
      <c r="J45">
        <v>3</v>
      </c>
      <c r="K45">
        <v>51</v>
      </c>
      <c r="L45">
        <v>44</v>
      </c>
      <c r="S45" t="s">
        <v>289</v>
      </c>
      <c r="T45" s="52" t="s">
        <v>165</v>
      </c>
      <c r="U45">
        <v>2</v>
      </c>
      <c r="W45" t="s">
        <v>292</v>
      </c>
      <c r="X45" t="s">
        <v>164</v>
      </c>
      <c r="Y45">
        <v>3</v>
      </c>
    </row>
    <row r="46" spans="2:25" x14ac:dyDescent="0.25">
      <c r="B46" t="s">
        <v>234</v>
      </c>
      <c r="C46">
        <v>11</v>
      </c>
      <c r="D46">
        <v>27</v>
      </c>
      <c r="F46" t="s">
        <v>212</v>
      </c>
      <c r="G46">
        <v>3</v>
      </c>
      <c r="H46">
        <v>5</v>
      </c>
      <c r="K46">
        <v>49</v>
      </c>
      <c r="L46">
        <v>42</v>
      </c>
      <c r="S46" t="s">
        <v>289</v>
      </c>
      <c r="T46" s="52" t="s">
        <v>164</v>
      </c>
      <c r="U46">
        <v>4</v>
      </c>
      <c r="W46" t="s">
        <v>292</v>
      </c>
      <c r="X46" t="s">
        <v>168</v>
      </c>
      <c r="Y46">
        <v>2</v>
      </c>
    </row>
    <row r="47" spans="2:25" x14ac:dyDescent="0.25">
      <c r="B47" t="s">
        <v>235</v>
      </c>
      <c r="C47">
        <v>11</v>
      </c>
      <c r="D47">
        <v>27</v>
      </c>
      <c r="I47">
        <v>3</v>
      </c>
      <c r="J47">
        <v>3</v>
      </c>
      <c r="K47">
        <v>49</v>
      </c>
      <c r="L47">
        <v>42</v>
      </c>
      <c r="S47" t="s">
        <v>289</v>
      </c>
      <c r="T47" s="52" t="s">
        <v>167</v>
      </c>
      <c r="U47">
        <v>1</v>
      </c>
      <c r="W47" t="s">
        <v>293</v>
      </c>
      <c r="X47" t="s">
        <v>165</v>
      </c>
      <c r="Y47">
        <v>1</v>
      </c>
    </row>
    <row r="48" spans="2:25" x14ac:dyDescent="0.25">
      <c r="B48" t="s">
        <v>236</v>
      </c>
      <c r="C48">
        <v>11</v>
      </c>
      <c r="D48">
        <v>27</v>
      </c>
      <c r="F48" t="s">
        <v>213</v>
      </c>
      <c r="G48">
        <v>3</v>
      </c>
      <c r="H48">
        <v>5</v>
      </c>
      <c r="K48">
        <v>49</v>
      </c>
      <c r="L48">
        <v>42</v>
      </c>
      <c r="S48" t="s">
        <v>289</v>
      </c>
      <c r="T48" s="52" t="s">
        <v>166</v>
      </c>
      <c r="U48">
        <v>1</v>
      </c>
      <c r="W48" t="s">
        <v>293</v>
      </c>
      <c r="X48" t="s">
        <v>164</v>
      </c>
      <c r="Y48">
        <v>3</v>
      </c>
    </row>
    <row r="49" spans="2:25" x14ac:dyDescent="0.25">
      <c r="B49" t="s">
        <v>237</v>
      </c>
      <c r="C49">
        <v>11</v>
      </c>
      <c r="D49">
        <v>27</v>
      </c>
      <c r="I49">
        <v>3</v>
      </c>
      <c r="J49">
        <v>3</v>
      </c>
      <c r="K49">
        <v>49</v>
      </c>
      <c r="L49">
        <v>42</v>
      </c>
      <c r="S49" t="s">
        <v>290</v>
      </c>
      <c r="T49" s="52" t="s">
        <v>165</v>
      </c>
      <c r="U49">
        <v>2</v>
      </c>
      <c r="W49" t="s">
        <v>293</v>
      </c>
      <c r="X49" t="s">
        <v>168</v>
      </c>
      <c r="Y49">
        <v>2</v>
      </c>
    </row>
    <row r="50" spans="2:25" x14ac:dyDescent="0.25">
      <c r="B50" t="s">
        <v>238</v>
      </c>
      <c r="C50">
        <v>11</v>
      </c>
      <c r="D50">
        <v>26</v>
      </c>
      <c r="F50" t="s">
        <v>214</v>
      </c>
      <c r="G50">
        <v>3</v>
      </c>
      <c r="H50">
        <v>5</v>
      </c>
      <c r="K50">
        <v>48</v>
      </c>
      <c r="L50">
        <v>42</v>
      </c>
      <c r="S50" t="s">
        <v>290</v>
      </c>
      <c r="T50" s="52" t="s">
        <v>164</v>
      </c>
      <c r="U50">
        <v>4</v>
      </c>
      <c r="W50" t="s">
        <v>294</v>
      </c>
      <c r="X50" t="s">
        <v>165</v>
      </c>
      <c r="Y50">
        <v>1</v>
      </c>
    </row>
    <row r="51" spans="2:25" x14ac:dyDescent="0.25">
      <c r="B51" t="s">
        <v>239</v>
      </c>
      <c r="C51">
        <v>8</v>
      </c>
      <c r="D51">
        <v>24</v>
      </c>
      <c r="I51">
        <v>3</v>
      </c>
      <c r="J51">
        <v>3</v>
      </c>
      <c r="K51">
        <v>41</v>
      </c>
      <c r="L51">
        <v>34</v>
      </c>
      <c r="S51" t="s">
        <v>290</v>
      </c>
      <c r="T51" s="52" t="s">
        <v>167</v>
      </c>
      <c r="U51">
        <v>1</v>
      </c>
      <c r="W51" t="s">
        <v>294</v>
      </c>
      <c r="X51" t="s">
        <v>164</v>
      </c>
      <c r="Y51">
        <v>3</v>
      </c>
    </row>
    <row r="52" spans="2:25" x14ac:dyDescent="0.25">
      <c r="B52" t="s">
        <v>240</v>
      </c>
      <c r="C52">
        <v>8</v>
      </c>
      <c r="D52">
        <v>24</v>
      </c>
      <c r="F52" t="s">
        <v>215</v>
      </c>
      <c r="G52">
        <v>3</v>
      </c>
      <c r="H52">
        <v>5</v>
      </c>
      <c r="K52">
        <v>41</v>
      </c>
      <c r="L52">
        <v>34</v>
      </c>
      <c r="S52" t="s">
        <v>290</v>
      </c>
      <c r="T52" s="52" t="s">
        <v>166</v>
      </c>
      <c r="U52">
        <v>1</v>
      </c>
      <c r="W52" t="s">
        <v>294</v>
      </c>
      <c r="X52" t="s">
        <v>168</v>
      </c>
      <c r="Y52">
        <v>2</v>
      </c>
    </row>
    <row r="53" spans="2:25" x14ac:dyDescent="0.25">
      <c r="B53" t="s">
        <v>241</v>
      </c>
      <c r="C53">
        <v>8</v>
      </c>
      <c r="D53">
        <v>24</v>
      </c>
      <c r="I53">
        <v>3</v>
      </c>
      <c r="J53">
        <v>3</v>
      </c>
      <c r="K53">
        <v>41</v>
      </c>
      <c r="L53">
        <v>34</v>
      </c>
      <c r="S53" t="s">
        <v>291</v>
      </c>
      <c r="T53" s="52" t="s">
        <v>165</v>
      </c>
      <c r="U53">
        <v>2</v>
      </c>
      <c r="W53" t="s">
        <v>295</v>
      </c>
      <c r="X53" t="s">
        <v>165</v>
      </c>
      <c r="Y53">
        <v>1</v>
      </c>
    </row>
    <row r="54" spans="2:25" x14ac:dyDescent="0.25">
      <c r="B54" t="s">
        <v>242</v>
      </c>
      <c r="C54">
        <v>8</v>
      </c>
      <c r="D54">
        <v>24</v>
      </c>
      <c r="F54" t="s">
        <v>216</v>
      </c>
      <c r="G54">
        <v>3</v>
      </c>
      <c r="H54">
        <v>5</v>
      </c>
      <c r="K54">
        <v>41</v>
      </c>
      <c r="L54">
        <v>34</v>
      </c>
      <c r="S54" t="s">
        <v>291</v>
      </c>
      <c r="T54" s="52" t="s">
        <v>164</v>
      </c>
      <c r="U54">
        <v>4</v>
      </c>
      <c r="W54" t="s">
        <v>295</v>
      </c>
      <c r="X54" t="s">
        <v>164</v>
      </c>
      <c r="Y54">
        <v>3</v>
      </c>
    </row>
    <row r="55" spans="2:25" x14ac:dyDescent="0.25">
      <c r="B55" t="s">
        <v>243</v>
      </c>
      <c r="C55">
        <v>8</v>
      </c>
      <c r="D55">
        <v>24</v>
      </c>
      <c r="I55">
        <v>3</v>
      </c>
      <c r="J55">
        <v>3</v>
      </c>
      <c r="K55">
        <v>41</v>
      </c>
      <c r="L55">
        <v>34</v>
      </c>
      <c r="S55" t="s">
        <v>291</v>
      </c>
      <c r="T55" s="52" t="s">
        <v>166</v>
      </c>
      <c r="U55">
        <v>2</v>
      </c>
      <c r="W55" t="s">
        <v>295</v>
      </c>
      <c r="X55" t="s">
        <v>167</v>
      </c>
      <c r="Y55">
        <v>2</v>
      </c>
    </row>
    <row r="56" spans="2:25" x14ac:dyDescent="0.25">
      <c r="B56" t="s">
        <v>244</v>
      </c>
      <c r="C56">
        <v>8</v>
      </c>
      <c r="D56">
        <v>22</v>
      </c>
      <c r="F56" t="s">
        <v>217</v>
      </c>
      <c r="G56">
        <v>3</v>
      </c>
      <c r="H56">
        <v>5</v>
      </c>
      <c r="K56">
        <v>39</v>
      </c>
      <c r="L56">
        <v>33</v>
      </c>
      <c r="S56" t="s">
        <v>292</v>
      </c>
      <c r="T56" s="52" t="s">
        <v>165</v>
      </c>
      <c r="U56">
        <v>2</v>
      </c>
      <c r="W56" t="s">
        <v>296</v>
      </c>
      <c r="X56" t="s">
        <v>165</v>
      </c>
      <c r="Y56">
        <v>1</v>
      </c>
    </row>
    <row r="57" spans="2:25" x14ac:dyDescent="0.25">
      <c r="B57" t="s">
        <v>245</v>
      </c>
      <c r="C57">
        <v>8</v>
      </c>
      <c r="D57">
        <v>21</v>
      </c>
      <c r="I57">
        <v>3</v>
      </c>
      <c r="J57">
        <v>2</v>
      </c>
      <c r="K57">
        <v>41</v>
      </c>
      <c r="L57">
        <v>40</v>
      </c>
      <c r="S57" t="s">
        <v>292</v>
      </c>
      <c r="T57" s="52" t="s">
        <v>164</v>
      </c>
      <c r="U57">
        <v>4</v>
      </c>
      <c r="W57" t="s">
        <v>296</v>
      </c>
      <c r="X57" t="s">
        <v>164</v>
      </c>
      <c r="Y57">
        <v>3</v>
      </c>
    </row>
    <row r="58" spans="2:25" x14ac:dyDescent="0.25">
      <c r="B58" t="s">
        <v>246</v>
      </c>
      <c r="C58">
        <v>8</v>
      </c>
      <c r="D58">
        <v>21</v>
      </c>
      <c r="F58" t="s">
        <v>218</v>
      </c>
      <c r="G58">
        <v>3</v>
      </c>
      <c r="H58">
        <v>5</v>
      </c>
      <c r="K58">
        <v>41</v>
      </c>
      <c r="L58">
        <v>40</v>
      </c>
      <c r="S58" t="s">
        <v>292</v>
      </c>
      <c r="T58" s="52" t="s">
        <v>166</v>
      </c>
      <c r="U58">
        <v>2</v>
      </c>
      <c r="W58" t="s">
        <v>296</v>
      </c>
      <c r="X58" t="s">
        <v>167</v>
      </c>
      <c r="Y58">
        <v>2</v>
      </c>
    </row>
    <row r="59" spans="2:25" x14ac:dyDescent="0.25">
      <c r="B59" t="s">
        <v>247</v>
      </c>
      <c r="C59">
        <v>8</v>
      </c>
      <c r="D59">
        <v>21</v>
      </c>
      <c r="I59">
        <v>3</v>
      </c>
      <c r="J59">
        <v>2</v>
      </c>
      <c r="K59">
        <v>41</v>
      </c>
      <c r="L59">
        <v>40</v>
      </c>
      <c r="S59" t="s">
        <v>293</v>
      </c>
      <c r="T59" s="52" t="s">
        <v>165</v>
      </c>
      <c r="U59">
        <v>1</v>
      </c>
      <c r="W59" t="s">
        <v>297</v>
      </c>
      <c r="X59" t="s">
        <v>165</v>
      </c>
      <c r="Y59">
        <v>1</v>
      </c>
    </row>
    <row r="60" spans="2:25" x14ac:dyDescent="0.25">
      <c r="B60" t="s">
        <v>248</v>
      </c>
      <c r="C60">
        <v>8</v>
      </c>
      <c r="D60">
        <v>21</v>
      </c>
      <c r="F60" t="s">
        <v>219</v>
      </c>
      <c r="G60">
        <v>3</v>
      </c>
      <c r="H60">
        <v>5</v>
      </c>
      <c r="K60">
        <v>41</v>
      </c>
      <c r="L60">
        <v>40</v>
      </c>
      <c r="S60" t="s">
        <v>293</v>
      </c>
      <c r="T60" s="52" t="s">
        <v>164</v>
      </c>
      <c r="U60">
        <v>5</v>
      </c>
      <c r="W60" t="s">
        <v>297</v>
      </c>
      <c r="X60" t="s">
        <v>164</v>
      </c>
      <c r="Y60">
        <v>3</v>
      </c>
    </row>
    <row r="61" spans="2:25" x14ac:dyDescent="0.25">
      <c r="B61" t="s">
        <v>249</v>
      </c>
      <c r="C61">
        <v>8</v>
      </c>
      <c r="D61">
        <v>21</v>
      </c>
      <c r="I61">
        <v>3</v>
      </c>
      <c r="J61">
        <v>2</v>
      </c>
      <c r="K61">
        <v>41</v>
      </c>
      <c r="L61">
        <v>40</v>
      </c>
      <c r="S61" t="s">
        <v>293</v>
      </c>
      <c r="T61" s="52" t="s">
        <v>166</v>
      </c>
      <c r="U61">
        <v>2</v>
      </c>
      <c r="W61" t="s">
        <v>297</v>
      </c>
      <c r="X61" t="s">
        <v>167</v>
      </c>
      <c r="Y61">
        <v>2</v>
      </c>
    </row>
    <row r="62" spans="2:25" x14ac:dyDescent="0.25">
      <c r="B62" t="s">
        <v>250</v>
      </c>
      <c r="C62">
        <v>8</v>
      </c>
      <c r="D62">
        <v>21</v>
      </c>
      <c r="F62" t="s">
        <v>220</v>
      </c>
      <c r="G62">
        <v>3</v>
      </c>
      <c r="H62">
        <v>5</v>
      </c>
      <c r="K62">
        <v>41</v>
      </c>
      <c r="L62">
        <v>40</v>
      </c>
      <c r="S62" t="s">
        <v>294</v>
      </c>
      <c r="T62" s="52" t="s">
        <v>165</v>
      </c>
      <c r="U62">
        <v>1</v>
      </c>
      <c r="W62" t="s">
        <v>298</v>
      </c>
      <c r="X62" t="s">
        <v>165</v>
      </c>
      <c r="Y62">
        <v>1</v>
      </c>
    </row>
    <row r="63" spans="2:25" x14ac:dyDescent="0.25">
      <c r="B63" t="s">
        <v>251</v>
      </c>
      <c r="C63">
        <v>8</v>
      </c>
      <c r="D63">
        <v>21</v>
      </c>
      <c r="I63">
        <v>3</v>
      </c>
      <c r="J63">
        <v>2</v>
      </c>
      <c r="K63">
        <v>41</v>
      </c>
      <c r="L63">
        <v>40</v>
      </c>
      <c r="S63" t="s">
        <v>294</v>
      </c>
      <c r="T63" s="52" t="s">
        <v>164</v>
      </c>
      <c r="U63">
        <v>5</v>
      </c>
      <c r="W63" t="s">
        <v>298</v>
      </c>
      <c r="X63" t="s">
        <v>164</v>
      </c>
      <c r="Y63">
        <v>3</v>
      </c>
    </row>
    <row r="64" spans="2:25" x14ac:dyDescent="0.25">
      <c r="B64" t="s">
        <v>252</v>
      </c>
      <c r="C64">
        <v>8</v>
      </c>
      <c r="D64">
        <v>21</v>
      </c>
      <c r="F64" t="s">
        <v>221</v>
      </c>
      <c r="G64">
        <v>3</v>
      </c>
      <c r="H64">
        <v>5</v>
      </c>
      <c r="K64">
        <v>41</v>
      </c>
      <c r="L64">
        <v>40</v>
      </c>
      <c r="S64" t="s">
        <v>294</v>
      </c>
      <c r="T64" s="52" t="s">
        <v>166</v>
      </c>
      <c r="U64">
        <v>2</v>
      </c>
      <c r="W64" t="s">
        <v>298</v>
      </c>
      <c r="X64" t="s">
        <v>167</v>
      </c>
      <c r="Y64">
        <v>2</v>
      </c>
    </row>
    <row r="65" spans="2:25" x14ac:dyDescent="0.25">
      <c r="B65" t="s">
        <v>253</v>
      </c>
      <c r="C65">
        <v>8</v>
      </c>
      <c r="D65">
        <v>20</v>
      </c>
      <c r="I65">
        <v>3</v>
      </c>
      <c r="J65">
        <v>2</v>
      </c>
      <c r="K65">
        <v>39</v>
      </c>
      <c r="L65">
        <v>39</v>
      </c>
      <c r="S65" t="s">
        <v>295</v>
      </c>
      <c r="T65" s="52" t="s">
        <v>165</v>
      </c>
      <c r="U65">
        <v>2</v>
      </c>
      <c r="W65" t="s">
        <v>299</v>
      </c>
      <c r="X65" t="s">
        <v>165</v>
      </c>
      <c r="Y65">
        <v>1</v>
      </c>
    </row>
    <row r="66" spans="2:25" x14ac:dyDescent="0.25">
      <c r="B66" t="s">
        <v>254</v>
      </c>
      <c r="C66">
        <v>8</v>
      </c>
      <c r="D66">
        <v>20</v>
      </c>
      <c r="F66" t="s">
        <v>222</v>
      </c>
      <c r="G66">
        <v>3</v>
      </c>
      <c r="H66">
        <v>5</v>
      </c>
      <c r="K66">
        <v>39</v>
      </c>
      <c r="L66">
        <v>39</v>
      </c>
      <c r="S66" t="s">
        <v>295</v>
      </c>
      <c r="T66" s="52" t="s">
        <v>164</v>
      </c>
      <c r="U66">
        <v>5</v>
      </c>
      <c r="W66" t="s">
        <v>299</v>
      </c>
      <c r="X66" t="s">
        <v>164</v>
      </c>
      <c r="Y66">
        <v>3</v>
      </c>
    </row>
    <row r="67" spans="2:25" x14ac:dyDescent="0.25">
      <c r="B67" t="s">
        <v>255</v>
      </c>
      <c r="C67">
        <v>8</v>
      </c>
      <c r="D67">
        <v>20</v>
      </c>
      <c r="I67">
        <v>3</v>
      </c>
      <c r="J67">
        <v>2</v>
      </c>
      <c r="K67">
        <v>39</v>
      </c>
      <c r="L67">
        <v>39</v>
      </c>
      <c r="S67" t="s">
        <v>295</v>
      </c>
      <c r="T67" s="52" t="s">
        <v>166</v>
      </c>
      <c r="U67">
        <v>1</v>
      </c>
      <c r="W67" t="s">
        <v>299</v>
      </c>
      <c r="X67" t="s">
        <v>167</v>
      </c>
      <c r="Y67">
        <v>2</v>
      </c>
    </row>
    <row r="68" spans="2:25" x14ac:dyDescent="0.25">
      <c r="B68" t="s">
        <v>256</v>
      </c>
      <c r="C68">
        <v>8</v>
      </c>
      <c r="D68">
        <v>20</v>
      </c>
      <c r="F68" t="s">
        <v>223</v>
      </c>
      <c r="G68">
        <v>3</v>
      </c>
      <c r="H68">
        <v>5</v>
      </c>
      <c r="K68">
        <v>39</v>
      </c>
      <c r="L68">
        <v>39</v>
      </c>
      <c r="S68" t="s">
        <v>296</v>
      </c>
      <c r="T68" s="52" t="s">
        <v>165</v>
      </c>
      <c r="U68">
        <v>2</v>
      </c>
      <c r="W68" t="s">
        <v>300</v>
      </c>
      <c r="X68" t="s">
        <v>165</v>
      </c>
      <c r="Y68">
        <v>1</v>
      </c>
    </row>
    <row r="69" spans="2:25" x14ac:dyDescent="0.25">
      <c r="B69" t="s">
        <v>257</v>
      </c>
      <c r="C69">
        <v>8</v>
      </c>
      <c r="D69">
        <v>20</v>
      </c>
      <c r="I69">
        <v>3</v>
      </c>
      <c r="J69">
        <v>2</v>
      </c>
      <c r="K69">
        <v>39</v>
      </c>
      <c r="L69">
        <v>39</v>
      </c>
      <c r="S69" t="s">
        <v>296</v>
      </c>
      <c r="T69" s="52" t="s">
        <v>164</v>
      </c>
      <c r="U69">
        <v>5</v>
      </c>
      <c r="W69" t="s">
        <v>300</v>
      </c>
      <c r="X69" t="s">
        <v>164</v>
      </c>
      <c r="Y69">
        <v>3</v>
      </c>
    </row>
    <row r="70" spans="2:25" x14ac:dyDescent="0.25">
      <c r="B70" t="s">
        <v>258</v>
      </c>
      <c r="C70">
        <v>8</v>
      </c>
      <c r="D70">
        <v>20</v>
      </c>
      <c r="F70" t="s">
        <v>224</v>
      </c>
      <c r="G70">
        <v>3</v>
      </c>
      <c r="H70">
        <v>5</v>
      </c>
      <c r="K70">
        <v>39</v>
      </c>
      <c r="L70">
        <v>39</v>
      </c>
      <c r="S70" t="s">
        <v>296</v>
      </c>
      <c r="T70" s="52" t="s">
        <v>166</v>
      </c>
      <c r="U70">
        <v>1</v>
      </c>
      <c r="W70" t="s">
        <v>300</v>
      </c>
      <c r="X70" t="s">
        <v>167</v>
      </c>
      <c r="Y70">
        <v>2</v>
      </c>
    </row>
    <row r="71" spans="2:25" x14ac:dyDescent="0.25">
      <c r="B71" t="s">
        <v>259</v>
      </c>
      <c r="C71">
        <v>8</v>
      </c>
      <c r="D71">
        <v>20</v>
      </c>
      <c r="I71">
        <v>3</v>
      </c>
      <c r="J71">
        <v>2</v>
      </c>
      <c r="K71">
        <v>39</v>
      </c>
      <c r="L71">
        <v>39</v>
      </c>
      <c r="S71" t="s">
        <v>297</v>
      </c>
      <c r="T71" s="52" t="s">
        <v>165</v>
      </c>
      <c r="U71">
        <v>2</v>
      </c>
      <c r="W71" t="s">
        <v>301</v>
      </c>
      <c r="X71" t="s">
        <v>164</v>
      </c>
      <c r="Y71">
        <v>4</v>
      </c>
    </row>
    <row r="72" spans="2:25" x14ac:dyDescent="0.25">
      <c r="B72" t="s">
        <v>260</v>
      </c>
      <c r="C72">
        <v>19</v>
      </c>
      <c r="D72">
        <v>32</v>
      </c>
      <c r="F72" t="s">
        <v>225</v>
      </c>
      <c r="G72">
        <v>3</v>
      </c>
      <c r="H72">
        <v>5</v>
      </c>
      <c r="K72">
        <v>46</v>
      </c>
      <c r="L72">
        <v>45</v>
      </c>
      <c r="S72" t="s">
        <v>297</v>
      </c>
      <c r="T72" s="52" t="s">
        <v>164</v>
      </c>
      <c r="U72">
        <v>5</v>
      </c>
      <c r="W72" t="s">
        <v>301</v>
      </c>
      <c r="X72" t="s">
        <v>167</v>
      </c>
      <c r="Y72">
        <v>2</v>
      </c>
    </row>
    <row r="73" spans="2:25" x14ac:dyDescent="0.25">
      <c r="B73" t="s">
        <v>261</v>
      </c>
      <c r="C73">
        <v>19</v>
      </c>
      <c r="D73">
        <v>32</v>
      </c>
      <c r="I73">
        <v>3</v>
      </c>
      <c r="J73">
        <v>2</v>
      </c>
      <c r="K73">
        <v>46</v>
      </c>
      <c r="L73">
        <v>45</v>
      </c>
      <c r="S73" t="s">
        <v>297</v>
      </c>
      <c r="T73" s="52" t="s">
        <v>166</v>
      </c>
      <c r="U73">
        <v>1</v>
      </c>
      <c r="W73" t="s">
        <v>302</v>
      </c>
      <c r="X73" t="s">
        <v>164</v>
      </c>
      <c r="Y73">
        <v>4</v>
      </c>
    </row>
    <row r="74" spans="2:25" x14ac:dyDescent="0.25">
      <c r="B74" t="s">
        <v>262</v>
      </c>
      <c r="C74">
        <v>8</v>
      </c>
      <c r="D74">
        <v>19</v>
      </c>
      <c r="F74" t="s">
        <v>226</v>
      </c>
      <c r="G74">
        <v>3</v>
      </c>
      <c r="H74">
        <v>5</v>
      </c>
      <c r="K74">
        <v>38</v>
      </c>
      <c r="L74">
        <v>38</v>
      </c>
      <c r="S74" t="s">
        <v>298</v>
      </c>
      <c r="T74" s="52" t="s">
        <v>165</v>
      </c>
      <c r="U74">
        <v>2</v>
      </c>
      <c r="W74" t="s">
        <v>302</v>
      </c>
      <c r="X74" t="s">
        <v>167</v>
      </c>
      <c r="Y74">
        <v>2</v>
      </c>
    </row>
    <row r="75" spans="2:25" x14ac:dyDescent="0.25">
      <c r="B75" t="s">
        <v>263</v>
      </c>
      <c r="C75">
        <v>8</v>
      </c>
      <c r="D75">
        <v>17</v>
      </c>
      <c r="I75">
        <v>3</v>
      </c>
      <c r="J75">
        <v>2</v>
      </c>
      <c r="K75">
        <v>35</v>
      </c>
      <c r="L75">
        <v>39</v>
      </c>
      <c r="S75" t="s">
        <v>298</v>
      </c>
      <c r="T75" s="52" t="s">
        <v>164</v>
      </c>
      <c r="U75">
        <v>5</v>
      </c>
      <c r="W75" t="s">
        <v>303</v>
      </c>
      <c r="X75" t="s">
        <v>164</v>
      </c>
      <c r="Y75">
        <v>4</v>
      </c>
    </row>
    <row r="76" spans="2:25" x14ac:dyDescent="0.25">
      <c r="B76" t="s">
        <v>264</v>
      </c>
      <c r="C76">
        <v>8</v>
      </c>
      <c r="D76">
        <v>17</v>
      </c>
      <c r="F76" t="s">
        <v>227</v>
      </c>
      <c r="G76">
        <v>3</v>
      </c>
      <c r="H76">
        <v>5</v>
      </c>
      <c r="K76">
        <v>35</v>
      </c>
      <c r="L76">
        <v>39</v>
      </c>
      <c r="S76" t="s">
        <v>298</v>
      </c>
      <c r="T76" s="52" t="s">
        <v>166</v>
      </c>
      <c r="U76">
        <v>1</v>
      </c>
      <c r="W76" t="s">
        <v>303</v>
      </c>
      <c r="X76" t="s">
        <v>167</v>
      </c>
      <c r="Y76">
        <v>2</v>
      </c>
    </row>
    <row r="77" spans="2:25" x14ac:dyDescent="0.25">
      <c r="B77" t="s">
        <v>265</v>
      </c>
      <c r="C77">
        <v>8</v>
      </c>
      <c r="D77">
        <v>17</v>
      </c>
      <c r="I77">
        <v>3</v>
      </c>
      <c r="J77">
        <v>2</v>
      </c>
      <c r="K77">
        <v>35</v>
      </c>
      <c r="L77">
        <v>39</v>
      </c>
      <c r="S77" t="s">
        <v>299</v>
      </c>
      <c r="T77" s="52" t="s">
        <v>165</v>
      </c>
      <c r="U77">
        <v>2</v>
      </c>
      <c r="W77" t="s">
        <v>304</v>
      </c>
      <c r="X77" t="s">
        <v>164</v>
      </c>
      <c r="Y77">
        <v>4</v>
      </c>
    </row>
    <row r="78" spans="2:25" x14ac:dyDescent="0.25">
      <c r="B78" t="s">
        <v>266</v>
      </c>
      <c r="C78">
        <v>8</v>
      </c>
      <c r="D78">
        <v>15</v>
      </c>
      <c r="F78" t="s">
        <v>228</v>
      </c>
      <c r="G78">
        <v>3</v>
      </c>
      <c r="H78">
        <v>5</v>
      </c>
      <c r="K78">
        <v>32</v>
      </c>
      <c r="L78">
        <v>37</v>
      </c>
      <c r="S78" t="s">
        <v>299</v>
      </c>
      <c r="T78" s="52" t="s">
        <v>164</v>
      </c>
      <c r="U78">
        <v>5</v>
      </c>
      <c r="W78" t="s">
        <v>304</v>
      </c>
      <c r="X78" t="s">
        <v>167</v>
      </c>
      <c r="Y78">
        <v>2</v>
      </c>
    </row>
    <row r="79" spans="2:25" x14ac:dyDescent="0.25">
      <c r="B79" t="s">
        <v>267</v>
      </c>
      <c r="C79">
        <v>8</v>
      </c>
      <c r="D79">
        <v>15</v>
      </c>
      <c r="I79">
        <v>3</v>
      </c>
      <c r="J79">
        <v>2</v>
      </c>
      <c r="K79">
        <v>32</v>
      </c>
      <c r="L79">
        <v>37</v>
      </c>
      <c r="S79" t="s">
        <v>299</v>
      </c>
      <c r="T79" s="52" t="s">
        <v>166</v>
      </c>
      <c r="U79">
        <v>1</v>
      </c>
      <c r="W79" t="s">
        <v>305</v>
      </c>
      <c r="X79" t="s">
        <v>164</v>
      </c>
      <c r="Y79">
        <v>4</v>
      </c>
    </row>
    <row r="80" spans="2:25" x14ac:dyDescent="0.25">
      <c r="B80" t="s">
        <v>268</v>
      </c>
      <c r="C80">
        <v>8</v>
      </c>
      <c r="D80">
        <v>15</v>
      </c>
      <c r="F80" t="s">
        <v>229</v>
      </c>
      <c r="G80">
        <v>3</v>
      </c>
      <c r="H80">
        <v>5</v>
      </c>
      <c r="K80">
        <v>32</v>
      </c>
      <c r="L80">
        <v>37</v>
      </c>
      <c r="S80" t="s">
        <v>300</v>
      </c>
      <c r="T80" s="52" t="s">
        <v>165</v>
      </c>
      <c r="U80">
        <v>2</v>
      </c>
      <c r="W80" t="s">
        <v>305</v>
      </c>
      <c r="X80" t="s">
        <v>168</v>
      </c>
      <c r="Y80">
        <v>1</v>
      </c>
    </row>
    <row r="81" spans="2:25" x14ac:dyDescent="0.25">
      <c r="B81" t="s">
        <v>269</v>
      </c>
      <c r="C81">
        <v>8</v>
      </c>
      <c r="D81">
        <v>15</v>
      </c>
      <c r="I81">
        <v>3</v>
      </c>
      <c r="J81">
        <v>2</v>
      </c>
      <c r="K81">
        <v>32</v>
      </c>
      <c r="L81">
        <v>37</v>
      </c>
      <c r="S81" t="s">
        <v>300</v>
      </c>
      <c r="T81" s="52" t="s">
        <v>164</v>
      </c>
      <c r="U81">
        <v>5</v>
      </c>
      <c r="W81" t="s">
        <v>306</v>
      </c>
      <c r="X81" t="s">
        <v>164</v>
      </c>
      <c r="Y81">
        <v>4</v>
      </c>
    </row>
    <row r="82" spans="2:25" x14ac:dyDescent="0.25">
      <c r="B82" t="s">
        <v>270</v>
      </c>
      <c r="C82">
        <v>8</v>
      </c>
      <c r="D82">
        <v>15</v>
      </c>
      <c r="F82" t="s">
        <v>230</v>
      </c>
      <c r="G82">
        <v>3</v>
      </c>
      <c r="H82">
        <v>5</v>
      </c>
      <c r="K82">
        <v>32</v>
      </c>
      <c r="L82">
        <v>37</v>
      </c>
      <c r="S82" t="s">
        <v>300</v>
      </c>
      <c r="T82" s="52" t="s">
        <v>166</v>
      </c>
      <c r="U82">
        <v>1</v>
      </c>
      <c r="W82" t="s">
        <v>306</v>
      </c>
      <c r="X82" t="s">
        <v>168</v>
      </c>
      <c r="Y82">
        <v>1</v>
      </c>
    </row>
    <row r="83" spans="2:25" x14ac:dyDescent="0.25">
      <c r="B83" t="s">
        <v>271</v>
      </c>
      <c r="C83">
        <v>8</v>
      </c>
      <c r="D83">
        <v>15</v>
      </c>
      <c r="I83">
        <v>3</v>
      </c>
      <c r="J83">
        <v>2</v>
      </c>
      <c r="K83">
        <v>32</v>
      </c>
      <c r="L83">
        <v>37</v>
      </c>
      <c r="S83" t="s">
        <v>301</v>
      </c>
      <c r="T83" s="52" t="s">
        <v>164</v>
      </c>
      <c r="U83">
        <v>6</v>
      </c>
      <c r="W83" t="s">
        <v>307</v>
      </c>
      <c r="X83" t="s">
        <v>164</v>
      </c>
      <c r="Y83">
        <v>4</v>
      </c>
    </row>
    <row r="84" spans="2:25" x14ac:dyDescent="0.25">
      <c r="B84" t="s">
        <v>272</v>
      </c>
      <c r="C84">
        <v>16</v>
      </c>
      <c r="D84">
        <v>26</v>
      </c>
      <c r="F84" t="s">
        <v>231</v>
      </c>
      <c r="G84">
        <v>3</v>
      </c>
      <c r="H84">
        <v>5</v>
      </c>
      <c r="K84">
        <v>44</v>
      </c>
      <c r="L84">
        <v>38</v>
      </c>
      <c r="S84" t="s">
        <v>301</v>
      </c>
      <c r="T84" s="52" t="s">
        <v>166</v>
      </c>
      <c r="U84">
        <v>1</v>
      </c>
      <c r="W84" t="s">
        <v>307</v>
      </c>
      <c r="X84" t="s">
        <v>168</v>
      </c>
      <c r="Y84">
        <v>1</v>
      </c>
    </row>
    <row r="85" spans="2:25" x14ac:dyDescent="0.25">
      <c r="B85" t="s">
        <v>273</v>
      </c>
      <c r="C85">
        <v>15</v>
      </c>
      <c r="D85">
        <v>26</v>
      </c>
      <c r="I85">
        <v>3</v>
      </c>
      <c r="J85">
        <v>2</v>
      </c>
      <c r="K85">
        <v>43</v>
      </c>
      <c r="L85">
        <v>42</v>
      </c>
      <c r="S85" t="s">
        <v>301</v>
      </c>
      <c r="T85" s="52" t="s">
        <v>165</v>
      </c>
      <c r="U85">
        <v>1</v>
      </c>
      <c r="W85" t="s">
        <v>308</v>
      </c>
      <c r="X85" t="s">
        <v>164</v>
      </c>
      <c r="Y85">
        <v>4</v>
      </c>
    </row>
    <row r="86" spans="2:25" x14ac:dyDescent="0.25">
      <c r="B86" t="s">
        <v>274</v>
      </c>
      <c r="C86">
        <v>19</v>
      </c>
      <c r="D86">
        <v>26</v>
      </c>
      <c r="F86" t="s">
        <v>232</v>
      </c>
      <c r="G86">
        <v>3</v>
      </c>
      <c r="H86">
        <v>5</v>
      </c>
      <c r="K86">
        <v>43</v>
      </c>
      <c r="L86">
        <v>43</v>
      </c>
      <c r="S86" t="s">
        <v>302</v>
      </c>
      <c r="T86" s="52" t="s">
        <v>164</v>
      </c>
      <c r="U86">
        <v>6</v>
      </c>
      <c r="W86" t="s">
        <v>308</v>
      </c>
      <c r="X86" t="s">
        <v>168</v>
      </c>
      <c r="Y86">
        <v>1</v>
      </c>
    </row>
    <row r="87" spans="2:25" x14ac:dyDescent="0.25">
      <c r="B87" t="s">
        <v>275</v>
      </c>
      <c r="C87">
        <v>15</v>
      </c>
      <c r="D87">
        <v>26</v>
      </c>
      <c r="I87">
        <v>3</v>
      </c>
      <c r="J87">
        <v>2</v>
      </c>
      <c r="K87">
        <v>43</v>
      </c>
      <c r="L87">
        <v>42</v>
      </c>
      <c r="S87" t="s">
        <v>302</v>
      </c>
      <c r="T87" s="52" t="s">
        <v>166</v>
      </c>
      <c r="U87">
        <v>1</v>
      </c>
      <c r="W87" t="s">
        <v>309</v>
      </c>
      <c r="X87" t="s">
        <v>164</v>
      </c>
      <c r="Y87">
        <v>4</v>
      </c>
    </row>
    <row r="88" spans="2:25" x14ac:dyDescent="0.25">
      <c r="B88" t="s">
        <v>276</v>
      </c>
      <c r="C88">
        <v>19</v>
      </c>
      <c r="D88">
        <v>26</v>
      </c>
      <c r="F88" t="s">
        <v>233</v>
      </c>
      <c r="G88">
        <v>3</v>
      </c>
      <c r="H88">
        <v>5</v>
      </c>
      <c r="K88">
        <v>43</v>
      </c>
      <c r="L88">
        <v>43</v>
      </c>
      <c r="S88" t="s">
        <v>302</v>
      </c>
      <c r="T88" s="52" t="s">
        <v>165</v>
      </c>
      <c r="U88">
        <v>1</v>
      </c>
      <c r="W88" t="s">
        <v>309</v>
      </c>
      <c r="X88" t="s">
        <v>168</v>
      </c>
      <c r="Y88">
        <v>1</v>
      </c>
    </row>
    <row r="89" spans="2:25" x14ac:dyDescent="0.25">
      <c r="B89" t="s">
        <v>277</v>
      </c>
      <c r="C89">
        <v>15</v>
      </c>
      <c r="D89">
        <v>26</v>
      </c>
      <c r="I89">
        <v>3</v>
      </c>
      <c r="J89">
        <v>2</v>
      </c>
      <c r="K89">
        <v>43</v>
      </c>
      <c r="L89">
        <v>42</v>
      </c>
      <c r="S89" t="s">
        <v>303</v>
      </c>
      <c r="T89" s="52" t="s">
        <v>164</v>
      </c>
      <c r="U89">
        <v>6</v>
      </c>
      <c r="W89" t="s">
        <v>310</v>
      </c>
      <c r="X89" t="s">
        <v>164</v>
      </c>
      <c r="Y89">
        <v>4</v>
      </c>
    </row>
    <row r="90" spans="2:25" x14ac:dyDescent="0.25">
      <c r="F90" t="s">
        <v>234</v>
      </c>
      <c r="G90">
        <v>3</v>
      </c>
      <c r="H90">
        <v>5</v>
      </c>
      <c r="S90" t="s">
        <v>303</v>
      </c>
      <c r="T90" s="52" t="s">
        <v>166</v>
      </c>
      <c r="U90">
        <v>1</v>
      </c>
      <c r="W90" t="s">
        <v>310</v>
      </c>
      <c r="X90" t="s">
        <v>168</v>
      </c>
      <c r="Y90">
        <v>1</v>
      </c>
    </row>
    <row r="91" spans="2:25" x14ac:dyDescent="0.25">
      <c r="I91">
        <v>3</v>
      </c>
      <c r="J91">
        <v>2</v>
      </c>
      <c r="S91" t="s">
        <v>303</v>
      </c>
      <c r="T91" s="52" t="s">
        <v>165</v>
      </c>
      <c r="U91">
        <v>1</v>
      </c>
      <c r="W91" t="s">
        <v>311</v>
      </c>
      <c r="X91" t="s">
        <v>164</v>
      </c>
      <c r="Y91">
        <v>4</v>
      </c>
    </row>
    <row r="92" spans="2:25" x14ac:dyDescent="0.25">
      <c r="F92" t="s">
        <v>235</v>
      </c>
      <c r="G92">
        <v>3</v>
      </c>
      <c r="H92">
        <v>5</v>
      </c>
      <c r="S92" t="s">
        <v>304</v>
      </c>
      <c r="T92" s="52" t="s">
        <v>164</v>
      </c>
      <c r="U92">
        <v>6</v>
      </c>
      <c r="W92" t="s">
        <v>311</v>
      </c>
      <c r="X92" t="s">
        <v>168</v>
      </c>
      <c r="Y92">
        <v>1</v>
      </c>
    </row>
    <row r="93" spans="2:25" x14ac:dyDescent="0.25">
      <c r="I93">
        <v>3</v>
      </c>
      <c r="J93">
        <v>2</v>
      </c>
      <c r="S93" t="s">
        <v>304</v>
      </c>
      <c r="T93" s="52" t="s">
        <v>166</v>
      </c>
      <c r="U93">
        <v>1</v>
      </c>
      <c r="W93" t="s">
        <v>312</v>
      </c>
      <c r="X93" t="s">
        <v>164</v>
      </c>
      <c r="Y93">
        <v>4</v>
      </c>
    </row>
    <row r="94" spans="2:25" x14ac:dyDescent="0.25">
      <c r="F94" t="s">
        <v>236</v>
      </c>
      <c r="G94">
        <v>3</v>
      </c>
      <c r="H94">
        <v>5</v>
      </c>
      <c r="S94" t="s">
        <v>304</v>
      </c>
      <c r="T94" s="52" t="s">
        <v>165</v>
      </c>
      <c r="U94">
        <v>1</v>
      </c>
      <c r="W94" t="s">
        <v>312</v>
      </c>
      <c r="X94" t="s">
        <v>168</v>
      </c>
      <c r="Y94">
        <v>1</v>
      </c>
    </row>
    <row r="95" spans="2:25" x14ac:dyDescent="0.25">
      <c r="I95">
        <v>3</v>
      </c>
      <c r="J95">
        <v>2</v>
      </c>
      <c r="S95" t="s">
        <v>305</v>
      </c>
      <c r="T95" s="52" t="s">
        <v>164</v>
      </c>
      <c r="U95">
        <v>6</v>
      </c>
      <c r="W95" t="s">
        <v>313</v>
      </c>
      <c r="X95" t="s">
        <v>164</v>
      </c>
      <c r="Y95">
        <v>4</v>
      </c>
    </row>
    <row r="96" spans="2:25" x14ac:dyDescent="0.25">
      <c r="F96" t="s">
        <v>237</v>
      </c>
      <c r="G96">
        <v>3</v>
      </c>
      <c r="H96">
        <v>5</v>
      </c>
      <c r="S96" t="s">
        <v>305</v>
      </c>
      <c r="T96" s="52" t="s">
        <v>166</v>
      </c>
      <c r="U96">
        <v>1</v>
      </c>
      <c r="W96" t="s">
        <v>313</v>
      </c>
      <c r="X96" t="s">
        <v>168</v>
      </c>
      <c r="Y96">
        <v>1</v>
      </c>
    </row>
    <row r="97" spans="6:25" x14ac:dyDescent="0.25">
      <c r="I97">
        <v>3</v>
      </c>
      <c r="J97">
        <v>2</v>
      </c>
      <c r="S97" t="s">
        <v>305</v>
      </c>
      <c r="T97" s="52" t="s">
        <v>165</v>
      </c>
      <c r="U97">
        <v>1</v>
      </c>
      <c r="W97" t="s">
        <v>314</v>
      </c>
      <c r="X97" t="s">
        <v>164</v>
      </c>
      <c r="Y97">
        <v>4</v>
      </c>
    </row>
    <row r="98" spans="6:25" x14ac:dyDescent="0.25">
      <c r="F98" t="s">
        <v>238</v>
      </c>
      <c r="G98">
        <v>3</v>
      </c>
      <c r="H98">
        <v>5</v>
      </c>
      <c r="S98" t="s">
        <v>306</v>
      </c>
      <c r="T98" s="52" t="s">
        <v>164</v>
      </c>
      <c r="U98">
        <v>6</v>
      </c>
      <c r="W98" t="s">
        <v>314</v>
      </c>
      <c r="X98" t="s">
        <v>168</v>
      </c>
      <c r="Y98">
        <v>1</v>
      </c>
    </row>
    <row r="99" spans="6:25" x14ac:dyDescent="0.25">
      <c r="I99">
        <v>3</v>
      </c>
      <c r="J99">
        <v>2</v>
      </c>
      <c r="S99" t="s">
        <v>306</v>
      </c>
      <c r="T99" s="52" t="s">
        <v>166</v>
      </c>
      <c r="U99">
        <v>1</v>
      </c>
      <c r="W99" t="s">
        <v>315</v>
      </c>
      <c r="X99" t="s">
        <v>164</v>
      </c>
      <c r="Y99">
        <v>4</v>
      </c>
    </row>
    <row r="100" spans="6:25" x14ac:dyDescent="0.25">
      <c r="F100" t="s">
        <v>239</v>
      </c>
      <c r="G100">
        <v>3</v>
      </c>
      <c r="H100">
        <v>5</v>
      </c>
      <c r="S100" t="s">
        <v>306</v>
      </c>
      <c r="T100" s="52" t="s">
        <v>165</v>
      </c>
      <c r="U100">
        <v>1</v>
      </c>
      <c r="W100" t="s">
        <v>315</v>
      </c>
      <c r="X100" t="s">
        <v>168</v>
      </c>
      <c r="Y100">
        <v>1</v>
      </c>
    </row>
    <row r="101" spans="6:25" x14ac:dyDescent="0.25">
      <c r="I101">
        <v>3</v>
      </c>
      <c r="J101">
        <v>2</v>
      </c>
      <c r="S101" t="s">
        <v>307</v>
      </c>
      <c r="T101" s="52" t="s">
        <v>164</v>
      </c>
      <c r="U101">
        <v>6</v>
      </c>
      <c r="W101" t="s">
        <v>316</v>
      </c>
      <c r="X101" t="s">
        <v>164</v>
      </c>
      <c r="Y101">
        <v>4</v>
      </c>
    </row>
    <row r="102" spans="6:25" x14ac:dyDescent="0.25">
      <c r="F102" t="s">
        <v>240</v>
      </c>
      <c r="G102">
        <v>3</v>
      </c>
      <c r="H102">
        <v>5</v>
      </c>
      <c r="S102" t="s">
        <v>307</v>
      </c>
      <c r="T102" s="52" t="s">
        <v>166</v>
      </c>
      <c r="U102">
        <v>1</v>
      </c>
      <c r="W102" t="s">
        <v>316</v>
      </c>
      <c r="X102" t="s">
        <v>168</v>
      </c>
      <c r="Y102">
        <v>1</v>
      </c>
    </row>
    <row r="103" spans="6:25" x14ac:dyDescent="0.25">
      <c r="I103">
        <v>3</v>
      </c>
      <c r="J103">
        <v>2</v>
      </c>
      <c r="S103" t="s">
        <v>307</v>
      </c>
      <c r="T103" s="52" t="s">
        <v>165</v>
      </c>
      <c r="U103">
        <v>1</v>
      </c>
      <c r="W103" t="s">
        <v>317</v>
      </c>
      <c r="X103" t="s">
        <v>164</v>
      </c>
      <c r="Y103">
        <v>4</v>
      </c>
    </row>
    <row r="104" spans="6:25" x14ac:dyDescent="0.25">
      <c r="F104" t="s">
        <v>241</v>
      </c>
      <c r="G104">
        <v>3</v>
      </c>
      <c r="H104">
        <v>5</v>
      </c>
      <c r="S104" t="s">
        <v>308</v>
      </c>
      <c r="T104" s="52" t="s">
        <v>164</v>
      </c>
      <c r="U104">
        <v>6</v>
      </c>
      <c r="W104" t="s">
        <v>317</v>
      </c>
      <c r="X104" t="s">
        <v>168</v>
      </c>
      <c r="Y104">
        <v>1</v>
      </c>
    </row>
    <row r="105" spans="6:25" x14ac:dyDescent="0.25">
      <c r="I105">
        <v>3</v>
      </c>
      <c r="J105">
        <v>2</v>
      </c>
      <c r="S105" t="s">
        <v>308</v>
      </c>
      <c r="T105" s="52" t="s">
        <v>166</v>
      </c>
      <c r="U105">
        <v>1</v>
      </c>
      <c r="W105" t="s">
        <v>318</v>
      </c>
      <c r="X105" t="s">
        <v>164</v>
      </c>
      <c r="Y105">
        <v>4</v>
      </c>
    </row>
    <row r="106" spans="6:25" x14ac:dyDescent="0.25">
      <c r="F106" t="s">
        <v>242</v>
      </c>
      <c r="G106">
        <v>3</v>
      </c>
      <c r="H106">
        <v>5</v>
      </c>
      <c r="S106" t="s">
        <v>308</v>
      </c>
      <c r="T106" s="52" t="s">
        <v>165</v>
      </c>
      <c r="U106">
        <v>1</v>
      </c>
      <c r="W106" t="s">
        <v>318</v>
      </c>
      <c r="X106" t="s">
        <v>168</v>
      </c>
      <c r="Y106">
        <v>1</v>
      </c>
    </row>
    <row r="107" spans="6:25" x14ac:dyDescent="0.25">
      <c r="I107">
        <v>3</v>
      </c>
      <c r="J107">
        <v>2</v>
      </c>
      <c r="S107" t="s">
        <v>309</v>
      </c>
      <c r="T107" s="52" t="s">
        <v>164</v>
      </c>
      <c r="U107">
        <v>6</v>
      </c>
      <c r="W107" t="s">
        <v>319</v>
      </c>
      <c r="X107" t="s">
        <v>164</v>
      </c>
      <c r="Y107">
        <v>4</v>
      </c>
    </row>
    <row r="108" spans="6:25" x14ac:dyDescent="0.25">
      <c r="F108" t="s">
        <v>243</v>
      </c>
      <c r="G108">
        <v>3</v>
      </c>
      <c r="H108">
        <v>5</v>
      </c>
      <c r="S108" t="s">
        <v>309</v>
      </c>
      <c r="T108" s="52" t="s">
        <v>166</v>
      </c>
      <c r="U108">
        <v>1</v>
      </c>
      <c r="W108" t="s">
        <v>319</v>
      </c>
      <c r="X108" t="s">
        <v>168</v>
      </c>
      <c r="Y108">
        <v>1</v>
      </c>
    </row>
    <row r="109" spans="6:25" x14ac:dyDescent="0.25">
      <c r="I109">
        <v>3</v>
      </c>
      <c r="J109">
        <v>2</v>
      </c>
      <c r="S109" t="s">
        <v>309</v>
      </c>
      <c r="T109" s="52" t="s">
        <v>165</v>
      </c>
      <c r="U109">
        <v>1</v>
      </c>
      <c r="W109" t="s">
        <v>320</v>
      </c>
      <c r="X109" t="s">
        <v>164</v>
      </c>
      <c r="Y109">
        <v>4</v>
      </c>
    </row>
    <row r="110" spans="6:25" x14ac:dyDescent="0.25">
      <c r="F110" t="s">
        <v>244</v>
      </c>
      <c r="G110">
        <v>3</v>
      </c>
      <c r="H110">
        <v>5</v>
      </c>
      <c r="S110" t="s">
        <v>310</v>
      </c>
      <c r="T110" s="52" t="s">
        <v>164</v>
      </c>
      <c r="U110">
        <v>6</v>
      </c>
      <c r="W110" t="s">
        <v>320</v>
      </c>
      <c r="X110" t="s">
        <v>168</v>
      </c>
      <c r="Y110">
        <v>1</v>
      </c>
    </row>
    <row r="111" spans="6:25" x14ac:dyDescent="0.25">
      <c r="I111">
        <v>3</v>
      </c>
      <c r="J111">
        <v>2</v>
      </c>
      <c r="S111" t="s">
        <v>310</v>
      </c>
      <c r="T111" s="52" t="s">
        <v>166</v>
      </c>
      <c r="U111">
        <v>1</v>
      </c>
      <c r="W111" t="s">
        <v>321</v>
      </c>
      <c r="X111" t="s">
        <v>164</v>
      </c>
      <c r="Y111">
        <v>4</v>
      </c>
    </row>
    <row r="112" spans="6:25" x14ac:dyDescent="0.25">
      <c r="F112" t="s">
        <v>245</v>
      </c>
      <c r="G112">
        <v>3</v>
      </c>
      <c r="H112">
        <v>5</v>
      </c>
      <c r="S112" t="s">
        <v>310</v>
      </c>
      <c r="T112" s="52" t="s">
        <v>165</v>
      </c>
      <c r="U112">
        <v>1</v>
      </c>
      <c r="W112" t="s">
        <v>321</v>
      </c>
      <c r="X112" t="s">
        <v>168</v>
      </c>
      <c r="Y112">
        <v>1</v>
      </c>
    </row>
    <row r="113" spans="6:25" x14ac:dyDescent="0.25">
      <c r="I113">
        <v>3</v>
      </c>
      <c r="J113">
        <v>2</v>
      </c>
      <c r="S113" t="s">
        <v>311</v>
      </c>
      <c r="T113" s="52" t="s">
        <v>164</v>
      </c>
      <c r="U113">
        <v>6</v>
      </c>
      <c r="W113" t="s">
        <v>322</v>
      </c>
      <c r="X113" t="s">
        <v>164</v>
      </c>
      <c r="Y113">
        <v>4</v>
      </c>
    </row>
    <row r="114" spans="6:25" x14ac:dyDescent="0.25">
      <c r="F114" t="s">
        <v>246</v>
      </c>
      <c r="G114">
        <v>3</v>
      </c>
      <c r="H114">
        <v>5</v>
      </c>
      <c r="S114" t="s">
        <v>311</v>
      </c>
      <c r="T114" s="52" t="s">
        <v>166</v>
      </c>
      <c r="U114">
        <v>1</v>
      </c>
      <c r="W114" t="s">
        <v>322</v>
      </c>
      <c r="X114" t="s">
        <v>168</v>
      </c>
      <c r="Y114">
        <v>1</v>
      </c>
    </row>
    <row r="115" spans="6:25" x14ac:dyDescent="0.25">
      <c r="I115">
        <v>3</v>
      </c>
      <c r="J115">
        <v>2</v>
      </c>
      <c r="S115" t="s">
        <v>311</v>
      </c>
      <c r="T115" s="52" t="s">
        <v>165</v>
      </c>
      <c r="U115">
        <v>1</v>
      </c>
      <c r="W115" t="s">
        <v>323</v>
      </c>
      <c r="X115" t="s">
        <v>164</v>
      </c>
      <c r="Y115">
        <v>4</v>
      </c>
    </row>
    <row r="116" spans="6:25" x14ac:dyDescent="0.25">
      <c r="F116" t="s">
        <v>247</v>
      </c>
      <c r="G116">
        <v>3</v>
      </c>
      <c r="H116">
        <v>5</v>
      </c>
      <c r="S116" t="s">
        <v>312</v>
      </c>
      <c r="T116" s="52" t="s">
        <v>164</v>
      </c>
      <c r="U116">
        <v>6</v>
      </c>
      <c r="W116" t="s">
        <v>323</v>
      </c>
      <c r="X116" t="s">
        <v>168</v>
      </c>
      <c r="Y116">
        <v>1</v>
      </c>
    </row>
    <row r="117" spans="6:25" x14ac:dyDescent="0.25">
      <c r="I117">
        <v>3</v>
      </c>
      <c r="J117">
        <v>2</v>
      </c>
      <c r="S117" t="s">
        <v>312</v>
      </c>
      <c r="T117" s="52" t="s">
        <v>166</v>
      </c>
      <c r="U117">
        <v>1</v>
      </c>
      <c r="W117" t="s">
        <v>324</v>
      </c>
      <c r="X117" t="s">
        <v>164</v>
      </c>
      <c r="Y117">
        <v>4</v>
      </c>
    </row>
    <row r="118" spans="6:25" x14ac:dyDescent="0.25">
      <c r="F118" t="s">
        <v>248</v>
      </c>
      <c r="G118">
        <v>3</v>
      </c>
      <c r="H118">
        <v>5</v>
      </c>
      <c r="S118" t="s">
        <v>312</v>
      </c>
      <c r="T118" s="52" t="s">
        <v>165</v>
      </c>
      <c r="U118">
        <v>1</v>
      </c>
      <c r="W118" t="s">
        <v>324</v>
      </c>
      <c r="X118" t="s">
        <v>168</v>
      </c>
      <c r="Y118">
        <v>1</v>
      </c>
    </row>
    <row r="119" spans="6:25" x14ac:dyDescent="0.25">
      <c r="I119">
        <v>3</v>
      </c>
      <c r="J119">
        <v>2</v>
      </c>
      <c r="S119" t="s">
        <v>313</v>
      </c>
      <c r="T119" s="52" t="s">
        <v>164</v>
      </c>
      <c r="U119">
        <v>6</v>
      </c>
      <c r="W119" t="s">
        <v>325</v>
      </c>
      <c r="X119" t="s">
        <v>164</v>
      </c>
      <c r="Y119">
        <v>4</v>
      </c>
    </row>
    <row r="120" spans="6:25" x14ac:dyDescent="0.25">
      <c r="F120" t="s">
        <v>249</v>
      </c>
      <c r="G120">
        <v>3</v>
      </c>
      <c r="H120">
        <v>5</v>
      </c>
      <c r="S120" t="s">
        <v>313</v>
      </c>
      <c r="T120" s="52" t="s">
        <v>166</v>
      </c>
      <c r="U120">
        <v>1</v>
      </c>
      <c r="W120" t="s">
        <v>325</v>
      </c>
      <c r="X120" t="s">
        <v>168</v>
      </c>
      <c r="Y120">
        <v>1</v>
      </c>
    </row>
    <row r="121" spans="6:25" x14ac:dyDescent="0.25">
      <c r="I121">
        <v>3</v>
      </c>
      <c r="J121">
        <v>2</v>
      </c>
      <c r="S121" t="s">
        <v>313</v>
      </c>
      <c r="T121" s="52" t="s">
        <v>165</v>
      </c>
      <c r="U121">
        <v>1</v>
      </c>
      <c r="W121" t="s">
        <v>326</v>
      </c>
      <c r="X121" t="s">
        <v>164</v>
      </c>
      <c r="Y121">
        <v>4</v>
      </c>
    </row>
    <row r="122" spans="6:25" x14ac:dyDescent="0.25">
      <c r="F122" t="s">
        <v>250</v>
      </c>
      <c r="G122">
        <v>3</v>
      </c>
      <c r="H122">
        <v>5</v>
      </c>
      <c r="S122" t="s">
        <v>314</v>
      </c>
      <c r="T122" s="52" t="s">
        <v>164</v>
      </c>
      <c r="U122">
        <v>6</v>
      </c>
      <c r="W122" t="s">
        <v>326</v>
      </c>
      <c r="X122" t="s">
        <v>168</v>
      </c>
      <c r="Y122">
        <v>1</v>
      </c>
    </row>
    <row r="123" spans="6:25" x14ac:dyDescent="0.25">
      <c r="I123">
        <v>3</v>
      </c>
      <c r="J123">
        <v>2</v>
      </c>
      <c r="S123" t="s">
        <v>314</v>
      </c>
      <c r="T123" s="52" t="s">
        <v>165</v>
      </c>
      <c r="U123">
        <v>2</v>
      </c>
      <c r="W123" t="s">
        <v>327</v>
      </c>
      <c r="X123" t="s">
        <v>164</v>
      </c>
      <c r="Y123">
        <v>4</v>
      </c>
    </row>
    <row r="124" spans="6:25" x14ac:dyDescent="0.25">
      <c r="F124" t="s">
        <v>251</v>
      </c>
      <c r="G124">
        <v>3</v>
      </c>
      <c r="H124">
        <v>5</v>
      </c>
      <c r="S124" t="s">
        <v>315</v>
      </c>
      <c r="T124" s="52" t="s">
        <v>164</v>
      </c>
      <c r="U124">
        <v>6</v>
      </c>
      <c r="W124" t="s">
        <v>327</v>
      </c>
      <c r="X124" t="s">
        <v>168</v>
      </c>
      <c r="Y124">
        <v>1</v>
      </c>
    </row>
    <row r="125" spans="6:25" x14ac:dyDescent="0.25">
      <c r="I125">
        <v>3</v>
      </c>
      <c r="J125">
        <v>2</v>
      </c>
      <c r="S125" t="s">
        <v>315</v>
      </c>
      <c r="T125" s="52" t="s">
        <v>165</v>
      </c>
      <c r="U125">
        <v>2</v>
      </c>
      <c r="W125" t="s">
        <v>328</v>
      </c>
      <c r="X125" t="s">
        <v>164</v>
      </c>
      <c r="Y125">
        <v>4</v>
      </c>
    </row>
    <row r="126" spans="6:25" x14ac:dyDescent="0.25">
      <c r="F126" t="s">
        <v>252</v>
      </c>
      <c r="G126">
        <v>3</v>
      </c>
      <c r="H126">
        <v>5</v>
      </c>
      <c r="S126" t="s">
        <v>316</v>
      </c>
      <c r="T126" s="52" t="s">
        <v>164</v>
      </c>
      <c r="U126">
        <v>6</v>
      </c>
      <c r="W126" t="s">
        <v>328</v>
      </c>
      <c r="X126" t="s">
        <v>168</v>
      </c>
      <c r="Y126">
        <v>1</v>
      </c>
    </row>
    <row r="127" spans="6:25" x14ac:dyDescent="0.25">
      <c r="I127">
        <v>3</v>
      </c>
      <c r="J127">
        <v>2</v>
      </c>
      <c r="S127" t="s">
        <v>316</v>
      </c>
      <c r="T127" s="52" t="s">
        <v>165</v>
      </c>
      <c r="U127">
        <v>2</v>
      </c>
      <c r="W127" t="s">
        <v>329</v>
      </c>
      <c r="X127" t="s">
        <v>164</v>
      </c>
      <c r="Y127">
        <v>4</v>
      </c>
    </row>
    <row r="128" spans="6:25" x14ac:dyDescent="0.25">
      <c r="F128" t="s">
        <v>253</v>
      </c>
      <c r="G128">
        <v>3</v>
      </c>
      <c r="H128">
        <v>5</v>
      </c>
      <c r="S128" t="s">
        <v>317</v>
      </c>
      <c r="T128" s="52" t="s">
        <v>164</v>
      </c>
      <c r="U128">
        <v>7</v>
      </c>
      <c r="W128" t="s">
        <v>329</v>
      </c>
      <c r="X128" t="s">
        <v>168</v>
      </c>
      <c r="Y128">
        <v>1</v>
      </c>
    </row>
    <row r="129" spans="6:25" x14ac:dyDescent="0.25">
      <c r="I129">
        <v>3</v>
      </c>
      <c r="J129">
        <v>2</v>
      </c>
      <c r="S129" t="s">
        <v>317</v>
      </c>
      <c r="T129" s="52" t="s">
        <v>165</v>
      </c>
      <c r="U129">
        <v>1</v>
      </c>
      <c r="W129" t="s">
        <v>330</v>
      </c>
      <c r="X129" t="s">
        <v>164</v>
      </c>
      <c r="Y129">
        <v>4</v>
      </c>
    </row>
    <row r="130" spans="6:25" x14ac:dyDescent="0.25">
      <c r="F130" t="s">
        <v>254</v>
      </c>
      <c r="G130">
        <v>3</v>
      </c>
      <c r="H130">
        <v>5</v>
      </c>
      <c r="S130" t="s">
        <v>318</v>
      </c>
      <c r="T130" s="52" t="s">
        <v>164</v>
      </c>
      <c r="U130">
        <v>7</v>
      </c>
      <c r="W130" t="s">
        <v>330</v>
      </c>
      <c r="X130" t="s">
        <v>168</v>
      </c>
      <c r="Y130">
        <v>1</v>
      </c>
    </row>
    <row r="131" spans="6:25" x14ac:dyDescent="0.25">
      <c r="I131">
        <v>3</v>
      </c>
      <c r="J131">
        <v>2</v>
      </c>
      <c r="S131" t="s">
        <v>318</v>
      </c>
      <c r="T131" s="52" t="s">
        <v>165</v>
      </c>
      <c r="U131">
        <v>1</v>
      </c>
      <c r="W131" t="s">
        <v>331</v>
      </c>
      <c r="X131" t="s">
        <v>164</v>
      </c>
      <c r="Y131">
        <v>4</v>
      </c>
    </row>
    <row r="132" spans="6:25" x14ac:dyDescent="0.25">
      <c r="F132" t="s">
        <v>255</v>
      </c>
      <c r="G132">
        <v>3</v>
      </c>
      <c r="H132">
        <v>5</v>
      </c>
      <c r="S132" t="s">
        <v>319</v>
      </c>
      <c r="T132" s="52" t="s">
        <v>164</v>
      </c>
      <c r="U132">
        <v>7</v>
      </c>
      <c r="W132" t="s">
        <v>331</v>
      </c>
      <c r="X132" t="s">
        <v>168</v>
      </c>
      <c r="Y132">
        <v>1</v>
      </c>
    </row>
    <row r="133" spans="6:25" x14ac:dyDescent="0.25">
      <c r="I133">
        <v>3</v>
      </c>
      <c r="J133">
        <v>2</v>
      </c>
      <c r="S133" t="s">
        <v>319</v>
      </c>
      <c r="T133" s="52" t="s">
        <v>165</v>
      </c>
      <c r="U133">
        <v>1</v>
      </c>
      <c r="W133" t="s">
        <v>332</v>
      </c>
      <c r="X133" t="s">
        <v>164</v>
      </c>
      <c r="Y133">
        <v>4</v>
      </c>
    </row>
    <row r="134" spans="6:25" x14ac:dyDescent="0.25">
      <c r="F134" t="s">
        <v>256</v>
      </c>
      <c r="G134">
        <v>3</v>
      </c>
      <c r="H134">
        <v>5</v>
      </c>
      <c r="S134" t="s">
        <v>320</v>
      </c>
      <c r="T134" s="52" t="s">
        <v>164</v>
      </c>
      <c r="U134">
        <v>7</v>
      </c>
      <c r="W134" t="s">
        <v>332</v>
      </c>
      <c r="X134" t="s">
        <v>168</v>
      </c>
      <c r="Y134">
        <v>1</v>
      </c>
    </row>
    <row r="135" spans="6:25" x14ac:dyDescent="0.25">
      <c r="I135">
        <v>3</v>
      </c>
      <c r="J135">
        <v>2</v>
      </c>
      <c r="S135" t="s">
        <v>320</v>
      </c>
      <c r="T135" s="52" t="s">
        <v>165</v>
      </c>
      <c r="U135">
        <v>1</v>
      </c>
      <c r="W135" t="s">
        <v>333</v>
      </c>
      <c r="X135" t="s">
        <v>164</v>
      </c>
      <c r="Y135">
        <v>4</v>
      </c>
    </row>
    <row r="136" spans="6:25" x14ac:dyDescent="0.25">
      <c r="F136" t="s">
        <v>257</v>
      </c>
      <c r="G136">
        <v>3</v>
      </c>
      <c r="H136">
        <v>5</v>
      </c>
      <c r="S136" t="s">
        <v>321</v>
      </c>
      <c r="T136" s="52" t="s">
        <v>164</v>
      </c>
      <c r="U136">
        <v>7</v>
      </c>
      <c r="W136" t="s">
        <v>333</v>
      </c>
      <c r="X136" t="s">
        <v>167</v>
      </c>
      <c r="Y136">
        <v>1</v>
      </c>
    </row>
    <row r="137" spans="6:25" x14ac:dyDescent="0.25">
      <c r="I137">
        <v>3</v>
      </c>
      <c r="J137">
        <v>2</v>
      </c>
      <c r="S137" t="s">
        <v>321</v>
      </c>
      <c r="T137" s="52" t="s">
        <v>165</v>
      </c>
      <c r="U137">
        <v>1</v>
      </c>
      <c r="W137" t="s">
        <v>334</v>
      </c>
      <c r="X137" t="s">
        <v>164</v>
      </c>
      <c r="Y137">
        <v>4</v>
      </c>
    </row>
    <row r="138" spans="6:25" x14ac:dyDescent="0.25">
      <c r="F138" t="s">
        <v>258</v>
      </c>
      <c r="G138">
        <v>3</v>
      </c>
      <c r="H138">
        <v>5</v>
      </c>
      <c r="S138" t="s">
        <v>322</v>
      </c>
      <c r="T138" s="52" t="s">
        <v>164</v>
      </c>
      <c r="U138">
        <v>7</v>
      </c>
      <c r="W138" t="s">
        <v>334</v>
      </c>
      <c r="X138" t="s">
        <v>167</v>
      </c>
      <c r="Y138">
        <v>1</v>
      </c>
    </row>
    <row r="139" spans="6:25" x14ac:dyDescent="0.25">
      <c r="I139">
        <v>3</v>
      </c>
      <c r="J139">
        <v>2</v>
      </c>
      <c r="S139" t="s">
        <v>322</v>
      </c>
      <c r="T139" s="52" t="s">
        <v>165</v>
      </c>
      <c r="U139">
        <v>1</v>
      </c>
      <c r="W139" t="s">
        <v>335</v>
      </c>
      <c r="X139" t="s">
        <v>164</v>
      </c>
      <c r="Y139">
        <v>4</v>
      </c>
    </row>
    <row r="140" spans="6:25" x14ac:dyDescent="0.25">
      <c r="F140" t="s">
        <v>259</v>
      </c>
      <c r="G140">
        <v>3</v>
      </c>
      <c r="H140">
        <v>5</v>
      </c>
      <c r="S140" t="s">
        <v>323</v>
      </c>
      <c r="T140" s="52" t="s">
        <v>164</v>
      </c>
      <c r="U140">
        <v>7</v>
      </c>
      <c r="W140" t="s">
        <v>335</v>
      </c>
      <c r="X140" t="s">
        <v>167</v>
      </c>
      <c r="Y140">
        <v>1</v>
      </c>
    </row>
    <row r="141" spans="6:25" x14ac:dyDescent="0.25">
      <c r="I141">
        <v>3</v>
      </c>
      <c r="J141">
        <v>2</v>
      </c>
      <c r="S141" t="s">
        <v>323</v>
      </c>
      <c r="T141" s="52" t="s">
        <v>165</v>
      </c>
      <c r="U141">
        <v>1</v>
      </c>
      <c r="W141" t="s">
        <v>336</v>
      </c>
      <c r="X141" t="s">
        <v>164</v>
      </c>
      <c r="Y141">
        <v>4</v>
      </c>
    </row>
    <row r="142" spans="6:25" x14ac:dyDescent="0.25">
      <c r="F142" t="s">
        <v>260</v>
      </c>
      <c r="G142">
        <v>6</v>
      </c>
      <c r="H142">
        <v>5</v>
      </c>
      <c r="S142" t="s">
        <v>324</v>
      </c>
      <c r="T142" s="52" t="s">
        <v>164</v>
      </c>
      <c r="U142">
        <v>7</v>
      </c>
      <c r="W142" t="s">
        <v>336</v>
      </c>
      <c r="X142" t="s">
        <v>167</v>
      </c>
      <c r="Y142">
        <v>1</v>
      </c>
    </row>
    <row r="143" spans="6:25" x14ac:dyDescent="0.25">
      <c r="I143">
        <v>5</v>
      </c>
      <c r="J143">
        <v>2</v>
      </c>
      <c r="S143" t="s">
        <v>324</v>
      </c>
      <c r="T143" s="52" t="s">
        <v>165</v>
      </c>
      <c r="U143">
        <v>1</v>
      </c>
      <c r="W143" t="s">
        <v>337</v>
      </c>
      <c r="X143" t="s">
        <v>164</v>
      </c>
      <c r="Y143">
        <v>4</v>
      </c>
    </row>
    <row r="144" spans="6:25" x14ac:dyDescent="0.25">
      <c r="F144" t="s">
        <v>261</v>
      </c>
      <c r="G144">
        <v>6</v>
      </c>
      <c r="H144">
        <v>5</v>
      </c>
      <c r="S144" t="s">
        <v>325</v>
      </c>
      <c r="T144" s="52" t="s">
        <v>164</v>
      </c>
      <c r="U144">
        <v>7</v>
      </c>
      <c r="W144" t="s">
        <v>337</v>
      </c>
      <c r="X144" t="s">
        <v>167</v>
      </c>
      <c r="Y144">
        <v>1</v>
      </c>
    </row>
    <row r="145" spans="6:25" x14ac:dyDescent="0.25">
      <c r="I145">
        <v>5</v>
      </c>
      <c r="J145">
        <v>2</v>
      </c>
      <c r="S145" t="s">
        <v>325</v>
      </c>
      <c r="T145" s="52" t="s">
        <v>165</v>
      </c>
      <c r="U145">
        <v>1</v>
      </c>
      <c r="W145" t="s">
        <v>338</v>
      </c>
      <c r="X145" t="s">
        <v>164</v>
      </c>
      <c r="Y145">
        <v>4</v>
      </c>
    </row>
    <row r="146" spans="6:25" x14ac:dyDescent="0.25">
      <c r="F146" t="s">
        <v>262</v>
      </c>
      <c r="G146">
        <v>3</v>
      </c>
      <c r="H146">
        <v>5</v>
      </c>
      <c r="S146" t="s">
        <v>326</v>
      </c>
      <c r="T146" s="52" t="s">
        <v>164</v>
      </c>
      <c r="U146">
        <v>7</v>
      </c>
      <c r="W146" t="s">
        <v>338</v>
      </c>
      <c r="X146" t="s">
        <v>167</v>
      </c>
      <c r="Y146">
        <v>1</v>
      </c>
    </row>
    <row r="147" spans="6:25" x14ac:dyDescent="0.25">
      <c r="I147">
        <v>3</v>
      </c>
      <c r="J147">
        <v>2</v>
      </c>
      <c r="S147" t="s">
        <v>326</v>
      </c>
      <c r="T147" s="52" t="s">
        <v>165</v>
      </c>
      <c r="U147">
        <v>1</v>
      </c>
      <c r="W147" t="s">
        <v>339</v>
      </c>
      <c r="X147" t="s">
        <v>164</v>
      </c>
      <c r="Y147">
        <v>4</v>
      </c>
    </row>
    <row r="148" spans="6:25" x14ac:dyDescent="0.25">
      <c r="F148" t="s">
        <v>263</v>
      </c>
      <c r="G148">
        <v>3</v>
      </c>
      <c r="H148">
        <v>5</v>
      </c>
      <c r="S148" t="s">
        <v>327</v>
      </c>
      <c r="T148" s="52" t="s">
        <v>164</v>
      </c>
      <c r="U148">
        <v>7</v>
      </c>
      <c r="W148" t="s">
        <v>339</v>
      </c>
      <c r="X148" t="s">
        <v>167</v>
      </c>
      <c r="Y148">
        <v>1</v>
      </c>
    </row>
    <row r="149" spans="6:25" x14ac:dyDescent="0.25">
      <c r="I149">
        <v>3</v>
      </c>
      <c r="J149">
        <v>2</v>
      </c>
      <c r="S149" t="s">
        <v>327</v>
      </c>
      <c r="T149" s="52" t="s">
        <v>165</v>
      </c>
      <c r="U149">
        <v>1</v>
      </c>
      <c r="W149" t="s">
        <v>340</v>
      </c>
      <c r="X149" t="s">
        <v>164</v>
      </c>
      <c r="Y149">
        <v>4</v>
      </c>
    </row>
    <row r="150" spans="6:25" x14ac:dyDescent="0.25">
      <c r="F150" t="s">
        <v>264</v>
      </c>
      <c r="G150">
        <v>3</v>
      </c>
      <c r="H150">
        <v>5</v>
      </c>
      <c r="S150" t="s">
        <v>328</v>
      </c>
      <c r="T150" s="52" t="s">
        <v>164</v>
      </c>
      <c r="U150">
        <v>7</v>
      </c>
      <c r="W150" t="s">
        <v>340</v>
      </c>
      <c r="X150" t="s">
        <v>167</v>
      </c>
      <c r="Y150">
        <v>1</v>
      </c>
    </row>
    <row r="151" spans="6:25" x14ac:dyDescent="0.25">
      <c r="I151">
        <v>3</v>
      </c>
      <c r="J151">
        <v>2</v>
      </c>
      <c r="S151" t="s">
        <v>328</v>
      </c>
      <c r="T151" s="52" t="s">
        <v>165</v>
      </c>
      <c r="U151">
        <v>1</v>
      </c>
      <c r="W151" t="s">
        <v>341</v>
      </c>
      <c r="X151" t="s">
        <v>164</v>
      </c>
      <c r="Y151">
        <v>4</v>
      </c>
    </row>
    <row r="152" spans="6:25" x14ac:dyDescent="0.25">
      <c r="F152" t="s">
        <v>265</v>
      </c>
      <c r="G152">
        <v>3</v>
      </c>
      <c r="H152">
        <v>5</v>
      </c>
      <c r="S152" t="s">
        <v>329</v>
      </c>
      <c r="T152" s="52" t="s">
        <v>164</v>
      </c>
      <c r="U152">
        <v>7</v>
      </c>
      <c r="W152" t="s">
        <v>341</v>
      </c>
      <c r="X152" t="s">
        <v>167</v>
      </c>
      <c r="Y152">
        <v>1</v>
      </c>
    </row>
    <row r="153" spans="6:25" x14ac:dyDescent="0.25">
      <c r="I153">
        <v>3</v>
      </c>
      <c r="J153">
        <v>2</v>
      </c>
      <c r="S153" t="s">
        <v>329</v>
      </c>
      <c r="T153" s="52" t="s">
        <v>165</v>
      </c>
      <c r="U153">
        <v>1</v>
      </c>
      <c r="W153" t="s">
        <v>342</v>
      </c>
      <c r="X153" t="s">
        <v>164</v>
      </c>
      <c r="Y153">
        <v>4</v>
      </c>
    </row>
    <row r="154" spans="6:25" x14ac:dyDescent="0.25">
      <c r="F154" t="s">
        <v>266</v>
      </c>
      <c r="G154">
        <v>3</v>
      </c>
      <c r="H154">
        <v>5</v>
      </c>
      <c r="S154" t="s">
        <v>330</v>
      </c>
      <c r="T154" s="52" t="s">
        <v>164</v>
      </c>
      <c r="U154">
        <v>7</v>
      </c>
      <c r="W154" t="s">
        <v>342</v>
      </c>
      <c r="X154" t="s">
        <v>167</v>
      </c>
      <c r="Y154">
        <v>1</v>
      </c>
    </row>
    <row r="155" spans="6:25" x14ac:dyDescent="0.25">
      <c r="I155">
        <v>3</v>
      </c>
      <c r="J155">
        <v>2</v>
      </c>
      <c r="S155" t="s">
        <v>330</v>
      </c>
      <c r="T155" s="52" t="s">
        <v>165</v>
      </c>
      <c r="U155">
        <v>1</v>
      </c>
      <c r="W155" t="s">
        <v>343</v>
      </c>
      <c r="X155" t="s">
        <v>164</v>
      </c>
      <c r="Y155">
        <v>4</v>
      </c>
    </row>
    <row r="156" spans="6:25" x14ac:dyDescent="0.25">
      <c r="F156" t="s">
        <v>267</v>
      </c>
      <c r="G156">
        <v>3</v>
      </c>
      <c r="H156">
        <v>5</v>
      </c>
      <c r="S156" t="s">
        <v>331</v>
      </c>
      <c r="T156" s="52" t="s">
        <v>164</v>
      </c>
      <c r="U156">
        <v>7</v>
      </c>
      <c r="W156" t="s">
        <v>343</v>
      </c>
      <c r="X156" t="s">
        <v>167</v>
      </c>
      <c r="Y156">
        <v>1</v>
      </c>
    </row>
    <row r="157" spans="6:25" x14ac:dyDescent="0.25">
      <c r="I157">
        <v>3</v>
      </c>
      <c r="J157">
        <v>2</v>
      </c>
      <c r="S157" t="s">
        <v>331</v>
      </c>
      <c r="T157" s="52" t="s">
        <v>165</v>
      </c>
      <c r="U157">
        <v>1</v>
      </c>
      <c r="W157" t="s">
        <v>344</v>
      </c>
      <c r="X157" t="s">
        <v>164</v>
      </c>
      <c r="Y157">
        <v>4</v>
      </c>
    </row>
    <row r="158" spans="6:25" x14ac:dyDescent="0.25">
      <c r="F158" t="s">
        <v>268</v>
      </c>
      <c r="G158">
        <v>3</v>
      </c>
      <c r="H158">
        <v>5</v>
      </c>
      <c r="S158" t="s">
        <v>332</v>
      </c>
      <c r="T158" s="52" t="s">
        <v>164</v>
      </c>
      <c r="U158">
        <v>7</v>
      </c>
      <c r="W158" t="s">
        <v>344</v>
      </c>
      <c r="X158" t="s">
        <v>167</v>
      </c>
      <c r="Y158">
        <v>1</v>
      </c>
    </row>
    <row r="159" spans="6:25" x14ac:dyDescent="0.25">
      <c r="I159">
        <v>3</v>
      </c>
      <c r="J159">
        <v>2</v>
      </c>
      <c r="S159" t="s">
        <v>332</v>
      </c>
      <c r="T159" s="52" t="s">
        <v>165</v>
      </c>
      <c r="U159">
        <v>1</v>
      </c>
      <c r="W159" t="s">
        <v>345</v>
      </c>
      <c r="X159" t="s">
        <v>164</v>
      </c>
      <c r="Y159">
        <v>4</v>
      </c>
    </row>
    <row r="160" spans="6:25" x14ac:dyDescent="0.25">
      <c r="F160" t="s">
        <v>269</v>
      </c>
      <c r="G160">
        <v>3</v>
      </c>
      <c r="H160">
        <v>5</v>
      </c>
      <c r="S160" t="s">
        <v>333</v>
      </c>
      <c r="T160" s="52" t="s">
        <v>164</v>
      </c>
      <c r="U160">
        <v>8</v>
      </c>
      <c r="W160" t="s">
        <v>345</v>
      </c>
      <c r="X160" t="s">
        <v>167</v>
      </c>
      <c r="Y160">
        <v>1</v>
      </c>
    </row>
    <row r="161" spans="6:25" x14ac:dyDescent="0.25">
      <c r="I161">
        <v>3</v>
      </c>
      <c r="J161">
        <v>2</v>
      </c>
      <c r="S161" t="s">
        <v>334</v>
      </c>
      <c r="T161" s="52" t="s">
        <v>164</v>
      </c>
      <c r="U161">
        <v>8</v>
      </c>
      <c r="W161" t="s">
        <v>346</v>
      </c>
      <c r="X161" t="s">
        <v>164</v>
      </c>
      <c r="Y161">
        <v>4</v>
      </c>
    </row>
    <row r="162" spans="6:25" x14ac:dyDescent="0.25">
      <c r="F162" t="s">
        <v>270</v>
      </c>
      <c r="G162">
        <v>3</v>
      </c>
      <c r="H162">
        <v>5</v>
      </c>
      <c r="S162" t="s">
        <v>335</v>
      </c>
      <c r="T162" s="52" t="s">
        <v>164</v>
      </c>
      <c r="U162">
        <v>8</v>
      </c>
      <c r="W162" t="s">
        <v>346</v>
      </c>
      <c r="X162" t="s">
        <v>167</v>
      </c>
      <c r="Y162">
        <v>1</v>
      </c>
    </row>
    <row r="163" spans="6:25" x14ac:dyDescent="0.25">
      <c r="I163">
        <v>3</v>
      </c>
      <c r="J163">
        <v>2</v>
      </c>
      <c r="S163" t="s">
        <v>336</v>
      </c>
      <c r="T163" s="52" t="s">
        <v>164</v>
      </c>
      <c r="U163">
        <v>8</v>
      </c>
      <c r="W163" t="s">
        <v>347</v>
      </c>
      <c r="X163" t="s">
        <v>164</v>
      </c>
      <c r="Y163">
        <v>4</v>
      </c>
    </row>
    <row r="164" spans="6:25" x14ac:dyDescent="0.25">
      <c r="F164" t="s">
        <v>271</v>
      </c>
      <c r="G164">
        <v>3</v>
      </c>
      <c r="H164">
        <v>5</v>
      </c>
      <c r="S164" t="s">
        <v>337</v>
      </c>
      <c r="T164" s="52" t="s">
        <v>164</v>
      </c>
      <c r="U164">
        <v>8</v>
      </c>
      <c r="W164" t="s">
        <v>347</v>
      </c>
      <c r="X164" t="s">
        <v>167</v>
      </c>
      <c r="Y164">
        <v>1</v>
      </c>
    </row>
    <row r="165" spans="6:25" x14ac:dyDescent="0.25">
      <c r="I165">
        <v>3</v>
      </c>
      <c r="J165">
        <v>2</v>
      </c>
      <c r="S165" t="s">
        <v>338</v>
      </c>
      <c r="T165" s="52" t="s">
        <v>164</v>
      </c>
      <c r="U165">
        <v>8</v>
      </c>
      <c r="W165" t="s">
        <v>348</v>
      </c>
      <c r="X165" t="s">
        <v>164</v>
      </c>
      <c r="Y165">
        <v>6</v>
      </c>
    </row>
    <row r="166" spans="6:25" x14ac:dyDescent="0.25">
      <c r="F166" t="s">
        <v>272</v>
      </c>
      <c r="G166">
        <v>5</v>
      </c>
      <c r="H166">
        <v>5</v>
      </c>
      <c r="S166" t="s">
        <v>339</v>
      </c>
      <c r="T166" s="52" t="s">
        <v>164</v>
      </c>
      <c r="U166">
        <v>8</v>
      </c>
      <c r="W166" t="s">
        <v>348</v>
      </c>
      <c r="X166" t="s">
        <v>168</v>
      </c>
      <c r="Y166">
        <v>1</v>
      </c>
    </row>
    <row r="167" spans="6:25" x14ac:dyDescent="0.25">
      <c r="I167">
        <v>5</v>
      </c>
      <c r="J167">
        <v>2</v>
      </c>
      <c r="S167" t="s">
        <v>340</v>
      </c>
      <c r="T167" s="52" t="s">
        <v>164</v>
      </c>
      <c r="U167">
        <v>8</v>
      </c>
      <c r="W167" t="s">
        <v>349</v>
      </c>
      <c r="X167" t="s">
        <v>164</v>
      </c>
      <c r="Y167">
        <v>6</v>
      </c>
    </row>
    <row r="168" spans="6:25" x14ac:dyDescent="0.25">
      <c r="F168" t="s">
        <v>273</v>
      </c>
      <c r="G168">
        <v>5</v>
      </c>
      <c r="H168">
        <v>5</v>
      </c>
      <c r="S168" t="s">
        <v>341</v>
      </c>
      <c r="T168" s="52" t="s">
        <v>164</v>
      </c>
      <c r="U168">
        <v>8</v>
      </c>
      <c r="W168" t="s">
        <v>349</v>
      </c>
      <c r="X168" t="s">
        <v>168</v>
      </c>
      <c r="Y168">
        <v>1</v>
      </c>
    </row>
    <row r="169" spans="6:25" x14ac:dyDescent="0.25">
      <c r="I169">
        <v>4</v>
      </c>
      <c r="J169">
        <v>2</v>
      </c>
      <c r="S169" t="s">
        <v>342</v>
      </c>
      <c r="T169" s="52" t="s">
        <v>164</v>
      </c>
      <c r="U169">
        <v>8</v>
      </c>
      <c r="W169" t="s">
        <v>350</v>
      </c>
      <c r="X169" t="s">
        <v>164</v>
      </c>
      <c r="Y169">
        <v>4</v>
      </c>
    </row>
    <row r="170" spans="6:25" x14ac:dyDescent="0.25">
      <c r="F170" t="s">
        <v>274</v>
      </c>
      <c r="G170">
        <v>6</v>
      </c>
      <c r="H170">
        <v>5</v>
      </c>
      <c r="S170" t="s">
        <v>343</v>
      </c>
      <c r="T170" s="52" t="s">
        <v>164</v>
      </c>
      <c r="U170">
        <v>8</v>
      </c>
      <c r="W170" t="s">
        <v>350</v>
      </c>
      <c r="X170" t="s">
        <v>167</v>
      </c>
      <c r="Y170">
        <v>1</v>
      </c>
    </row>
    <row r="171" spans="6:25" x14ac:dyDescent="0.25">
      <c r="I171">
        <v>5</v>
      </c>
      <c r="J171">
        <v>2</v>
      </c>
      <c r="S171" t="s">
        <v>344</v>
      </c>
      <c r="T171" s="52" t="s">
        <v>164</v>
      </c>
      <c r="U171">
        <v>8</v>
      </c>
      <c r="W171" t="s">
        <v>351</v>
      </c>
      <c r="X171" t="s">
        <v>164</v>
      </c>
      <c r="Y171">
        <v>4</v>
      </c>
    </row>
    <row r="172" spans="6:25" x14ac:dyDescent="0.25">
      <c r="F172" t="s">
        <v>275</v>
      </c>
      <c r="G172">
        <v>5</v>
      </c>
      <c r="H172">
        <v>5</v>
      </c>
      <c r="S172" t="s">
        <v>345</v>
      </c>
      <c r="T172" s="52" t="s">
        <v>164</v>
      </c>
      <c r="U172">
        <v>8</v>
      </c>
      <c r="W172" t="s">
        <v>351</v>
      </c>
      <c r="X172" t="s">
        <v>166</v>
      </c>
      <c r="Y172">
        <v>1</v>
      </c>
    </row>
    <row r="173" spans="6:25" x14ac:dyDescent="0.25">
      <c r="I173">
        <v>4</v>
      </c>
      <c r="J173">
        <v>2</v>
      </c>
      <c r="S173" t="s">
        <v>346</v>
      </c>
      <c r="T173" s="52" t="s">
        <v>164</v>
      </c>
      <c r="U173">
        <v>8</v>
      </c>
      <c r="W173" t="s">
        <v>352</v>
      </c>
      <c r="X173" t="s">
        <v>164</v>
      </c>
      <c r="Y173">
        <v>4</v>
      </c>
    </row>
    <row r="174" spans="6:25" x14ac:dyDescent="0.25">
      <c r="F174" t="s">
        <v>276</v>
      </c>
      <c r="G174">
        <v>6</v>
      </c>
      <c r="H174">
        <v>5</v>
      </c>
      <c r="S174" t="s">
        <v>347</v>
      </c>
      <c r="T174" s="52" t="s">
        <v>164</v>
      </c>
      <c r="U174">
        <v>8</v>
      </c>
      <c r="W174" t="s">
        <v>352</v>
      </c>
      <c r="X174" t="s">
        <v>166</v>
      </c>
      <c r="Y174">
        <v>1</v>
      </c>
    </row>
    <row r="175" spans="6:25" x14ac:dyDescent="0.25">
      <c r="I175">
        <v>5</v>
      </c>
      <c r="J175">
        <v>2</v>
      </c>
      <c r="S175" t="s">
        <v>348</v>
      </c>
      <c r="T175" s="52" t="s">
        <v>164</v>
      </c>
      <c r="U175">
        <v>9</v>
      </c>
      <c r="W175" t="s">
        <v>353</v>
      </c>
      <c r="X175" t="s">
        <v>164</v>
      </c>
      <c r="Y175">
        <v>4</v>
      </c>
    </row>
    <row r="176" spans="6:25" x14ac:dyDescent="0.25">
      <c r="F176" t="s">
        <v>277</v>
      </c>
      <c r="G176">
        <v>5</v>
      </c>
      <c r="H176">
        <v>5</v>
      </c>
      <c r="S176" t="s">
        <v>348</v>
      </c>
      <c r="T176" s="52" t="s">
        <v>165</v>
      </c>
      <c r="U176">
        <v>2</v>
      </c>
      <c r="W176" t="s">
        <v>353</v>
      </c>
      <c r="X176" t="s">
        <v>166</v>
      </c>
      <c r="Y176">
        <v>1</v>
      </c>
    </row>
    <row r="177" spans="9:25" x14ac:dyDescent="0.25">
      <c r="I177">
        <v>4</v>
      </c>
      <c r="J177">
        <v>2</v>
      </c>
      <c r="S177" t="s">
        <v>349</v>
      </c>
      <c r="T177" s="52" t="s">
        <v>164</v>
      </c>
      <c r="U177">
        <v>9</v>
      </c>
      <c r="W177" t="s">
        <v>354</v>
      </c>
      <c r="X177" t="s">
        <v>164</v>
      </c>
      <c r="Y177">
        <v>4</v>
      </c>
    </row>
    <row r="178" spans="9:25" x14ac:dyDescent="0.25">
      <c r="S178" t="s">
        <v>349</v>
      </c>
      <c r="T178" s="52" t="s">
        <v>165</v>
      </c>
      <c r="U178">
        <v>2</v>
      </c>
      <c r="W178" t="s">
        <v>354</v>
      </c>
      <c r="X178" t="s">
        <v>166</v>
      </c>
      <c r="Y178">
        <v>1</v>
      </c>
    </row>
    <row r="179" spans="9:25" x14ac:dyDescent="0.25">
      <c r="S179" t="s">
        <v>350</v>
      </c>
      <c r="T179" s="52" t="s">
        <v>164</v>
      </c>
      <c r="U179">
        <v>8</v>
      </c>
      <c r="W179" t="s">
        <v>355</v>
      </c>
      <c r="X179" t="s">
        <v>164</v>
      </c>
      <c r="Y179">
        <v>4</v>
      </c>
    </row>
    <row r="180" spans="9:25" x14ac:dyDescent="0.25">
      <c r="S180" t="s">
        <v>351</v>
      </c>
      <c r="T180" s="52" t="s">
        <v>164</v>
      </c>
      <c r="U180">
        <v>8</v>
      </c>
      <c r="W180" t="s">
        <v>355</v>
      </c>
      <c r="X180" t="s">
        <v>166</v>
      </c>
      <c r="Y180">
        <v>1</v>
      </c>
    </row>
    <row r="181" spans="9:25" x14ac:dyDescent="0.25">
      <c r="S181" t="s">
        <v>352</v>
      </c>
      <c r="T181" s="52" t="s">
        <v>164</v>
      </c>
      <c r="U181">
        <v>8</v>
      </c>
      <c r="W181" t="s">
        <v>356</v>
      </c>
      <c r="X181" t="s">
        <v>164</v>
      </c>
      <c r="Y181">
        <v>4</v>
      </c>
    </row>
    <row r="182" spans="9:25" x14ac:dyDescent="0.25">
      <c r="S182" t="s">
        <v>353</v>
      </c>
      <c r="T182" s="52" t="s">
        <v>164</v>
      </c>
      <c r="U182">
        <v>8</v>
      </c>
      <c r="W182" t="s">
        <v>356</v>
      </c>
      <c r="X182" t="s">
        <v>166</v>
      </c>
      <c r="Y182">
        <v>1</v>
      </c>
    </row>
    <row r="183" spans="9:25" x14ac:dyDescent="0.25">
      <c r="S183" t="s">
        <v>354</v>
      </c>
      <c r="T183" s="52" t="s">
        <v>164</v>
      </c>
      <c r="U183">
        <v>8</v>
      </c>
      <c r="W183" t="s">
        <v>357</v>
      </c>
      <c r="X183" t="s">
        <v>164</v>
      </c>
      <c r="Y183">
        <v>4</v>
      </c>
    </row>
    <row r="184" spans="9:25" x14ac:dyDescent="0.25">
      <c r="S184" t="s">
        <v>355</v>
      </c>
      <c r="T184" s="52" t="s">
        <v>164</v>
      </c>
      <c r="U184">
        <v>8</v>
      </c>
      <c r="W184" t="s">
        <v>357</v>
      </c>
      <c r="X184" t="s">
        <v>166</v>
      </c>
      <c r="Y184">
        <v>1</v>
      </c>
    </row>
    <row r="185" spans="9:25" x14ac:dyDescent="0.25">
      <c r="S185" t="s">
        <v>356</v>
      </c>
      <c r="T185" s="52" t="s">
        <v>164</v>
      </c>
      <c r="U185">
        <v>8</v>
      </c>
      <c r="W185" t="s">
        <v>358</v>
      </c>
      <c r="X185" t="s">
        <v>164</v>
      </c>
      <c r="Y185">
        <v>4</v>
      </c>
    </row>
    <row r="186" spans="9:25" x14ac:dyDescent="0.25">
      <c r="S186" t="s">
        <v>357</v>
      </c>
      <c r="T186" s="52" t="s">
        <v>164</v>
      </c>
      <c r="U186">
        <v>8</v>
      </c>
      <c r="W186" t="s">
        <v>358</v>
      </c>
      <c r="X186" t="s">
        <v>166</v>
      </c>
      <c r="Y186">
        <v>1</v>
      </c>
    </row>
    <row r="187" spans="9:25" x14ac:dyDescent="0.25">
      <c r="S187" t="s">
        <v>358</v>
      </c>
      <c r="T187" s="52" t="s">
        <v>164</v>
      </c>
      <c r="U187">
        <v>8</v>
      </c>
      <c r="W187" t="s">
        <v>359</v>
      </c>
      <c r="X187" t="s">
        <v>164</v>
      </c>
      <c r="Y187">
        <v>4</v>
      </c>
    </row>
    <row r="188" spans="9:25" x14ac:dyDescent="0.25">
      <c r="S188" t="s">
        <v>359</v>
      </c>
      <c r="T188" s="52" t="s">
        <v>164</v>
      </c>
      <c r="U188">
        <v>8</v>
      </c>
      <c r="W188" t="s">
        <v>359</v>
      </c>
      <c r="X188" t="s">
        <v>166</v>
      </c>
      <c r="Y188">
        <v>1</v>
      </c>
    </row>
    <row r="189" spans="9:25" x14ac:dyDescent="0.25">
      <c r="S189" t="s">
        <v>360</v>
      </c>
      <c r="T189" s="52" t="s">
        <v>164</v>
      </c>
      <c r="U189">
        <v>9</v>
      </c>
      <c r="W189" t="s">
        <v>360</v>
      </c>
      <c r="X189" t="s">
        <v>164</v>
      </c>
      <c r="Y189">
        <v>6</v>
      </c>
    </row>
    <row r="190" spans="9:25" x14ac:dyDescent="0.25">
      <c r="S190" t="s">
        <v>360</v>
      </c>
      <c r="T190" s="52" t="s">
        <v>165</v>
      </c>
      <c r="U190">
        <v>1</v>
      </c>
      <c r="W190" t="s">
        <v>360</v>
      </c>
      <c r="X190" t="s">
        <v>168</v>
      </c>
      <c r="Y190">
        <v>1</v>
      </c>
    </row>
    <row r="191" spans="9:25" x14ac:dyDescent="0.25">
      <c r="S191" t="s">
        <v>361</v>
      </c>
      <c r="T191" s="52" t="s">
        <v>164</v>
      </c>
      <c r="U191">
        <v>9</v>
      </c>
      <c r="W191" t="s">
        <v>361</v>
      </c>
      <c r="X191" t="s">
        <v>164</v>
      </c>
      <c r="Y191">
        <v>5</v>
      </c>
    </row>
    <row r="192" spans="9:25" x14ac:dyDescent="0.25">
      <c r="S192" t="s">
        <v>361</v>
      </c>
      <c r="T192" s="52" t="s">
        <v>165</v>
      </c>
      <c r="U192">
        <v>1</v>
      </c>
      <c r="W192" t="s">
        <v>361</v>
      </c>
      <c r="X192" t="s">
        <v>168</v>
      </c>
      <c r="Y192">
        <v>1</v>
      </c>
    </row>
    <row r="193" spans="19:25" x14ac:dyDescent="0.25">
      <c r="S193" t="s">
        <v>362</v>
      </c>
      <c r="T193" s="52" t="s">
        <v>164</v>
      </c>
      <c r="U193">
        <v>10</v>
      </c>
      <c r="W193" t="s">
        <v>362</v>
      </c>
      <c r="X193" t="s">
        <v>164</v>
      </c>
      <c r="Y193">
        <v>6</v>
      </c>
    </row>
    <row r="194" spans="19:25" x14ac:dyDescent="0.25">
      <c r="S194" t="s">
        <v>362</v>
      </c>
      <c r="T194" s="52" t="s">
        <v>165</v>
      </c>
      <c r="U194">
        <v>1</v>
      </c>
      <c r="W194" t="s">
        <v>362</v>
      </c>
      <c r="X194" t="s">
        <v>168</v>
      </c>
      <c r="Y194">
        <v>1</v>
      </c>
    </row>
    <row r="195" spans="19:25" x14ac:dyDescent="0.25">
      <c r="S195" t="s">
        <v>363</v>
      </c>
      <c r="T195" s="52" t="s">
        <v>164</v>
      </c>
      <c r="U195">
        <v>9</v>
      </c>
      <c r="W195" t="s">
        <v>363</v>
      </c>
      <c r="X195" t="s">
        <v>164</v>
      </c>
      <c r="Y195">
        <v>5</v>
      </c>
    </row>
    <row r="196" spans="19:25" x14ac:dyDescent="0.25">
      <c r="S196" t="s">
        <v>363</v>
      </c>
      <c r="T196" s="52" t="s">
        <v>165</v>
      </c>
      <c r="U196">
        <v>1</v>
      </c>
      <c r="W196" t="s">
        <v>363</v>
      </c>
      <c r="X196" t="s">
        <v>168</v>
      </c>
      <c r="Y196">
        <v>1</v>
      </c>
    </row>
    <row r="197" spans="19:25" x14ac:dyDescent="0.25">
      <c r="S197" t="s">
        <v>364</v>
      </c>
      <c r="T197" s="52" t="s">
        <v>164</v>
      </c>
      <c r="U197">
        <v>10</v>
      </c>
      <c r="W197" t="s">
        <v>364</v>
      </c>
      <c r="X197" t="s">
        <v>164</v>
      </c>
      <c r="Y197">
        <v>6</v>
      </c>
    </row>
    <row r="198" spans="19:25" x14ac:dyDescent="0.25">
      <c r="S198" t="s">
        <v>364</v>
      </c>
      <c r="T198" s="52" t="s">
        <v>165</v>
      </c>
      <c r="U198">
        <v>1</v>
      </c>
      <c r="W198" t="s">
        <v>364</v>
      </c>
      <c r="X198" t="s">
        <v>168</v>
      </c>
      <c r="Y198">
        <v>1</v>
      </c>
    </row>
    <row r="199" spans="19:25" x14ac:dyDescent="0.25">
      <c r="S199" t="s">
        <v>365</v>
      </c>
      <c r="T199" s="52" t="s">
        <v>164</v>
      </c>
      <c r="U199">
        <v>9</v>
      </c>
      <c r="W199" t="s">
        <v>365</v>
      </c>
      <c r="X199" t="s">
        <v>164</v>
      </c>
      <c r="Y199">
        <v>4</v>
      </c>
    </row>
    <row r="200" spans="19:25" x14ac:dyDescent="0.25">
      <c r="S200" t="s">
        <v>365</v>
      </c>
      <c r="T200" s="52" t="s">
        <v>165</v>
      </c>
      <c r="U200">
        <v>1</v>
      </c>
    </row>
  </sheetData>
  <pageMargins left="0.7" right="0.7" top="0.75" bottom="0.75" header="0.3" footer="0.3"/>
  <pageSetup paperSize="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Paramétrage</vt:lpstr>
      <vt:lpstr>Données</vt:lpstr>
      <vt:lpstr>Tableau Source</vt:lpstr>
      <vt:lpstr>Bilan</vt:lpstr>
      <vt:lpstr>Livrable</vt:lpstr>
      <vt:lpstr>Matériel</vt:lpstr>
      <vt:lpstr>Manutention</vt:lpstr>
      <vt:lpstr>Camion</vt:lpstr>
      <vt:lpstr>Bilan Graphique</vt:lpstr>
      <vt:lpstr>Livrable!Zone_d_impression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FREMINET Maximin</dc:creator>
  <cp:lastModifiedBy>ZENNABA Nada</cp:lastModifiedBy>
  <cp:lastPrinted>2025-02-28T13:21:05Z</cp:lastPrinted>
  <dcterms:created xsi:type="dcterms:W3CDTF">2024-10-23T11:48:53Z</dcterms:created>
  <dcterms:modified xsi:type="dcterms:W3CDTF">2025-12-03T14:09:40Z</dcterms:modified>
</cp:coreProperties>
</file>